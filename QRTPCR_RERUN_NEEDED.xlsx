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8qq/washington_transect/"/>
    </mc:Choice>
  </mc:AlternateContent>
  <xr:revisionPtr revIDLastSave="0" documentId="13_ncr:1_{7CFBBACD-7E72-0D4E-83B9-B139176CD122}" xr6:coauthVersionLast="47" xr6:coauthVersionMax="47" xr10:uidLastSave="{00000000-0000-0000-0000-000000000000}"/>
  <bookViews>
    <workbookView xWindow="34560" yWindow="-5860" windowWidth="34840" windowHeight="26400" activeTab="10" xr2:uid="{A3CC1DFD-CB13-C049-8A40-9DD8F6D37EEE}"/>
  </bookViews>
  <sheets>
    <sheet name="Sheet1" sheetId="1" r:id="rId1"/>
    <sheet name="Sheet2" sheetId="2" r:id="rId2"/>
    <sheet name="Sheet3" sheetId="3" r:id="rId3"/>
    <sheet name="Sheet10" sheetId="10" r:id="rId4"/>
    <sheet name="RE_1" sheetId="4" r:id="rId5"/>
    <sheet name="RE_2" sheetId="5" r:id="rId6"/>
    <sheet name="RE_3" sheetId="6" r:id="rId7"/>
    <sheet name="RE_4" sheetId="7" r:id="rId8"/>
    <sheet name="RE_5" sheetId="8" r:id="rId9"/>
    <sheet name="RE_6" sheetId="9" r:id="rId10"/>
    <sheet name="RE_7" sheetId="11" r:id="rId11"/>
    <sheet name="RE_8" sheetId="12" r:id="rId12"/>
  </sheets>
  <definedNames>
    <definedName name="_xlnm._FilterDatabase" localSheetId="4" hidden="1">RE_1!$A$1:$D$97</definedName>
    <definedName name="_xlnm._FilterDatabase" localSheetId="2" hidden="1">Sheet3!$A$1:$T$66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83" i="11" l="1"/>
  <c r="I83" i="11"/>
  <c r="J71" i="11"/>
  <c r="I71" i="11"/>
  <c r="J56" i="11"/>
  <c r="I56" i="11"/>
  <c r="I41" i="11"/>
  <c r="J41" i="11"/>
  <c r="J32" i="11"/>
  <c r="I32" i="11"/>
  <c r="J14" i="11"/>
  <c r="I14" i="11"/>
  <c r="H95" i="11"/>
  <c r="H97" i="11" s="1"/>
  <c r="G95" i="11"/>
  <c r="K95" i="11" s="1"/>
  <c r="H92" i="11"/>
  <c r="H93" i="11" s="1"/>
  <c r="G92" i="11"/>
  <c r="G93" i="11" s="1"/>
  <c r="H91" i="11"/>
  <c r="G90" i="11"/>
  <c r="G91" i="11" s="1"/>
  <c r="K91" i="11" s="1"/>
  <c r="H89" i="11"/>
  <c r="H90" i="11" s="1"/>
  <c r="G89" i="11"/>
  <c r="L89" i="11" s="1"/>
  <c r="H87" i="11"/>
  <c r="G87" i="11"/>
  <c r="K87" i="11" s="1"/>
  <c r="L86" i="11"/>
  <c r="K86" i="11"/>
  <c r="H86" i="11"/>
  <c r="H88" i="11" s="1"/>
  <c r="G86" i="11"/>
  <c r="H83" i="11"/>
  <c r="H85" i="11" s="1"/>
  <c r="G83" i="11"/>
  <c r="H80" i="11"/>
  <c r="H82" i="11" s="1"/>
  <c r="G80" i="11"/>
  <c r="G82" i="11" s="1"/>
  <c r="H77" i="11"/>
  <c r="H78" i="11" s="1"/>
  <c r="G77" i="11"/>
  <c r="G78" i="11" s="1"/>
  <c r="H76" i="11"/>
  <c r="G76" i="11"/>
  <c r="L76" i="11" s="1"/>
  <c r="H75" i="11"/>
  <c r="G75" i="11"/>
  <c r="L75" i="11" s="1"/>
  <c r="L74" i="11"/>
  <c r="K74" i="11"/>
  <c r="H74" i="11"/>
  <c r="G74" i="11"/>
  <c r="H71" i="11"/>
  <c r="H73" i="11" s="1"/>
  <c r="G71" i="11"/>
  <c r="L71" i="11" s="1"/>
  <c r="H68" i="11"/>
  <c r="H70" i="11" s="1"/>
  <c r="G68" i="11"/>
  <c r="K68" i="11" s="1"/>
  <c r="H65" i="11"/>
  <c r="H66" i="11" s="1"/>
  <c r="G65" i="11"/>
  <c r="G66" i="11" s="1"/>
  <c r="H62" i="11"/>
  <c r="H64" i="11" s="1"/>
  <c r="G62" i="11"/>
  <c r="K62" i="11" s="1"/>
  <c r="H59" i="11"/>
  <c r="H61" i="11" s="1"/>
  <c r="G59" i="11"/>
  <c r="K59" i="11" s="1"/>
  <c r="H56" i="11"/>
  <c r="H58" i="11" s="1"/>
  <c r="G56" i="11"/>
  <c r="G58" i="11" s="1"/>
  <c r="H53" i="11"/>
  <c r="H54" i="11" s="1"/>
  <c r="G53" i="11"/>
  <c r="G54" i="11" s="1"/>
  <c r="H50" i="11"/>
  <c r="H52" i="11" s="1"/>
  <c r="G50" i="11"/>
  <c r="K50" i="11" s="1"/>
  <c r="H48" i="11"/>
  <c r="G48" i="11"/>
  <c r="G49" i="11" s="1"/>
  <c r="H47" i="11"/>
  <c r="H49" i="11" s="1"/>
  <c r="G47" i="11"/>
  <c r="H44" i="11"/>
  <c r="H46" i="11" s="1"/>
  <c r="G44" i="11"/>
  <c r="G46" i="11" s="1"/>
  <c r="H41" i="11"/>
  <c r="H43" i="11" s="1"/>
  <c r="G41" i="11"/>
  <c r="G42" i="11" s="1"/>
  <c r="H38" i="11"/>
  <c r="H39" i="11" s="1"/>
  <c r="G38" i="11"/>
  <c r="G39" i="11" s="1"/>
  <c r="H37" i="11"/>
  <c r="H36" i="11"/>
  <c r="G36" i="11"/>
  <c r="G37" i="11" s="1"/>
  <c r="L35" i="11"/>
  <c r="H35" i="11"/>
  <c r="G35" i="11"/>
  <c r="K35" i="11" s="1"/>
  <c r="H32" i="11"/>
  <c r="H34" i="11" s="1"/>
  <c r="G32" i="11"/>
  <c r="G34" i="11" s="1"/>
  <c r="H29" i="11"/>
  <c r="H31" i="11" s="1"/>
  <c r="G29" i="11"/>
  <c r="G30" i="11" s="1"/>
  <c r="H26" i="11"/>
  <c r="H27" i="11" s="1"/>
  <c r="G26" i="11"/>
  <c r="G27" i="11" s="1"/>
  <c r="H25" i="11"/>
  <c r="H24" i="11"/>
  <c r="G24" i="11"/>
  <c r="G25" i="11" s="1"/>
  <c r="L23" i="11"/>
  <c r="K23" i="11"/>
  <c r="H23" i="11"/>
  <c r="G23" i="11"/>
  <c r="K20" i="11"/>
  <c r="H20" i="11"/>
  <c r="H22" i="11" s="1"/>
  <c r="G20" i="11"/>
  <c r="G22" i="11" s="1"/>
  <c r="H17" i="11"/>
  <c r="H19" i="11" s="1"/>
  <c r="G17" i="11"/>
  <c r="G18" i="11" s="1"/>
  <c r="H14" i="11"/>
  <c r="H15" i="11" s="1"/>
  <c r="G14" i="11"/>
  <c r="G15" i="11" s="1"/>
  <c r="H13" i="11"/>
  <c r="G13" i="11"/>
  <c r="K13" i="11" s="1"/>
  <c r="L12" i="11"/>
  <c r="K12" i="11"/>
  <c r="H12" i="11"/>
  <c r="G12" i="11"/>
  <c r="L11" i="11"/>
  <c r="H11" i="11"/>
  <c r="G11" i="11"/>
  <c r="K11" i="11" s="1"/>
  <c r="H8" i="11"/>
  <c r="H10" i="11" s="1"/>
  <c r="G8" i="11"/>
  <c r="G10" i="11" s="1"/>
  <c r="H5" i="11"/>
  <c r="H7" i="11" s="1"/>
  <c r="G5" i="11"/>
  <c r="J2" i="11" s="1"/>
  <c r="L4" i="11"/>
  <c r="K4" i="11"/>
  <c r="H4" i="11"/>
  <c r="G4" i="11"/>
  <c r="H2" i="11"/>
  <c r="H3" i="11" s="1"/>
  <c r="G2" i="11"/>
  <c r="G3" i="11" s="1"/>
  <c r="J83" i="9"/>
  <c r="I83" i="9"/>
  <c r="J71" i="9"/>
  <c r="I71" i="9"/>
  <c r="J20" i="9"/>
  <c r="I20" i="9"/>
  <c r="H95" i="9"/>
  <c r="H97" i="9" s="1"/>
  <c r="G95" i="9"/>
  <c r="G96" i="9" s="1"/>
  <c r="H92" i="9"/>
  <c r="H93" i="9" s="1"/>
  <c r="G92" i="9"/>
  <c r="H89" i="9"/>
  <c r="H91" i="9" s="1"/>
  <c r="G89" i="9"/>
  <c r="L89" i="9" s="1"/>
  <c r="H88" i="9"/>
  <c r="G88" i="9"/>
  <c r="L88" i="9" s="1"/>
  <c r="H87" i="9"/>
  <c r="G87" i="9"/>
  <c r="L87" i="9" s="1"/>
  <c r="L86" i="9"/>
  <c r="K86" i="9"/>
  <c r="H86" i="9"/>
  <c r="G86" i="9"/>
  <c r="H85" i="9"/>
  <c r="H84" i="9"/>
  <c r="G84" i="9"/>
  <c r="G85" i="9" s="1"/>
  <c r="H83" i="9"/>
  <c r="G83" i="9"/>
  <c r="L83" i="9" s="1"/>
  <c r="H80" i="9"/>
  <c r="H81" i="9" s="1"/>
  <c r="G80" i="9"/>
  <c r="G81" i="9" s="1"/>
  <c r="H77" i="9"/>
  <c r="H79" i="9" s="1"/>
  <c r="G77" i="9"/>
  <c r="G78" i="9" s="1"/>
  <c r="H76" i="9"/>
  <c r="G76" i="9"/>
  <c r="K76" i="9" s="1"/>
  <c r="H74" i="9"/>
  <c r="H75" i="9" s="1"/>
  <c r="G74" i="9"/>
  <c r="G75" i="9" s="1"/>
  <c r="H71" i="9"/>
  <c r="H72" i="9" s="1"/>
  <c r="G71" i="9"/>
  <c r="L71" i="9" s="1"/>
  <c r="H68" i="9"/>
  <c r="H69" i="9" s="1"/>
  <c r="G68" i="9"/>
  <c r="H65" i="9"/>
  <c r="H67" i="9" s="1"/>
  <c r="G65" i="9"/>
  <c r="H62" i="9"/>
  <c r="H64" i="9" s="1"/>
  <c r="G62" i="9"/>
  <c r="G64" i="9" s="1"/>
  <c r="H61" i="9"/>
  <c r="H60" i="9"/>
  <c r="G60" i="9"/>
  <c r="G61" i="9" s="1"/>
  <c r="K59" i="9"/>
  <c r="H59" i="9"/>
  <c r="G59" i="9"/>
  <c r="H56" i="9"/>
  <c r="H58" i="9" s="1"/>
  <c r="G56" i="9"/>
  <c r="K56" i="9" s="1"/>
  <c r="H55" i="9"/>
  <c r="H54" i="9"/>
  <c r="H53" i="9"/>
  <c r="G53" i="9"/>
  <c r="G52" i="9"/>
  <c r="H50" i="9"/>
  <c r="H51" i="9" s="1"/>
  <c r="G50" i="9"/>
  <c r="G51" i="9" s="1"/>
  <c r="H47" i="9"/>
  <c r="H48" i="9" s="1"/>
  <c r="G47" i="9"/>
  <c r="G48" i="9" s="1"/>
  <c r="G46" i="9"/>
  <c r="J44" i="9"/>
  <c r="H44" i="9"/>
  <c r="H45" i="9" s="1"/>
  <c r="G44" i="9"/>
  <c r="G45" i="9" s="1"/>
  <c r="H41" i="9"/>
  <c r="H43" i="9" s="1"/>
  <c r="G41" i="9"/>
  <c r="G42" i="9" s="1"/>
  <c r="H38" i="9"/>
  <c r="H40" i="9" s="1"/>
  <c r="G38" i="9"/>
  <c r="L35" i="9" s="1"/>
  <c r="H36" i="9"/>
  <c r="G36" i="9"/>
  <c r="G37" i="9" s="1"/>
  <c r="K35" i="9"/>
  <c r="H35" i="9"/>
  <c r="H37" i="9" s="1"/>
  <c r="G35" i="9"/>
  <c r="H34" i="9"/>
  <c r="G34" i="9"/>
  <c r="H33" i="9"/>
  <c r="G33" i="9"/>
  <c r="L32" i="9"/>
  <c r="H32" i="9"/>
  <c r="G32" i="9"/>
  <c r="K32" i="9" s="1"/>
  <c r="H29" i="9"/>
  <c r="H31" i="9" s="1"/>
  <c r="G29" i="9"/>
  <c r="H28" i="9"/>
  <c r="G28" i="9"/>
  <c r="L28" i="9" s="1"/>
  <c r="H27" i="9"/>
  <c r="G27" i="9"/>
  <c r="L27" i="9" s="1"/>
  <c r="L26" i="9"/>
  <c r="K26" i="9"/>
  <c r="H26" i="9"/>
  <c r="G26" i="9"/>
  <c r="H23" i="9"/>
  <c r="H25" i="9" s="1"/>
  <c r="G23" i="9"/>
  <c r="K23" i="9" s="1"/>
  <c r="L20" i="9"/>
  <c r="K20" i="9"/>
  <c r="H20" i="9"/>
  <c r="H22" i="9" s="1"/>
  <c r="G20" i="9"/>
  <c r="G22" i="9" s="1"/>
  <c r="H17" i="9"/>
  <c r="H18" i="9" s="1"/>
  <c r="G17" i="9"/>
  <c r="L14" i="9" s="1"/>
  <c r="H16" i="9"/>
  <c r="G16" i="9"/>
  <c r="L16" i="9" s="1"/>
  <c r="H14" i="9"/>
  <c r="H15" i="9" s="1"/>
  <c r="G14" i="9"/>
  <c r="K14" i="9" s="1"/>
  <c r="H11" i="9"/>
  <c r="H13" i="9" s="1"/>
  <c r="G11" i="9"/>
  <c r="L11" i="9" s="1"/>
  <c r="H8" i="9"/>
  <c r="H10" i="9" s="1"/>
  <c r="G8" i="9"/>
  <c r="G10" i="9" s="1"/>
  <c r="H7" i="9"/>
  <c r="H5" i="9"/>
  <c r="H6" i="9" s="1"/>
  <c r="G5" i="9"/>
  <c r="J2" i="9" s="1"/>
  <c r="H4" i="9"/>
  <c r="G4" i="9"/>
  <c r="L4" i="9" s="1"/>
  <c r="H3" i="9"/>
  <c r="G3" i="9"/>
  <c r="K3" i="9" s="1"/>
  <c r="H2" i="9"/>
  <c r="G2" i="9"/>
  <c r="L97" i="8"/>
  <c r="K97" i="8"/>
  <c r="L96" i="8"/>
  <c r="K96" i="8"/>
  <c r="L95" i="8"/>
  <c r="K95" i="8"/>
  <c r="L94" i="8"/>
  <c r="K94" i="8"/>
  <c r="L93" i="8"/>
  <c r="K93" i="8"/>
  <c r="L92" i="8"/>
  <c r="K92" i="8"/>
  <c r="L91" i="8"/>
  <c r="K91" i="8"/>
  <c r="L90" i="8"/>
  <c r="K90" i="8"/>
  <c r="L89" i="8"/>
  <c r="K89" i="8"/>
  <c r="L88" i="8"/>
  <c r="K88" i="8"/>
  <c r="L87" i="8"/>
  <c r="K87" i="8"/>
  <c r="L86" i="8"/>
  <c r="K86" i="8"/>
  <c r="L85" i="8"/>
  <c r="K85" i="8"/>
  <c r="L84" i="8"/>
  <c r="K84" i="8"/>
  <c r="L83" i="8"/>
  <c r="K83" i="8"/>
  <c r="L82" i="8"/>
  <c r="K82" i="8"/>
  <c r="L81" i="8"/>
  <c r="K81" i="8"/>
  <c r="L80" i="8"/>
  <c r="K80" i="8"/>
  <c r="L79" i="8"/>
  <c r="K79" i="8"/>
  <c r="L78" i="8"/>
  <c r="K78" i="8"/>
  <c r="L77" i="8"/>
  <c r="K77" i="8"/>
  <c r="L76" i="8"/>
  <c r="K76" i="8"/>
  <c r="L75" i="8"/>
  <c r="K75" i="8"/>
  <c r="L74" i="8"/>
  <c r="K74" i="8"/>
  <c r="L73" i="8"/>
  <c r="K73" i="8"/>
  <c r="L72" i="8"/>
  <c r="K72" i="8"/>
  <c r="L71" i="8"/>
  <c r="K71" i="8"/>
  <c r="L70" i="8"/>
  <c r="K70" i="8"/>
  <c r="L69" i="8"/>
  <c r="K69" i="8"/>
  <c r="L68" i="8"/>
  <c r="K68" i="8"/>
  <c r="L67" i="8"/>
  <c r="K67" i="8"/>
  <c r="L66" i="8"/>
  <c r="K66" i="8"/>
  <c r="L65" i="8"/>
  <c r="K65" i="8"/>
  <c r="L64" i="8"/>
  <c r="K64" i="8"/>
  <c r="L63" i="8"/>
  <c r="K63" i="8"/>
  <c r="L62" i="8"/>
  <c r="K62" i="8"/>
  <c r="L61" i="8"/>
  <c r="K61" i="8"/>
  <c r="L60" i="8"/>
  <c r="K60" i="8"/>
  <c r="L59" i="8"/>
  <c r="K59" i="8"/>
  <c r="L58" i="8"/>
  <c r="K58" i="8"/>
  <c r="L57" i="8"/>
  <c r="K57" i="8"/>
  <c r="L56" i="8"/>
  <c r="K56" i="8"/>
  <c r="L55" i="8"/>
  <c r="K55" i="8"/>
  <c r="L54" i="8"/>
  <c r="K54" i="8"/>
  <c r="L53" i="8"/>
  <c r="K53" i="8"/>
  <c r="L52" i="8"/>
  <c r="K52" i="8"/>
  <c r="L51" i="8"/>
  <c r="K51" i="8"/>
  <c r="L50" i="8"/>
  <c r="K50" i="8"/>
  <c r="L49" i="8"/>
  <c r="K49" i="8"/>
  <c r="L48" i="8"/>
  <c r="K48" i="8"/>
  <c r="L47" i="8"/>
  <c r="K47" i="8"/>
  <c r="L46" i="8"/>
  <c r="K46" i="8"/>
  <c r="L45" i="8"/>
  <c r="K45" i="8"/>
  <c r="L44" i="8"/>
  <c r="K44" i="8"/>
  <c r="L43" i="8"/>
  <c r="K43" i="8"/>
  <c r="L42" i="8"/>
  <c r="K42" i="8"/>
  <c r="L41" i="8"/>
  <c r="K41" i="8"/>
  <c r="L40" i="8"/>
  <c r="K40" i="8"/>
  <c r="L39" i="8"/>
  <c r="K39" i="8"/>
  <c r="L38" i="8"/>
  <c r="K38" i="8"/>
  <c r="L37" i="8"/>
  <c r="K37" i="8"/>
  <c r="L36" i="8"/>
  <c r="K36" i="8"/>
  <c r="L35" i="8"/>
  <c r="K35" i="8"/>
  <c r="L34" i="8"/>
  <c r="K34" i="8"/>
  <c r="L33" i="8"/>
  <c r="K33" i="8"/>
  <c r="L32" i="8"/>
  <c r="K32" i="8"/>
  <c r="L31" i="8"/>
  <c r="K31" i="8"/>
  <c r="L30" i="8"/>
  <c r="K30" i="8"/>
  <c r="L29" i="8"/>
  <c r="K29" i="8"/>
  <c r="L28" i="8"/>
  <c r="K28" i="8"/>
  <c r="L27" i="8"/>
  <c r="K27" i="8"/>
  <c r="L26" i="8"/>
  <c r="K26" i="8"/>
  <c r="L25" i="8"/>
  <c r="K25" i="8"/>
  <c r="L24" i="8"/>
  <c r="K24" i="8"/>
  <c r="L23" i="8"/>
  <c r="K23" i="8"/>
  <c r="L22" i="8"/>
  <c r="K22" i="8"/>
  <c r="L21" i="8"/>
  <c r="K21" i="8"/>
  <c r="L20" i="8"/>
  <c r="K20" i="8"/>
  <c r="L19" i="8"/>
  <c r="K19" i="8"/>
  <c r="L18" i="8"/>
  <c r="K18" i="8"/>
  <c r="L17" i="8"/>
  <c r="K17" i="8"/>
  <c r="L16" i="8"/>
  <c r="K16" i="8"/>
  <c r="L15" i="8"/>
  <c r="K15" i="8"/>
  <c r="L14" i="8"/>
  <c r="K14" i="8"/>
  <c r="L13" i="8"/>
  <c r="K13" i="8"/>
  <c r="L12" i="8"/>
  <c r="K12" i="8"/>
  <c r="L11" i="8"/>
  <c r="K11" i="8"/>
  <c r="L10" i="8"/>
  <c r="K10" i="8"/>
  <c r="L9" i="8"/>
  <c r="K9" i="8"/>
  <c r="L8" i="8"/>
  <c r="K8" i="8"/>
  <c r="L7" i="8"/>
  <c r="K7" i="8"/>
  <c r="L6" i="8"/>
  <c r="K6" i="8"/>
  <c r="L5" i="8"/>
  <c r="K5" i="8"/>
  <c r="L4" i="8"/>
  <c r="K4" i="8"/>
  <c r="L3" i="8"/>
  <c r="K3" i="8"/>
  <c r="L2" i="8"/>
  <c r="K2" i="8"/>
  <c r="J65" i="8"/>
  <c r="I65" i="8"/>
  <c r="I60" i="8"/>
  <c r="J60" i="8"/>
  <c r="I61" i="8"/>
  <c r="J61" i="8"/>
  <c r="I62" i="8"/>
  <c r="J62" i="8"/>
  <c r="I63" i="8"/>
  <c r="J63" i="8"/>
  <c r="I64" i="8"/>
  <c r="J64" i="8"/>
  <c r="I47" i="8"/>
  <c r="J47" i="8"/>
  <c r="I48" i="8"/>
  <c r="J48" i="8"/>
  <c r="I49" i="8"/>
  <c r="J49" i="8"/>
  <c r="I50" i="8"/>
  <c r="J50" i="8"/>
  <c r="I51" i="8"/>
  <c r="J51" i="8"/>
  <c r="I52" i="8"/>
  <c r="J52" i="8"/>
  <c r="I53" i="8"/>
  <c r="J53" i="8"/>
  <c r="I54" i="8"/>
  <c r="J54" i="8"/>
  <c r="I55" i="8"/>
  <c r="J55" i="8"/>
  <c r="I56" i="8"/>
  <c r="J56" i="8"/>
  <c r="I57" i="8"/>
  <c r="J57" i="8"/>
  <c r="I58" i="8"/>
  <c r="J58" i="8"/>
  <c r="I59" i="8"/>
  <c r="J59" i="8"/>
  <c r="J46" i="8"/>
  <c r="I46" i="8"/>
  <c r="J45" i="8"/>
  <c r="I45" i="8"/>
  <c r="J44" i="8"/>
  <c r="I44" i="8"/>
  <c r="I32" i="8"/>
  <c r="J32" i="8"/>
  <c r="I33" i="8"/>
  <c r="J33" i="8"/>
  <c r="I34" i="8"/>
  <c r="J34" i="8"/>
  <c r="I35" i="8"/>
  <c r="J35" i="8"/>
  <c r="I36" i="8"/>
  <c r="J36" i="8"/>
  <c r="I37" i="8"/>
  <c r="J37" i="8"/>
  <c r="I38" i="8"/>
  <c r="J38" i="8"/>
  <c r="I39" i="8"/>
  <c r="J39" i="8"/>
  <c r="I40" i="8"/>
  <c r="J40" i="8"/>
  <c r="I41" i="8"/>
  <c r="J41" i="8"/>
  <c r="I42" i="8"/>
  <c r="J42" i="8"/>
  <c r="I43" i="8"/>
  <c r="J43" i="8"/>
  <c r="J31" i="8"/>
  <c r="I31" i="8"/>
  <c r="J30" i="8"/>
  <c r="I30" i="8"/>
  <c r="J29" i="8"/>
  <c r="I29" i="8"/>
  <c r="J14" i="8"/>
  <c r="I14" i="8"/>
  <c r="J2" i="8"/>
  <c r="I2" i="8"/>
  <c r="K92" i="11" l="1"/>
  <c r="G94" i="11"/>
  <c r="H94" i="11"/>
  <c r="K90" i="11"/>
  <c r="L90" i="11"/>
  <c r="H79" i="11"/>
  <c r="K71" i="11"/>
  <c r="H67" i="11"/>
  <c r="K65" i="11"/>
  <c r="L62" i="11"/>
  <c r="G63" i="11"/>
  <c r="H63" i="11"/>
  <c r="G64" i="11"/>
  <c r="K64" i="11" s="1"/>
  <c r="H60" i="11"/>
  <c r="L59" i="11"/>
  <c r="G60" i="11"/>
  <c r="G61" i="11" s="1"/>
  <c r="K53" i="11"/>
  <c r="H55" i="11"/>
  <c r="L50" i="11"/>
  <c r="G51" i="11"/>
  <c r="H51" i="11"/>
  <c r="G52" i="11"/>
  <c r="K52" i="11" s="1"/>
  <c r="K47" i="11"/>
  <c r="L47" i="11"/>
  <c r="G40" i="11"/>
  <c r="L40" i="11" s="1"/>
  <c r="H40" i="11"/>
  <c r="G28" i="11"/>
  <c r="L28" i="11" s="1"/>
  <c r="H28" i="11"/>
  <c r="H16" i="11"/>
  <c r="K14" i="11"/>
  <c r="G16" i="11"/>
  <c r="K8" i="11"/>
  <c r="L8" i="11"/>
  <c r="G9" i="11"/>
  <c r="K9" i="11" s="1"/>
  <c r="H9" i="11"/>
  <c r="L66" i="11"/>
  <c r="K66" i="11"/>
  <c r="G67" i="11"/>
  <c r="G79" i="11"/>
  <c r="L78" i="11"/>
  <c r="K78" i="11"/>
  <c r="L82" i="11"/>
  <c r="K82" i="11"/>
  <c r="L61" i="11"/>
  <c r="K61" i="11"/>
  <c r="L93" i="11"/>
  <c r="K93" i="11"/>
  <c r="G19" i="11"/>
  <c r="L18" i="11"/>
  <c r="K18" i="11"/>
  <c r="G31" i="11"/>
  <c r="L30" i="11"/>
  <c r="K30" i="11"/>
  <c r="L39" i="11"/>
  <c r="K39" i="11"/>
  <c r="L3" i="11"/>
  <c r="K3" i="11"/>
  <c r="L22" i="11"/>
  <c r="K22" i="11"/>
  <c r="L46" i="11"/>
  <c r="K46" i="11"/>
  <c r="G43" i="11"/>
  <c r="L42" i="11"/>
  <c r="K42" i="11"/>
  <c r="L34" i="11"/>
  <c r="K34" i="11"/>
  <c r="L54" i="11"/>
  <c r="K54" i="11"/>
  <c r="G55" i="11"/>
  <c r="L25" i="11"/>
  <c r="K25" i="11"/>
  <c r="L27" i="11"/>
  <c r="K27" i="11"/>
  <c r="L37" i="11"/>
  <c r="K37" i="11"/>
  <c r="L10" i="11"/>
  <c r="K10" i="11"/>
  <c r="L49" i="11"/>
  <c r="K49" i="11"/>
  <c r="L15" i="11"/>
  <c r="K15" i="11"/>
  <c r="L58" i="11"/>
  <c r="K58" i="11"/>
  <c r="K83" i="11"/>
  <c r="L5" i="11"/>
  <c r="L9" i="11"/>
  <c r="L13" i="11"/>
  <c r="L17" i="11"/>
  <c r="H21" i="11"/>
  <c r="H33" i="11"/>
  <c r="L44" i="11"/>
  <c r="L48" i="11"/>
  <c r="L52" i="11"/>
  <c r="L56" i="11"/>
  <c r="L64" i="11"/>
  <c r="L68" i="11"/>
  <c r="H72" i="11"/>
  <c r="L83" i="11"/>
  <c r="L87" i="11"/>
  <c r="L91" i="11"/>
  <c r="L95" i="11"/>
  <c r="K32" i="11"/>
  <c r="L32" i="11"/>
  <c r="K5" i="11"/>
  <c r="K17" i="11"/>
  <c r="G21" i="11"/>
  <c r="K48" i="11"/>
  <c r="I2" i="11"/>
  <c r="G6" i="11"/>
  <c r="K29" i="11"/>
  <c r="K41" i="11"/>
  <c r="G45" i="11"/>
  <c r="G57" i="11"/>
  <c r="G69" i="11"/>
  <c r="K76" i="11"/>
  <c r="K80" i="11"/>
  <c r="G84" i="11"/>
  <c r="G88" i="11"/>
  <c r="G96" i="11"/>
  <c r="K28" i="11"/>
  <c r="K40" i="11"/>
  <c r="L20" i="11"/>
  <c r="G33" i="11"/>
  <c r="K44" i="11"/>
  <c r="K56" i="11"/>
  <c r="H6" i="11"/>
  <c r="H18" i="11"/>
  <c r="L29" i="11"/>
  <c r="L41" i="11"/>
  <c r="H45" i="11"/>
  <c r="H57" i="11"/>
  <c r="H69" i="11"/>
  <c r="L80" i="11"/>
  <c r="H84" i="11"/>
  <c r="H96" i="11"/>
  <c r="K24" i="11"/>
  <c r="K36" i="11"/>
  <c r="L24" i="11"/>
  <c r="L36" i="11"/>
  <c r="K2" i="11"/>
  <c r="G81" i="11"/>
  <c r="K75" i="11"/>
  <c r="G72" i="11"/>
  <c r="L2" i="11"/>
  <c r="L14" i="11"/>
  <c r="H30" i="11"/>
  <c r="H42" i="11"/>
  <c r="L53" i="11"/>
  <c r="L65" i="11"/>
  <c r="H81" i="11"/>
  <c r="L92" i="11"/>
  <c r="K26" i="11"/>
  <c r="K38" i="11"/>
  <c r="G70" i="11"/>
  <c r="K77" i="11"/>
  <c r="L26" i="11"/>
  <c r="L38" i="11"/>
  <c r="L77" i="11"/>
  <c r="K89" i="11"/>
  <c r="L68" i="9"/>
  <c r="K92" i="9"/>
  <c r="G94" i="9"/>
  <c r="L94" i="9" s="1"/>
  <c r="H94" i="9"/>
  <c r="G90" i="9"/>
  <c r="K90" i="9" s="1"/>
  <c r="H90" i="9"/>
  <c r="K96" i="9"/>
  <c r="G97" i="9"/>
  <c r="L96" i="9"/>
  <c r="K95" i="9"/>
  <c r="L95" i="9"/>
  <c r="K94" i="9"/>
  <c r="G91" i="9"/>
  <c r="K88" i="9"/>
  <c r="L90" i="9"/>
  <c r="H96" i="9"/>
  <c r="K87" i="9"/>
  <c r="L92" i="9"/>
  <c r="K89" i="9"/>
  <c r="G93" i="9"/>
  <c r="G72" i="9"/>
  <c r="L72" i="9" s="1"/>
  <c r="H73" i="9"/>
  <c r="L56" i="9"/>
  <c r="G57" i="9"/>
  <c r="H57" i="9"/>
  <c r="G58" i="9"/>
  <c r="K58" i="9" s="1"/>
  <c r="L53" i="9"/>
  <c r="G54" i="9"/>
  <c r="H52" i="9"/>
  <c r="K47" i="9"/>
  <c r="H49" i="9"/>
  <c r="H46" i="9"/>
  <c r="L29" i="9"/>
  <c r="G30" i="9"/>
  <c r="H30" i="9"/>
  <c r="K28" i="9"/>
  <c r="G21" i="9"/>
  <c r="L21" i="9" s="1"/>
  <c r="H19" i="9"/>
  <c r="K16" i="9"/>
  <c r="G15" i="9"/>
  <c r="K15" i="9" s="1"/>
  <c r="L85" i="9"/>
  <c r="K85" i="9"/>
  <c r="L10" i="9"/>
  <c r="K10" i="9"/>
  <c r="K51" i="9"/>
  <c r="L61" i="9"/>
  <c r="K64" i="9"/>
  <c r="K37" i="9"/>
  <c r="L22" i="9"/>
  <c r="K22" i="9"/>
  <c r="L75" i="9"/>
  <c r="K75" i="9"/>
  <c r="L34" i="9"/>
  <c r="L81" i="9"/>
  <c r="K81" i="9"/>
  <c r="K48" i="9"/>
  <c r="L45" i="9"/>
  <c r="G49" i="9"/>
  <c r="L48" i="9"/>
  <c r="G43" i="9"/>
  <c r="K42" i="9"/>
  <c r="K61" i="9"/>
  <c r="L58" i="9"/>
  <c r="L2" i="9"/>
  <c r="K45" i="9"/>
  <c r="L42" i="9"/>
  <c r="G79" i="9"/>
  <c r="L78" i="9"/>
  <c r="K78" i="9"/>
  <c r="L76" i="9"/>
  <c r="K27" i="9"/>
  <c r="G73" i="9"/>
  <c r="H12" i="9"/>
  <c r="L15" i="9"/>
  <c r="L23" i="9"/>
  <c r="L54" i="9"/>
  <c r="K4" i="9"/>
  <c r="K8" i="9"/>
  <c r="G24" i="9"/>
  <c r="G31" i="9"/>
  <c r="K33" i="9"/>
  <c r="G39" i="9"/>
  <c r="I44" i="9"/>
  <c r="K52" i="9"/>
  <c r="G55" i="9"/>
  <c r="K57" i="9"/>
  <c r="K60" i="9"/>
  <c r="G63" i="9"/>
  <c r="K65" i="9"/>
  <c r="K77" i="9"/>
  <c r="K46" i="9"/>
  <c r="K54" i="9"/>
  <c r="K80" i="9"/>
  <c r="L3" i="9"/>
  <c r="L30" i="9"/>
  <c r="L38" i="9"/>
  <c r="L80" i="9"/>
  <c r="G69" i="9"/>
  <c r="L65" i="9"/>
  <c r="L8" i="9"/>
  <c r="H24" i="9"/>
  <c r="L33" i="9"/>
  <c r="H39" i="9"/>
  <c r="L41" i="9"/>
  <c r="L57" i="9"/>
  <c r="H63" i="9"/>
  <c r="L77" i="9"/>
  <c r="L51" i="9"/>
  <c r="L59" i="9"/>
  <c r="L84" i="9"/>
  <c r="G12" i="9"/>
  <c r="K41" i="9"/>
  <c r="K62" i="9"/>
  <c r="L62" i="9"/>
  <c r="G9" i="9"/>
  <c r="K36" i="9"/>
  <c r="K44" i="9"/>
  <c r="G66" i="9"/>
  <c r="G70" i="9"/>
  <c r="G82" i="9"/>
  <c r="K11" i="9"/>
  <c r="K30" i="9"/>
  <c r="K84" i="9"/>
  <c r="K38" i="9"/>
  <c r="H9" i="9"/>
  <c r="H42" i="9"/>
  <c r="L44" i="9"/>
  <c r="L47" i="9"/>
  <c r="H66" i="9"/>
  <c r="H70" i="9"/>
  <c r="H78" i="9"/>
  <c r="H82" i="9"/>
  <c r="K5" i="9"/>
  <c r="K34" i="9"/>
  <c r="K50" i="9"/>
  <c r="K74" i="9"/>
  <c r="K68" i="9"/>
  <c r="L5" i="9"/>
  <c r="H21" i="9"/>
  <c r="L50" i="9"/>
  <c r="L74" i="9"/>
  <c r="I2" i="9"/>
  <c r="G6" i="9"/>
  <c r="K17" i="9"/>
  <c r="K21" i="9"/>
  <c r="K29" i="9"/>
  <c r="G40" i="9"/>
  <c r="K53" i="9"/>
  <c r="K72" i="9"/>
  <c r="L17" i="9"/>
  <c r="K2" i="9"/>
  <c r="G18" i="9"/>
  <c r="K71" i="9"/>
  <c r="K83" i="9"/>
  <c r="L94" i="11" l="1"/>
  <c r="K94" i="11"/>
  <c r="L63" i="11"/>
  <c r="K63" i="11"/>
  <c r="L60" i="11"/>
  <c r="K60" i="11"/>
  <c r="L51" i="11"/>
  <c r="K51" i="11"/>
  <c r="L16" i="11"/>
  <c r="K16" i="11"/>
  <c r="L45" i="11"/>
  <c r="K45" i="11"/>
  <c r="G7" i="11"/>
  <c r="L6" i="11"/>
  <c r="K6" i="11"/>
  <c r="L70" i="11"/>
  <c r="K70" i="11"/>
  <c r="L21" i="11"/>
  <c r="K21" i="11"/>
  <c r="L31" i="11"/>
  <c r="K31" i="11"/>
  <c r="L81" i="11"/>
  <c r="K81" i="11"/>
  <c r="L19" i="11"/>
  <c r="K19" i="11"/>
  <c r="G97" i="11"/>
  <c r="L96" i="11"/>
  <c r="K96" i="11"/>
  <c r="G73" i="11"/>
  <c r="L72" i="11"/>
  <c r="K72" i="11"/>
  <c r="L88" i="11"/>
  <c r="K88" i="11"/>
  <c r="G85" i="11"/>
  <c r="L84" i="11"/>
  <c r="K84" i="11"/>
  <c r="L33" i="11"/>
  <c r="K33" i="11"/>
  <c r="L79" i="11"/>
  <c r="K79" i="11"/>
  <c r="L67" i="11"/>
  <c r="K67" i="11"/>
  <c r="L69" i="11"/>
  <c r="K69" i="11"/>
  <c r="K55" i="11"/>
  <c r="L55" i="11"/>
  <c r="L43" i="11"/>
  <c r="K43" i="11"/>
  <c r="L57" i="11"/>
  <c r="K57" i="11"/>
  <c r="L93" i="9"/>
  <c r="K93" i="9"/>
  <c r="L91" i="9"/>
  <c r="K91" i="9"/>
  <c r="L97" i="9"/>
  <c r="K97" i="9"/>
  <c r="L55" i="9"/>
  <c r="K55" i="9"/>
  <c r="L52" i="9"/>
  <c r="G13" i="9"/>
  <c r="L12" i="9"/>
  <c r="K12" i="9"/>
  <c r="L69" i="9"/>
  <c r="K69" i="9"/>
  <c r="L9" i="9"/>
  <c r="K9" i="9"/>
  <c r="L49" i="9"/>
  <c r="L46" i="9"/>
  <c r="K49" i="9"/>
  <c r="K18" i="9"/>
  <c r="L18" i="9"/>
  <c r="G19" i="9"/>
  <c r="L79" i="9"/>
  <c r="K79" i="9"/>
  <c r="L37" i="9"/>
  <c r="K40" i="9"/>
  <c r="L39" i="9"/>
  <c r="K39" i="9"/>
  <c r="L36" i="9"/>
  <c r="L63" i="9"/>
  <c r="K63" i="9"/>
  <c r="L60" i="9"/>
  <c r="L73" i="9"/>
  <c r="K73" i="9"/>
  <c r="L82" i="9"/>
  <c r="K82" i="9"/>
  <c r="L31" i="9"/>
  <c r="K31" i="9"/>
  <c r="L70" i="9"/>
  <c r="K70" i="9"/>
  <c r="G25" i="9"/>
  <c r="L24" i="9"/>
  <c r="K24" i="9"/>
  <c r="L6" i="9"/>
  <c r="K6" i="9"/>
  <c r="G7" i="9"/>
  <c r="G67" i="9"/>
  <c r="L66" i="9"/>
  <c r="K66" i="9"/>
  <c r="L40" i="9"/>
  <c r="L43" i="9"/>
  <c r="K43" i="9"/>
  <c r="L85" i="11" l="1"/>
  <c r="K85" i="11"/>
  <c r="L97" i="11"/>
  <c r="K97" i="11"/>
  <c r="L73" i="11"/>
  <c r="K73" i="11"/>
  <c r="L7" i="11"/>
  <c r="K7" i="11"/>
  <c r="L7" i="9"/>
  <c r="K7" i="9"/>
  <c r="L25" i="9"/>
  <c r="K25" i="9"/>
  <c r="L67" i="9"/>
  <c r="L64" i="9"/>
  <c r="K67" i="9"/>
  <c r="L13" i="9"/>
  <c r="K13" i="9"/>
  <c r="K19" i="9"/>
  <c r="L19" i="9"/>
  <c r="H83" i="8"/>
  <c r="H84" i="8" s="1"/>
  <c r="G83" i="8"/>
  <c r="G84" i="8" s="1"/>
  <c r="G85" i="8" s="1"/>
  <c r="H82" i="8"/>
  <c r="G82" i="8"/>
  <c r="H81" i="8"/>
  <c r="G81" i="8"/>
  <c r="H80" i="8"/>
  <c r="G80" i="8"/>
  <c r="H77" i="8"/>
  <c r="H79" i="8" s="1"/>
  <c r="G77" i="8"/>
  <c r="G78" i="8" s="1"/>
  <c r="G79" i="8" s="1"/>
  <c r="H74" i="8"/>
  <c r="H76" i="8" s="1"/>
  <c r="G74" i="8"/>
  <c r="G76" i="8" s="1"/>
  <c r="H71" i="8"/>
  <c r="H73" i="8" s="1"/>
  <c r="G71" i="8"/>
  <c r="G72" i="8" s="1"/>
  <c r="G73" i="8" s="1"/>
  <c r="H68" i="8"/>
  <c r="H70" i="8" s="1"/>
  <c r="G68" i="8"/>
  <c r="G70" i="8" s="1"/>
  <c r="G66" i="8"/>
  <c r="G67" i="8" s="1"/>
  <c r="H65" i="8"/>
  <c r="H67" i="8" s="1"/>
  <c r="G65" i="8"/>
  <c r="H62" i="8"/>
  <c r="H64" i="8" s="1"/>
  <c r="G62" i="8"/>
  <c r="G64" i="8" s="1"/>
  <c r="H59" i="8"/>
  <c r="H60" i="8" s="1"/>
  <c r="G59" i="8"/>
  <c r="G60" i="8" s="1"/>
  <c r="G61" i="8" s="1"/>
  <c r="H56" i="8"/>
  <c r="H58" i="8" s="1"/>
  <c r="G56" i="8"/>
  <c r="G58" i="8" s="1"/>
  <c r="G54" i="8"/>
  <c r="G55" i="8" s="1"/>
  <c r="H53" i="8"/>
  <c r="H55" i="8" s="1"/>
  <c r="G53" i="8"/>
  <c r="H50" i="8"/>
  <c r="H51" i="8" s="1"/>
  <c r="G50" i="8"/>
  <c r="G52" i="8" s="1"/>
  <c r="H47" i="8"/>
  <c r="H49" i="8" s="1"/>
  <c r="G47" i="8"/>
  <c r="G48" i="8" s="1"/>
  <c r="G49" i="8" s="1"/>
  <c r="H44" i="8"/>
  <c r="H46" i="8" s="1"/>
  <c r="G44" i="8"/>
  <c r="G46" i="8" s="1"/>
  <c r="H41" i="8"/>
  <c r="H43" i="8" s="1"/>
  <c r="G41" i="8"/>
  <c r="G42" i="8" s="1"/>
  <c r="G43" i="8" s="1"/>
  <c r="H38" i="8"/>
  <c r="H40" i="8" s="1"/>
  <c r="G38" i="8"/>
  <c r="G40" i="8" s="1"/>
  <c r="H35" i="8"/>
  <c r="H36" i="8" s="1"/>
  <c r="G35" i="8"/>
  <c r="G36" i="8" s="1"/>
  <c r="G37" i="8" s="1"/>
  <c r="H34" i="8"/>
  <c r="G34" i="8"/>
  <c r="H33" i="8"/>
  <c r="G33" i="8"/>
  <c r="H32" i="8"/>
  <c r="G32" i="8"/>
  <c r="G30" i="8"/>
  <c r="G31" i="8" s="1"/>
  <c r="H29" i="8"/>
  <c r="H31" i="8" s="1"/>
  <c r="G29" i="8"/>
  <c r="H26" i="8"/>
  <c r="H28" i="8" s="1"/>
  <c r="G26" i="8"/>
  <c r="G27" i="8" s="1"/>
  <c r="H23" i="8"/>
  <c r="H25" i="8" s="1"/>
  <c r="G23" i="8"/>
  <c r="G24" i="8" s="1"/>
  <c r="G25" i="8" s="1"/>
  <c r="H20" i="8"/>
  <c r="H22" i="8" s="1"/>
  <c r="G20" i="8"/>
  <c r="G22" i="8" s="1"/>
  <c r="H17" i="8"/>
  <c r="H18" i="8" s="1"/>
  <c r="G17" i="8"/>
  <c r="G18" i="8" s="1"/>
  <c r="G19" i="8" s="1"/>
  <c r="H14" i="8"/>
  <c r="H16" i="8" s="1"/>
  <c r="G14" i="8"/>
  <c r="G16" i="8" s="1"/>
  <c r="H11" i="8"/>
  <c r="H13" i="8" s="1"/>
  <c r="G11" i="8"/>
  <c r="G12" i="8" s="1"/>
  <c r="G13" i="8" s="1"/>
  <c r="H8" i="8"/>
  <c r="H10" i="8" s="1"/>
  <c r="G8" i="8"/>
  <c r="G10" i="8" s="1"/>
  <c r="G6" i="8"/>
  <c r="G7" i="8" s="1"/>
  <c r="H5" i="8"/>
  <c r="H7" i="8" s="1"/>
  <c r="G5" i="8"/>
  <c r="H2" i="8"/>
  <c r="H3" i="8" s="1"/>
  <c r="G2" i="8"/>
  <c r="G4" i="8" s="1"/>
  <c r="L97" i="7"/>
  <c r="K97" i="7"/>
  <c r="L96" i="7"/>
  <c r="K96" i="7"/>
  <c r="L95" i="7"/>
  <c r="K95" i="7"/>
  <c r="L94" i="7"/>
  <c r="K94" i="7"/>
  <c r="L93" i="7"/>
  <c r="K93" i="7"/>
  <c r="L92" i="7"/>
  <c r="K92" i="7"/>
  <c r="L91" i="7"/>
  <c r="K91" i="7"/>
  <c r="L90" i="7"/>
  <c r="K90" i="7"/>
  <c r="L89" i="7"/>
  <c r="K89" i="7"/>
  <c r="L88" i="7"/>
  <c r="K88" i="7"/>
  <c r="L87" i="7"/>
  <c r="K87" i="7"/>
  <c r="L86" i="7"/>
  <c r="K86" i="7"/>
  <c r="L85" i="7"/>
  <c r="K85" i="7"/>
  <c r="L84" i="7"/>
  <c r="K84" i="7"/>
  <c r="L83" i="7"/>
  <c r="K83" i="7"/>
  <c r="L82" i="7"/>
  <c r="K82" i="7"/>
  <c r="L81" i="7"/>
  <c r="K81" i="7"/>
  <c r="L80" i="7"/>
  <c r="K80" i="7"/>
  <c r="L79" i="7"/>
  <c r="K79" i="7"/>
  <c r="L78" i="7"/>
  <c r="K78" i="7"/>
  <c r="L77" i="7"/>
  <c r="K77" i="7"/>
  <c r="L76" i="7"/>
  <c r="K76" i="7"/>
  <c r="L75" i="7"/>
  <c r="K75" i="7"/>
  <c r="L74" i="7"/>
  <c r="K74" i="7"/>
  <c r="L73" i="7"/>
  <c r="K73" i="7"/>
  <c r="L72" i="7"/>
  <c r="K72" i="7"/>
  <c r="L71" i="7"/>
  <c r="K71" i="7"/>
  <c r="L70" i="7"/>
  <c r="K70" i="7"/>
  <c r="L69" i="7"/>
  <c r="K69" i="7"/>
  <c r="L68" i="7"/>
  <c r="K68" i="7"/>
  <c r="L67" i="7"/>
  <c r="K67" i="7"/>
  <c r="L66" i="7"/>
  <c r="K66" i="7"/>
  <c r="L65" i="7"/>
  <c r="K65" i="7"/>
  <c r="L64" i="7"/>
  <c r="K64" i="7"/>
  <c r="L63" i="7"/>
  <c r="K63" i="7"/>
  <c r="L62" i="7"/>
  <c r="K62" i="7"/>
  <c r="L61" i="7"/>
  <c r="K61" i="7"/>
  <c r="L60" i="7"/>
  <c r="K60" i="7"/>
  <c r="L59" i="7"/>
  <c r="K59" i="7"/>
  <c r="L58" i="7"/>
  <c r="K58" i="7"/>
  <c r="L57" i="7"/>
  <c r="K57" i="7"/>
  <c r="L56" i="7"/>
  <c r="K56" i="7"/>
  <c r="L55" i="7"/>
  <c r="K55" i="7"/>
  <c r="L54" i="7"/>
  <c r="K54" i="7"/>
  <c r="L53" i="7"/>
  <c r="K53" i="7"/>
  <c r="L52" i="7"/>
  <c r="K52" i="7"/>
  <c r="L51" i="7"/>
  <c r="K51" i="7"/>
  <c r="L50" i="7"/>
  <c r="K50" i="7"/>
  <c r="L49" i="7"/>
  <c r="K49" i="7"/>
  <c r="L48" i="7"/>
  <c r="K48" i="7"/>
  <c r="L47" i="7"/>
  <c r="K47" i="7"/>
  <c r="L46" i="7"/>
  <c r="K46" i="7"/>
  <c r="L45" i="7"/>
  <c r="K45" i="7"/>
  <c r="L44" i="7"/>
  <c r="K44" i="7"/>
  <c r="L43" i="7"/>
  <c r="K43" i="7"/>
  <c r="L42" i="7"/>
  <c r="K42" i="7"/>
  <c r="L41" i="7"/>
  <c r="K41" i="7"/>
  <c r="L40" i="7"/>
  <c r="K40" i="7"/>
  <c r="L39" i="7"/>
  <c r="K39" i="7"/>
  <c r="L38" i="7"/>
  <c r="K38" i="7"/>
  <c r="L37" i="7"/>
  <c r="K37" i="7"/>
  <c r="L36" i="7"/>
  <c r="K36" i="7"/>
  <c r="L35" i="7"/>
  <c r="K35" i="7"/>
  <c r="L34" i="7"/>
  <c r="K34" i="7"/>
  <c r="L33" i="7"/>
  <c r="K33" i="7"/>
  <c r="L32" i="7"/>
  <c r="K32" i="7"/>
  <c r="L31" i="7"/>
  <c r="K31" i="7"/>
  <c r="L30" i="7"/>
  <c r="K30" i="7"/>
  <c r="L29" i="7"/>
  <c r="K29" i="7"/>
  <c r="L28" i="7"/>
  <c r="K28" i="7"/>
  <c r="L27" i="7"/>
  <c r="K27" i="7"/>
  <c r="L26" i="7"/>
  <c r="K26" i="7"/>
  <c r="L25" i="7"/>
  <c r="K25" i="7"/>
  <c r="L24" i="7"/>
  <c r="K24" i="7"/>
  <c r="L23" i="7"/>
  <c r="K23" i="7"/>
  <c r="L22" i="7"/>
  <c r="K22" i="7"/>
  <c r="L21" i="7"/>
  <c r="K21" i="7"/>
  <c r="L20" i="7"/>
  <c r="K20" i="7"/>
  <c r="L19" i="7"/>
  <c r="K19" i="7"/>
  <c r="L18" i="7"/>
  <c r="K18" i="7"/>
  <c r="L17" i="7"/>
  <c r="K17" i="7"/>
  <c r="L16" i="7"/>
  <c r="K16" i="7"/>
  <c r="L15" i="7"/>
  <c r="K15" i="7"/>
  <c r="L14" i="7"/>
  <c r="K14" i="7"/>
  <c r="L13" i="7"/>
  <c r="K13" i="7"/>
  <c r="L12" i="7"/>
  <c r="K12" i="7"/>
  <c r="L11" i="7"/>
  <c r="K11" i="7"/>
  <c r="L10" i="7"/>
  <c r="K10" i="7"/>
  <c r="L9" i="7"/>
  <c r="K9" i="7"/>
  <c r="L8" i="7"/>
  <c r="K8" i="7"/>
  <c r="L7" i="7"/>
  <c r="K7" i="7"/>
  <c r="L6" i="7"/>
  <c r="K6" i="7"/>
  <c r="L5" i="7"/>
  <c r="K5" i="7"/>
  <c r="L4" i="7"/>
  <c r="K4" i="7"/>
  <c r="L3" i="7"/>
  <c r="K3" i="7"/>
  <c r="L2" i="7"/>
  <c r="K2" i="7"/>
  <c r="J71" i="7"/>
  <c r="I71" i="7"/>
  <c r="J53" i="7"/>
  <c r="I53" i="7"/>
  <c r="J32" i="7"/>
  <c r="I32" i="7"/>
  <c r="J11" i="7"/>
  <c r="I11" i="7"/>
  <c r="J2" i="7"/>
  <c r="I2" i="7"/>
  <c r="L97" i="6"/>
  <c r="K97" i="6"/>
  <c r="L96" i="6"/>
  <c r="K96" i="6"/>
  <c r="L95" i="6"/>
  <c r="K95" i="6"/>
  <c r="L94" i="6"/>
  <c r="K94" i="6"/>
  <c r="L93" i="6"/>
  <c r="K93" i="6"/>
  <c r="L92" i="6"/>
  <c r="K92" i="6"/>
  <c r="L91" i="6"/>
  <c r="K91" i="6"/>
  <c r="L90" i="6"/>
  <c r="K90" i="6"/>
  <c r="L89" i="6"/>
  <c r="K89" i="6"/>
  <c r="L88" i="6"/>
  <c r="K88" i="6"/>
  <c r="L87" i="6"/>
  <c r="K87" i="6"/>
  <c r="L86" i="6"/>
  <c r="K86" i="6"/>
  <c r="L85" i="6"/>
  <c r="K85" i="6"/>
  <c r="L84" i="6"/>
  <c r="K84" i="6"/>
  <c r="L83" i="6"/>
  <c r="K83" i="6"/>
  <c r="L82" i="6"/>
  <c r="K82" i="6"/>
  <c r="L81" i="6"/>
  <c r="K81" i="6"/>
  <c r="L80" i="6"/>
  <c r="K80" i="6"/>
  <c r="L79" i="6"/>
  <c r="K79" i="6"/>
  <c r="L78" i="6"/>
  <c r="K78" i="6"/>
  <c r="L77" i="6"/>
  <c r="K77" i="6"/>
  <c r="L76" i="6"/>
  <c r="K76" i="6"/>
  <c r="L75" i="6"/>
  <c r="K75" i="6"/>
  <c r="L74" i="6"/>
  <c r="K74" i="6"/>
  <c r="L73" i="6"/>
  <c r="K73" i="6"/>
  <c r="L72" i="6"/>
  <c r="K72" i="6"/>
  <c r="L71" i="6"/>
  <c r="K71" i="6"/>
  <c r="L70" i="6"/>
  <c r="K70" i="6"/>
  <c r="L69" i="6"/>
  <c r="K69" i="6"/>
  <c r="L68" i="6"/>
  <c r="K68" i="6"/>
  <c r="L67" i="6"/>
  <c r="K67" i="6"/>
  <c r="L66" i="6"/>
  <c r="K66" i="6"/>
  <c r="L65" i="6"/>
  <c r="K65" i="6"/>
  <c r="L64" i="6"/>
  <c r="K64" i="6"/>
  <c r="L63" i="6"/>
  <c r="K63" i="6"/>
  <c r="L62" i="6"/>
  <c r="K62" i="6"/>
  <c r="L61" i="6"/>
  <c r="K61" i="6"/>
  <c r="L60" i="6"/>
  <c r="K60" i="6"/>
  <c r="L59" i="6"/>
  <c r="K59" i="6"/>
  <c r="L58" i="6"/>
  <c r="K58" i="6"/>
  <c r="L57" i="6"/>
  <c r="K57" i="6"/>
  <c r="L56" i="6"/>
  <c r="K56" i="6"/>
  <c r="L55" i="6"/>
  <c r="K55" i="6"/>
  <c r="L54" i="6"/>
  <c r="K54" i="6"/>
  <c r="L53" i="6"/>
  <c r="K53" i="6"/>
  <c r="L52" i="6"/>
  <c r="K52" i="6"/>
  <c r="L51" i="6"/>
  <c r="K51" i="6"/>
  <c r="L50" i="6"/>
  <c r="K50" i="6"/>
  <c r="L49" i="6"/>
  <c r="K49" i="6"/>
  <c r="L48" i="6"/>
  <c r="K48" i="6"/>
  <c r="L47" i="6"/>
  <c r="K47" i="6"/>
  <c r="L46" i="6"/>
  <c r="K46" i="6"/>
  <c r="L45" i="6"/>
  <c r="K45" i="6"/>
  <c r="L44" i="6"/>
  <c r="K44" i="6"/>
  <c r="L43" i="6"/>
  <c r="K43" i="6"/>
  <c r="L42" i="6"/>
  <c r="K42" i="6"/>
  <c r="L41" i="6"/>
  <c r="K41" i="6"/>
  <c r="L40" i="6"/>
  <c r="K40" i="6"/>
  <c r="L39" i="6"/>
  <c r="K39" i="6"/>
  <c r="L38" i="6"/>
  <c r="K38" i="6"/>
  <c r="L37" i="6"/>
  <c r="K37" i="6"/>
  <c r="L36" i="6"/>
  <c r="K36" i="6"/>
  <c r="L35" i="6"/>
  <c r="K35" i="6"/>
  <c r="L34" i="6"/>
  <c r="K34" i="6"/>
  <c r="L33" i="6"/>
  <c r="K33" i="6"/>
  <c r="L32" i="6"/>
  <c r="K32" i="6"/>
  <c r="L31" i="6"/>
  <c r="K31" i="6"/>
  <c r="L30" i="6"/>
  <c r="K30" i="6"/>
  <c r="L29" i="6"/>
  <c r="K29" i="6"/>
  <c r="L28" i="6"/>
  <c r="K28" i="6"/>
  <c r="L27" i="6"/>
  <c r="K27" i="6"/>
  <c r="L26" i="6"/>
  <c r="K26" i="6"/>
  <c r="L25" i="6"/>
  <c r="K25" i="6"/>
  <c r="L24" i="6"/>
  <c r="K24" i="6"/>
  <c r="L23" i="6"/>
  <c r="K23" i="6"/>
  <c r="L22" i="6"/>
  <c r="K22" i="6"/>
  <c r="L21" i="6"/>
  <c r="K21" i="6"/>
  <c r="L20" i="6"/>
  <c r="K20" i="6"/>
  <c r="L19" i="6"/>
  <c r="K19" i="6"/>
  <c r="L18" i="6"/>
  <c r="K18" i="6"/>
  <c r="L17" i="6"/>
  <c r="K17" i="6"/>
  <c r="L16" i="6"/>
  <c r="K16" i="6"/>
  <c r="L15" i="6"/>
  <c r="K15" i="6"/>
  <c r="L14" i="6"/>
  <c r="K14" i="6"/>
  <c r="L13" i="6"/>
  <c r="K13" i="6"/>
  <c r="L12" i="6"/>
  <c r="K12" i="6"/>
  <c r="L11" i="6"/>
  <c r="K11" i="6"/>
  <c r="L10" i="6"/>
  <c r="K10" i="6"/>
  <c r="L9" i="6"/>
  <c r="K9" i="6"/>
  <c r="L8" i="6"/>
  <c r="K8" i="6"/>
  <c r="L7" i="6"/>
  <c r="K7" i="6"/>
  <c r="L6" i="6"/>
  <c r="K6" i="6"/>
  <c r="L5" i="6"/>
  <c r="K5" i="6"/>
  <c r="L4" i="6"/>
  <c r="K4" i="6"/>
  <c r="L3" i="6"/>
  <c r="K3" i="6"/>
  <c r="L2" i="6"/>
  <c r="K2" i="6"/>
  <c r="J89" i="6"/>
  <c r="I89" i="6"/>
  <c r="J65" i="6"/>
  <c r="I65" i="6"/>
  <c r="J56" i="6"/>
  <c r="I56" i="6"/>
  <c r="J44" i="6"/>
  <c r="I44" i="6"/>
  <c r="J26" i="6"/>
  <c r="I26" i="6"/>
  <c r="J2" i="6"/>
  <c r="I2" i="6"/>
  <c r="J89" i="5"/>
  <c r="I89" i="5"/>
  <c r="K89" i="5" s="1"/>
  <c r="J77" i="5"/>
  <c r="I77" i="5"/>
  <c r="J53" i="5"/>
  <c r="I53" i="5"/>
  <c r="J35" i="5"/>
  <c r="I35" i="5"/>
  <c r="G37" i="5"/>
  <c r="G36" i="5"/>
  <c r="J26" i="5"/>
  <c r="L26" i="5" s="1"/>
  <c r="I26" i="5"/>
  <c r="K3" i="5"/>
  <c r="L3" i="5"/>
  <c r="K4" i="5"/>
  <c r="L4" i="5"/>
  <c r="K5" i="5"/>
  <c r="L5" i="5"/>
  <c r="K6" i="5"/>
  <c r="L6" i="5"/>
  <c r="K7" i="5"/>
  <c r="L7" i="5"/>
  <c r="K8" i="5"/>
  <c r="L8" i="5"/>
  <c r="K9" i="5"/>
  <c r="L9" i="5"/>
  <c r="K10" i="5"/>
  <c r="L10" i="5"/>
  <c r="K11" i="5"/>
  <c r="L11" i="5"/>
  <c r="K12" i="5"/>
  <c r="L12" i="5"/>
  <c r="K13" i="5"/>
  <c r="L13" i="5"/>
  <c r="K14" i="5"/>
  <c r="L14" i="5"/>
  <c r="K15" i="5"/>
  <c r="L15" i="5"/>
  <c r="K16" i="5"/>
  <c r="L16" i="5"/>
  <c r="K17" i="5"/>
  <c r="L17" i="5"/>
  <c r="K18" i="5"/>
  <c r="L18" i="5"/>
  <c r="K19" i="5"/>
  <c r="L19" i="5"/>
  <c r="K20" i="5"/>
  <c r="L20" i="5"/>
  <c r="K21" i="5"/>
  <c r="L21" i="5"/>
  <c r="K22" i="5"/>
  <c r="L22" i="5"/>
  <c r="K23" i="5"/>
  <c r="L23" i="5"/>
  <c r="K24" i="5"/>
  <c r="L24" i="5"/>
  <c r="K25" i="5"/>
  <c r="L25" i="5"/>
  <c r="K26" i="5"/>
  <c r="K27" i="5"/>
  <c r="L27" i="5"/>
  <c r="K28" i="5"/>
  <c r="L28" i="5"/>
  <c r="K29" i="5"/>
  <c r="L29" i="5"/>
  <c r="K30" i="5"/>
  <c r="L30" i="5"/>
  <c r="K31" i="5"/>
  <c r="L31" i="5"/>
  <c r="K32" i="5"/>
  <c r="L32" i="5"/>
  <c r="K33" i="5"/>
  <c r="L33" i="5"/>
  <c r="K34" i="5"/>
  <c r="L34" i="5"/>
  <c r="K36" i="5"/>
  <c r="L36" i="5"/>
  <c r="K37" i="5"/>
  <c r="L37" i="5"/>
  <c r="K38" i="5"/>
  <c r="L38" i="5"/>
  <c r="K39" i="5"/>
  <c r="L39" i="5"/>
  <c r="K40" i="5"/>
  <c r="L40" i="5"/>
  <c r="K41" i="5"/>
  <c r="L41" i="5"/>
  <c r="K42" i="5"/>
  <c r="L42" i="5"/>
  <c r="K43" i="5"/>
  <c r="L43" i="5"/>
  <c r="K44" i="5"/>
  <c r="L44" i="5"/>
  <c r="K45" i="5"/>
  <c r="L45" i="5"/>
  <c r="K46" i="5"/>
  <c r="L46" i="5"/>
  <c r="K47" i="5"/>
  <c r="L47" i="5"/>
  <c r="K48" i="5"/>
  <c r="L48" i="5"/>
  <c r="K49" i="5"/>
  <c r="L49" i="5"/>
  <c r="K50" i="5"/>
  <c r="L50" i="5"/>
  <c r="K51" i="5"/>
  <c r="L51" i="5"/>
  <c r="K52" i="5"/>
  <c r="L52" i="5"/>
  <c r="K53" i="5"/>
  <c r="L53" i="5"/>
  <c r="K54" i="5"/>
  <c r="L54" i="5"/>
  <c r="K55" i="5"/>
  <c r="L55" i="5"/>
  <c r="K56" i="5"/>
  <c r="L56" i="5"/>
  <c r="K57" i="5"/>
  <c r="L57" i="5"/>
  <c r="K58" i="5"/>
  <c r="L58" i="5"/>
  <c r="K59" i="5"/>
  <c r="L59" i="5"/>
  <c r="K60" i="5"/>
  <c r="L60" i="5"/>
  <c r="K61" i="5"/>
  <c r="L61" i="5"/>
  <c r="K62" i="5"/>
  <c r="L62" i="5"/>
  <c r="K63" i="5"/>
  <c r="L63" i="5"/>
  <c r="K64" i="5"/>
  <c r="L64" i="5"/>
  <c r="K65" i="5"/>
  <c r="L65" i="5"/>
  <c r="K66" i="5"/>
  <c r="L66" i="5"/>
  <c r="K67" i="5"/>
  <c r="L67" i="5"/>
  <c r="K68" i="5"/>
  <c r="L68" i="5"/>
  <c r="K69" i="5"/>
  <c r="L69" i="5"/>
  <c r="K70" i="5"/>
  <c r="L70" i="5"/>
  <c r="K71" i="5"/>
  <c r="L71" i="5"/>
  <c r="K72" i="5"/>
  <c r="L72" i="5"/>
  <c r="K73" i="5"/>
  <c r="L73" i="5"/>
  <c r="K74" i="5"/>
  <c r="L74" i="5"/>
  <c r="K75" i="5"/>
  <c r="L75" i="5"/>
  <c r="K76" i="5"/>
  <c r="L76" i="5"/>
  <c r="K77" i="5"/>
  <c r="L77" i="5"/>
  <c r="K78" i="5"/>
  <c r="L78" i="5"/>
  <c r="K79" i="5"/>
  <c r="L79" i="5"/>
  <c r="K80" i="5"/>
  <c r="L80" i="5"/>
  <c r="K81" i="5"/>
  <c r="L81" i="5"/>
  <c r="K82" i="5"/>
  <c r="L82" i="5"/>
  <c r="K83" i="5"/>
  <c r="L83" i="5"/>
  <c r="K84" i="5"/>
  <c r="L84" i="5"/>
  <c r="K85" i="5"/>
  <c r="L85" i="5"/>
  <c r="K86" i="5"/>
  <c r="L86" i="5"/>
  <c r="K87" i="5"/>
  <c r="L87" i="5"/>
  <c r="K88" i="5"/>
  <c r="L88" i="5"/>
  <c r="L89" i="5"/>
  <c r="K90" i="5"/>
  <c r="L90" i="5"/>
  <c r="K91" i="5"/>
  <c r="L91" i="5"/>
  <c r="K92" i="5"/>
  <c r="L92" i="5"/>
  <c r="K93" i="5"/>
  <c r="L93" i="5"/>
  <c r="K94" i="5"/>
  <c r="L94" i="5"/>
  <c r="K95" i="5"/>
  <c r="L95" i="5"/>
  <c r="K96" i="5"/>
  <c r="L96" i="5"/>
  <c r="K97" i="5"/>
  <c r="L97" i="5"/>
  <c r="L2" i="5"/>
  <c r="K2" i="5"/>
  <c r="J2" i="5"/>
  <c r="I2" i="5"/>
  <c r="J71" i="4"/>
  <c r="L71" i="4" s="1"/>
  <c r="I71" i="4"/>
  <c r="K71" i="4" s="1"/>
  <c r="J47" i="4"/>
  <c r="L47" i="4" s="1"/>
  <c r="I47" i="4"/>
  <c r="K47" i="4" s="1"/>
  <c r="K48" i="4"/>
  <c r="L48" i="4"/>
  <c r="K49" i="4"/>
  <c r="L49" i="4"/>
  <c r="K50" i="4"/>
  <c r="L50" i="4"/>
  <c r="K51" i="4"/>
  <c r="L51" i="4"/>
  <c r="K52" i="4"/>
  <c r="L52" i="4"/>
  <c r="K53" i="4"/>
  <c r="L53" i="4"/>
  <c r="K54" i="4"/>
  <c r="L54" i="4"/>
  <c r="K55" i="4"/>
  <c r="L55" i="4"/>
  <c r="K56" i="4"/>
  <c r="L56" i="4"/>
  <c r="K57" i="4"/>
  <c r="L57" i="4"/>
  <c r="K58" i="4"/>
  <c r="L58" i="4"/>
  <c r="K59" i="4"/>
  <c r="L59" i="4"/>
  <c r="K60" i="4"/>
  <c r="L60" i="4"/>
  <c r="K61" i="4"/>
  <c r="L61" i="4"/>
  <c r="K62" i="4"/>
  <c r="L62" i="4"/>
  <c r="K63" i="4"/>
  <c r="L63" i="4"/>
  <c r="K64" i="4"/>
  <c r="L64" i="4"/>
  <c r="K65" i="4"/>
  <c r="L65" i="4"/>
  <c r="K66" i="4"/>
  <c r="L66" i="4"/>
  <c r="K67" i="4"/>
  <c r="L67" i="4"/>
  <c r="K68" i="4"/>
  <c r="L68" i="4"/>
  <c r="K69" i="4"/>
  <c r="L69" i="4"/>
  <c r="K70" i="4"/>
  <c r="L70" i="4"/>
  <c r="K72" i="4"/>
  <c r="L72" i="4"/>
  <c r="K73" i="4"/>
  <c r="L73" i="4"/>
  <c r="K74" i="4"/>
  <c r="L74" i="4"/>
  <c r="K75" i="4"/>
  <c r="L75" i="4"/>
  <c r="K76" i="4"/>
  <c r="L76" i="4"/>
  <c r="K77" i="4"/>
  <c r="L77" i="4"/>
  <c r="K78" i="4"/>
  <c r="L78" i="4"/>
  <c r="K79" i="4"/>
  <c r="L79" i="4"/>
  <c r="K80" i="4"/>
  <c r="L80" i="4"/>
  <c r="K81" i="4"/>
  <c r="L81" i="4"/>
  <c r="K82" i="4"/>
  <c r="L82" i="4"/>
  <c r="K83" i="4"/>
  <c r="L83" i="4"/>
  <c r="K84" i="4"/>
  <c r="L84" i="4"/>
  <c r="K85" i="4"/>
  <c r="L85" i="4"/>
  <c r="K86" i="4"/>
  <c r="L86" i="4"/>
  <c r="K87" i="4"/>
  <c r="L87" i="4"/>
  <c r="K88" i="4"/>
  <c r="L88" i="4"/>
  <c r="K89" i="4"/>
  <c r="L89" i="4"/>
  <c r="K90" i="4"/>
  <c r="L90" i="4"/>
  <c r="K91" i="4"/>
  <c r="L91" i="4"/>
  <c r="K92" i="4"/>
  <c r="L92" i="4"/>
  <c r="K93" i="4"/>
  <c r="L93" i="4"/>
  <c r="K94" i="4"/>
  <c r="L94" i="4"/>
  <c r="K95" i="4"/>
  <c r="L95" i="4"/>
  <c r="K96" i="4"/>
  <c r="L96" i="4"/>
  <c r="K97" i="4"/>
  <c r="L97" i="4"/>
  <c r="K35" i="4"/>
  <c r="L35" i="4"/>
  <c r="K36" i="4"/>
  <c r="L36" i="4"/>
  <c r="K37" i="4"/>
  <c r="L37" i="4"/>
  <c r="K38" i="4"/>
  <c r="L38" i="4"/>
  <c r="K39" i="4"/>
  <c r="L39" i="4"/>
  <c r="K40" i="4"/>
  <c r="L40" i="4"/>
  <c r="K41" i="4"/>
  <c r="L41" i="4"/>
  <c r="K42" i="4"/>
  <c r="L42" i="4"/>
  <c r="K43" i="4"/>
  <c r="L43" i="4"/>
  <c r="K44" i="4"/>
  <c r="L44" i="4"/>
  <c r="K45" i="4"/>
  <c r="L45" i="4"/>
  <c r="K46" i="4"/>
  <c r="L46" i="4"/>
  <c r="J35" i="4"/>
  <c r="I35" i="4"/>
  <c r="K20" i="4"/>
  <c r="L20" i="4"/>
  <c r="K21" i="4"/>
  <c r="L21" i="4"/>
  <c r="K22" i="4"/>
  <c r="L22" i="4"/>
  <c r="K23" i="4"/>
  <c r="L23" i="4"/>
  <c r="K24" i="4"/>
  <c r="L24" i="4"/>
  <c r="K25" i="4"/>
  <c r="L25" i="4"/>
  <c r="K26" i="4"/>
  <c r="L26" i="4"/>
  <c r="K27" i="4"/>
  <c r="L27" i="4"/>
  <c r="K28" i="4"/>
  <c r="L28" i="4"/>
  <c r="K29" i="4"/>
  <c r="L29" i="4"/>
  <c r="K30" i="4"/>
  <c r="L30" i="4"/>
  <c r="K31" i="4"/>
  <c r="L31" i="4"/>
  <c r="K32" i="4"/>
  <c r="L32" i="4"/>
  <c r="K33" i="4"/>
  <c r="L33" i="4"/>
  <c r="K34" i="4"/>
  <c r="L34" i="4"/>
  <c r="J20" i="4"/>
  <c r="I20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" i="4"/>
  <c r="J2" i="4"/>
  <c r="I3" i="4"/>
  <c r="I2" i="4"/>
  <c r="H95" i="4"/>
  <c r="H97" i="4" s="1"/>
  <c r="G95" i="4"/>
  <c r="G96" i="4" s="1"/>
  <c r="G97" i="4" s="1"/>
  <c r="H92" i="4"/>
  <c r="H93" i="4" s="1"/>
  <c r="G92" i="4"/>
  <c r="G93" i="4" s="1"/>
  <c r="H89" i="4"/>
  <c r="H91" i="4" s="1"/>
  <c r="G89" i="4"/>
  <c r="G90" i="4" s="1"/>
  <c r="G91" i="4" s="1"/>
  <c r="H86" i="4"/>
  <c r="H88" i="4" s="1"/>
  <c r="G86" i="4"/>
  <c r="G88" i="4" s="1"/>
  <c r="H83" i="4"/>
  <c r="H85" i="4" s="1"/>
  <c r="G83" i="4"/>
  <c r="G84" i="4" s="1"/>
  <c r="G85" i="4" s="1"/>
  <c r="H80" i="4"/>
  <c r="H81" i="4" s="1"/>
  <c r="G80" i="4"/>
  <c r="G81" i="4" s="1"/>
  <c r="H77" i="4"/>
  <c r="H79" i="4" s="1"/>
  <c r="G77" i="4"/>
  <c r="G78" i="4" s="1"/>
  <c r="G79" i="4" s="1"/>
  <c r="H74" i="4"/>
  <c r="H75" i="4" s="1"/>
  <c r="G74" i="4"/>
  <c r="G75" i="4" s="1"/>
  <c r="H71" i="4"/>
  <c r="H73" i="4" s="1"/>
  <c r="G71" i="4"/>
  <c r="G72" i="4" s="1"/>
  <c r="G73" i="4" s="1"/>
  <c r="H68" i="4"/>
  <c r="H69" i="4" s="1"/>
  <c r="G68" i="4"/>
  <c r="G70" i="4" s="1"/>
  <c r="H65" i="4"/>
  <c r="H67" i="4" s="1"/>
  <c r="G65" i="4"/>
  <c r="G66" i="4" s="1"/>
  <c r="G67" i="4" s="1"/>
  <c r="H62" i="4"/>
  <c r="H64" i="4" s="1"/>
  <c r="G62" i="4"/>
  <c r="G64" i="4" s="1"/>
  <c r="H59" i="4"/>
  <c r="H61" i="4" s="1"/>
  <c r="G59" i="4"/>
  <c r="G60" i="4" s="1"/>
  <c r="G61" i="4" s="1"/>
  <c r="H57" i="4"/>
  <c r="H56" i="4"/>
  <c r="H58" i="4" s="1"/>
  <c r="G56" i="4"/>
  <c r="G57" i="4" s="1"/>
  <c r="H53" i="4"/>
  <c r="H55" i="4" s="1"/>
  <c r="G53" i="4"/>
  <c r="G54" i="4" s="1"/>
  <c r="G55" i="4" s="1"/>
  <c r="H50" i="4"/>
  <c r="H52" i="4" s="1"/>
  <c r="G50" i="4"/>
  <c r="G52" i="4" s="1"/>
  <c r="H47" i="4"/>
  <c r="H49" i="4" s="1"/>
  <c r="G47" i="4"/>
  <c r="G48" i="4" s="1"/>
  <c r="G49" i="4" s="1"/>
  <c r="H44" i="4"/>
  <c r="H46" i="4" s="1"/>
  <c r="G44" i="4"/>
  <c r="G45" i="4" s="1"/>
  <c r="H41" i="4"/>
  <c r="H43" i="4" s="1"/>
  <c r="G41" i="4"/>
  <c r="G42" i="4" s="1"/>
  <c r="G43" i="4" s="1"/>
  <c r="H39" i="4"/>
  <c r="H38" i="4"/>
  <c r="H40" i="4" s="1"/>
  <c r="G38" i="4"/>
  <c r="G40" i="4" s="1"/>
  <c r="H35" i="4"/>
  <c r="H36" i="4" s="1"/>
  <c r="G35" i="4"/>
  <c r="G36" i="4" s="1"/>
  <c r="G37" i="4" s="1"/>
  <c r="H32" i="4"/>
  <c r="H33" i="4" s="1"/>
  <c r="G32" i="4"/>
  <c r="G33" i="4" s="1"/>
  <c r="H29" i="4"/>
  <c r="H31" i="4" s="1"/>
  <c r="G29" i="4"/>
  <c r="G30" i="4" s="1"/>
  <c r="G31" i="4" s="1"/>
  <c r="H26" i="4"/>
  <c r="H28" i="4" s="1"/>
  <c r="G26" i="4"/>
  <c r="G28" i="4" s="1"/>
  <c r="H23" i="4"/>
  <c r="H25" i="4" s="1"/>
  <c r="G23" i="4"/>
  <c r="G24" i="4" s="1"/>
  <c r="G25" i="4" s="1"/>
  <c r="H20" i="4"/>
  <c r="H21" i="4" s="1"/>
  <c r="G20" i="4"/>
  <c r="G21" i="4" s="1"/>
  <c r="H17" i="4"/>
  <c r="H19" i="4" s="1"/>
  <c r="G17" i="4"/>
  <c r="G18" i="4" s="1"/>
  <c r="G19" i="4" s="1"/>
  <c r="H14" i="4"/>
  <c r="H16" i="4" s="1"/>
  <c r="G14" i="4"/>
  <c r="G16" i="4" s="1"/>
  <c r="H11" i="4"/>
  <c r="H13" i="4" s="1"/>
  <c r="G11" i="4"/>
  <c r="G12" i="4" s="1"/>
  <c r="G13" i="4" s="1"/>
  <c r="H8" i="4"/>
  <c r="H10" i="4" s="1"/>
  <c r="G8" i="4"/>
  <c r="G9" i="4" s="1"/>
  <c r="H5" i="4"/>
  <c r="H7" i="4" s="1"/>
  <c r="G5" i="4"/>
  <c r="G6" i="4" s="1"/>
  <c r="G7" i="4" s="1"/>
  <c r="H2" i="4"/>
  <c r="H4" i="4" s="1"/>
  <c r="G2" i="4"/>
  <c r="G4" i="4" s="1"/>
  <c r="H95" i="5"/>
  <c r="H97" i="5" s="1"/>
  <c r="G95" i="5"/>
  <c r="G96" i="5" s="1"/>
  <c r="G97" i="5" s="1"/>
  <c r="H93" i="5"/>
  <c r="H92" i="5"/>
  <c r="H94" i="5" s="1"/>
  <c r="G92" i="5"/>
  <c r="G94" i="5" s="1"/>
  <c r="H91" i="5"/>
  <c r="H90" i="5"/>
  <c r="H89" i="5"/>
  <c r="G89" i="5"/>
  <c r="G90" i="5" s="1"/>
  <c r="G91" i="5" s="1"/>
  <c r="H86" i="5"/>
  <c r="H88" i="5" s="1"/>
  <c r="G86" i="5"/>
  <c r="G88" i="5" s="1"/>
  <c r="H83" i="5"/>
  <c r="H85" i="5" s="1"/>
  <c r="G83" i="5"/>
  <c r="G84" i="5" s="1"/>
  <c r="G85" i="5" s="1"/>
  <c r="H80" i="5"/>
  <c r="H81" i="5" s="1"/>
  <c r="G80" i="5"/>
  <c r="G81" i="5" s="1"/>
  <c r="H77" i="5"/>
  <c r="H79" i="5" s="1"/>
  <c r="G77" i="5"/>
  <c r="G78" i="5" s="1"/>
  <c r="G79" i="5" s="1"/>
  <c r="H74" i="5"/>
  <c r="H75" i="5" s="1"/>
  <c r="G74" i="5"/>
  <c r="G76" i="5" s="1"/>
  <c r="H71" i="5"/>
  <c r="H73" i="5" s="1"/>
  <c r="G71" i="5"/>
  <c r="G72" i="5" s="1"/>
  <c r="G73" i="5" s="1"/>
  <c r="H68" i="5"/>
  <c r="H69" i="5" s="1"/>
  <c r="G68" i="5"/>
  <c r="G70" i="5" s="1"/>
  <c r="H65" i="5"/>
  <c r="H67" i="5" s="1"/>
  <c r="G65" i="5"/>
  <c r="G66" i="5" s="1"/>
  <c r="G67" i="5" s="1"/>
  <c r="H62" i="5"/>
  <c r="H64" i="5" s="1"/>
  <c r="G62" i="5"/>
  <c r="G64" i="5" s="1"/>
  <c r="H59" i="5"/>
  <c r="H61" i="5" s="1"/>
  <c r="G59" i="5"/>
  <c r="G60" i="5" s="1"/>
  <c r="G61" i="5" s="1"/>
  <c r="H58" i="5"/>
  <c r="G58" i="5"/>
  <c r="H56" i="5"/>
  <c r="H57" i="5" s="1"/>
  <c r="G56" i="5"/>
  <c r="G57" i="5" s="1"/>
  <c r="H53" i="5"/>
  <c r="H55" i="5" s="1"/>
  <c r="G53" i="5"/>
  <c r="G54" i="5" s="1"/>
  <c r="G55" i="5" s="1"/>
  <c r="H50" i="5"/>
  <c r="H51" i="5" s="1"/>
  <c r="G50" i="5"/>
  <c r="G52" i="5" s="1"/>
  <c r="H47" i="5"/>
  <c r="H49" i="5" s="1"/>
  <c r="G47" i="5"/>
  <c r="G48" i="5" s="1"/>
  <c r="G49" i="5" s="1"/>
  <c r="H44" i="5"/>
  <c r="H46" i="5" s="1"/>
  <c r="G44" i="5"/>
  <c r="G46" i="5" s="1"/>
  <c r="H41" i="5"/>
  <c r="H43" i="5" s="1"/>
  <c r="G41" i="5"/>
  <c r="G42" i="5" s="1"/>
  <c r="G43" i="5" s="1"/>
  <c r="H38" i="5"/>
  <c r="H40" i="5" s="1"/>
  <c r="G38" i="5"/>
  <c r="G40" i="5" s="1"/>
  <c r="H35" i="5"/>
  <c r="H37" i="5" s="1"/>
  <c r="G35" i="5"/>
  <c r="K35" i="5" s="1"/>
  <c r="H32" i="5"/>
  <c r="H33" i="5" s="1"/>
  <c r="G32" i="5"/>
  <c r="G33" i="5" s="1"/>
  <c r="H29" i="5"/>
  <c r="H31" i="5" s="1"/>
  <c r="G29" i="5"/>
  <c r="G30" i="5" s="1"/>
  <c r="G31" i="5" s="1"/>
  <c r="H26" i="5"/>
  <c r="H27" i="5" s="1"/>
  <c r="G26" i="5"/>
  <c r="G28" i="5" s="1"/>
  <c r="H23" i="5"/>
  <c r="H25" i="5" s="1"/>
  <c r="G23" i="5"/>
  <c r="G24" i="5" s="1"/>
  <c r="G25" i="5" s="1"/>
  <c r="H20" i="5"/>
  <c r="H22" i="5" s="1"/>
  <c r="G20" i="5"/>
  <c r="G22" i="5" s="1"/>
  <c r="H17" i="5"/>
  <c r="H19" i="5" s="1"/>
  <c r="G17" i="5"/>
  <c r="G18" i="5" s="1"/>
  <c r="G19" i="5" s="1"/>
  <c r="G15" i="5"/>
  <c r="H14" i="5"/>
  <c r="H16" i="5" s="1"/>
  <c r="G14" i="5"/>
  <c r="G16" i="5" s="1"/>
  <c r="H11" i="5"/>
  <c r="H13" i="5" s="1"/>
  <c r="G11" i="5"/>
  <c r="G12" i="5" s="1"/>
  <c r="G13" i="5" s="1"/>
  <c r="H8" i="5"/>
  <c r="H9" i="5" s="1"/>
  <c r="G8" i="5"/>
  <c r="G9" i="5" s="1"/>
  <c r="H5" i="5"/>
  <c r="H7" i="5" s="1"/>
  <c r="G5" i="5"/>
  <c r="G6" i="5" s="1"/>
  <c r="G7" i="5" s="1"/>
  <c r="H2" i="5"/>
  <c r="H4" i="5" s="1"/>
  <c r="G2" i="5"/>
  <c r="G3" i="5" s="1"/>
  <c r="H95" i="6"/>
  <c r="H97" i="6" s="1"/>
  <c r="G95" i="6"/>
  <c r="G96" i="6" s="1"/>
  <c r="G97" i="6" s="1"/>
  <c r="H92" i="6"/>
  <c r="H94" i="6" s="1"/>
  <c r="G92" i="6"/>
  <c r="G94" i="6" s="1"/>
  <c r="H91" i="6"/>
  <c r="H90" i="6"/>
  <c r="H89" i="6"/>
  <c r="G89" i="6"/>
  <c r="G90" i="6" s="1"/>
  <c r="G91" i="6" s="1"/>
  <c r="H86" i="6"/>
  <c r="H88" i="6" s="1"/>
  <c r="G86" i="6"/>
  <c r="G88" i="6" s="1"/>
  <c r="H83" i="6"/>
  <c r="H85" i="6" s="1"/>
  <c r="G83" i="6"/>
  <c r="G84" i="6" s="1"/>
  <c r="G85" i="6" s="1"/>
  <c r="H80" i="6"/>
  <c r="H81" i="6" s="1"/>
  <c r="G80" i="6"/>
  <c r="G81" i="6" s="1"/>
  <c r="H77" i="6"/>
  <c r="H79" i="6" s="1"/>
  <c r="G77" i="6"/>
  <c r="G78" i="6" s="1"/>
  <c r="G79" i="6" s="1"/>
  <c r="H74" i="6"/>
  <c r="H76" i="6" s="1"/>
  <c r="G74" i="6"/>
  <c r="G75" i="6" s="1"/>
  <c r="H71" i="6"/>
  <c r="H73" i="6" s="1"/>
  <c r="G71" i="6"/>
  <c r="G72" i="6" s="1"/>
  <c r="G73" i="6" s="1"/>
  <c r="H68" i="6"/>
  <c r="H70" i="6" s="1"/>
  <c r="G68" i="6"/>
  <c r="G70" i="6" s="1"/>
  <c r="H67" i="6"/>
  <c r="H66" i="6"/>
  <c r="G66" i="6"/>
  <c r="G67" i="6" s="1"/>
  <c r="H65" i="6"/>
  <c r="G65" i="6"/>
  <c r="H62" i="6"/>
  <c r="H64" i="6" s="1"/>
  <c r="G62" i="6"/>
  <c r="G64" i="6" s="1"/>
  <c r="H60" i="6"/>
  <c r="G60" i="6"/>
  <c r="G61" i="6" s="1"/>
  <c r="H59" i="6"/>
  <c r="H61" i="6" s="1"/>
  <c r="G59" i="6"/>
  <c r="H56" i="6"/>
  <c r="H57" i="6" s="1"/>
  <c r="G56" i="6"/>
  <c r="G57" i="6" s="1"/>
  <c r="H53" i="6"/>
  <c r="H55" i="6" s="1"/>
  <c r="G53" i="6"/>
  <c r="G54" i="6" s="1"/>
  <c r="G55" i="6" s="1"/>
  <c r="H50" i="6"/>
  <c r="H52" i="6" s="1"/>
  <c r="G50" i="6"/>
  <c r="G51" i="6" s="1"/>
  <c r="H47" i="6"/>
  <c r="H49" i="6" s="1"/>
  <c r="G47" i="6"/>
  <c r="G48" i="6" s="1"/>
  <c r="G49" i="6" s="1"/>
  <c r="H44" i="6"/>
  <c r="H45" i="6" s="1"/>
  <c r="G44" i="6"/>
  <c r="G46" i="6" s="1"/>
  <c r="H41" i="6"/>
  <c r="H43" i="6" s="1"/>
  <c r="G41" i="6"/>
  <c r="G42" i="6" s="1"/>
  <c r="G43" i="6" s="1"/>
  <c r="H38" i="6"/>
  <c r="H40" i="6" s="1"/>
  <c r="G38" i="6"/>
  <c r="G40" i="6" s="1"/>
  <c r="G36" i="6"/>
  <c r="G37" i="6" s="1"/>
  <c r="H35" i="6"/>
  <c r="H36" i="6" s="1"/>
  <c r="G35" i="6"/>
  <c r="H32" i="6"/>
  <c r="H33" i="6" s="1"/>
  <c r="G32" i="6"/>
  <c r="G33" i="6" s="1"/>
  <c r="H29" i="6"/>
  <c r="H31" i="6" s="1"/>
  <c r="G29" i="6"/>
  <c r="G30" i="6" s="1"/>
  <c r="G31" i="6" s="1"/>
  <c r="H26" i="6"/>
  <c r="H27" i="6" s="1"/>
  <c r="G26" i="6"/>
  <c r="G27" i="6" s="1"/>
  <c r="H23" i="6"/>
  <c r="H25" i="6" s="1"/>
  <c r="G23" i="6"/>
  <c r="G24" i="6" s="1"/>
  <c r="G25" i="6" s="1"/>
  <c r="H20" i="6"/>
  <c r="H21" i="6" s="1"/>
  <c r="G20" i="6"/>
  <c r="G22" i="6" s="1"/>
  <c r="H17" i="6"/>
  <c r="H18" i="6" s="1"/>
  <c r="G17" i="6"/>
  <c r="G18" i="6" s="1"/>
  <c r="G19" i="6" s="1"/>
  <c r="G15" i="6"/>
  <c r="H14" i="6"/>
  <c r="H16" i="6" s="1"/>
  <c r="G14" i="6"/>
  <c r="G16" i="6" s="1"/>
  <c r="H11" i="6"/>
  <c r="H13" i="6" s="1"/>
  <c r="G11" i="6"/>
  <c r="G12" i="6" s="1"/>
  <c r="G13" i="6" s="1"/>
  <c r="H8" i="6"/>
  <c r="H9" i="6" s="1"/>
  <c r="G8" i="6"/>
  <c r="G9" i="6" s="1"/>
  <c r="H5" i="6"/>
  <c r="H7" i="6" s="1"/>
  <c r="G5" i="6"/>
  <c r="G6" i="6" s="1"/>
  <c r="G7" i="6" s="1"/>
  <c r="H2" i="6"/>
  <c r="H3" i="6" s="1"/>
  <c r="G2" i="6"/>
  <c r="G3" i="6" s="1"/>
  <c r="H95" i="7"/>
  <c r="H97" i="7" s="1"/>
  <c r="H92" i="7"/>
  <c r="H94" i="7" s="1"/>
  <c r="H89" i="7"/>
  <c r="H91" i="7" s="1"/>
  <c r="H86" i="7"/>
  <c r="H87" i="7" s="1"/>
  <c r="H83" i="7"/>
  <c r="H84" i="7" s="1"/>
  <c r="H80" i="7"/>
  <c r="H81" i="7" s="1"/>
  <c r="H77" i="7"/>
  <c r="H79" i="7" s="1"/>
  <c r="H74" i="7"/>
  <c r="H76" i="7" s="1"/>
  <c r="H71" i="7"/>
  <c r="H72" i="7" s="1"/>
  <c r="H68" i="7"/>
  <c r="H70" i="7" s="1"/>
  <c r="H65" i="7"/>
  <c r="H66" i="7" s="1"/>
  <c r="H62" i="7"/>
  <c r="H64" i="7" s="1"/>
  <c r="H59" i="7"/>
  <c r="H61" i="7" s="1"/>
  <c r="H56" i="7"/>
  <c r="H58" i="7" s="1"/>
  <c r="H53" i="7"/>
  <c r="H55" i="7" s="1"/>
  <c r="H50" i="7"/>
  <c r="H52" i="7" s="1"/>
  <c r="H47" i="7"/>
  <c r="H49" i="7" s="1"/>
  <c r="H44" i="7"/>
  <c r="H46" i="7" s="1"/>
  <c r="H41" i="7"/>
  <c r="H43" i="7" s="1"/>
  <c r="H38" i="7"/>
  <c r="H39" i="7" s="1"/>
  <c r="H35" i="7"/>
  <c r="H37" i="7" s="1"/>
  <c r="H32" i="7"/>
  <c r="H33" i="7" s="1"/>
  <c r="H29" i="7"/>
  <c r="H31" i="7" s="1"/>
  <c r="H26" i="7"/>
  <c r="H28" i="7" s="1"/>
  <c r="H23" i="7"/>
  <c r="H24" i="7" s="1"/>
  <c r="H20" i="7"/>
  <c r="H21" i="7" s="1"/>
  <c r="H17" i="7"/>
  <c r="H18" i="7" s="1"/>
  <c r="H14" i="7"/>
  <c r="H16" i="7" s="1"/>
  <c r="H11" i="7"/>
  <c r="H13" i="7" s="1"/>
  <c r="H8" i="7"/>
  <c r="H10" i="7" s="1"/>
  <c r="H5" i="7"/>
  <c r="H7" i="7" s="1"/>
  <c r="H2" i="7"/>
  <c r="H3" i="7" s="1"/>
  <c r="G95" i="7"/>
  <c r="G96" i="7" s="1"/>
  <c r="G97" i="7" s="1"/>
  <c r="G92" i="7"/>
  <c r="G94" i="7" s="1"/>
  <c r="G90" i="7"/>
  <c r="G91" i="7" s="1"/>
  <c r="G89" i="7"/>
  <c r="G86" i="7"/>
  <c r="G88" i="7" s="1"/>
  <c r="G83" i="7"/>
  <c r="G84" i="7" s="1"/>
  <c r="G85" i="7" s="1"/>
  <c r="G80" i="7"/>
  <c r="G81" i="7" s="1"/>
  <c r="G77" i="7"/>
  <c r="G78" i="7" s="1"/>
  <c r="G79" i="7" s="1"/>
  <c r="G74" i="7"/>
  <c r="G76" i="7" s="1"/>
  <c r="G71" i="7"/>
  <c r="G72" i="7" s="1"/>
  <c r="G73" i="7" s="1"/>
  <c r="G68" i="7"/>
  <c r="G70" i="7" s="1"/>
  <c r="G65" i="7"/>
  <c r="G66" i="7" s="1"/>
  <c r="G67" i="7" s="1"/>
  <c r="G62" i="7"/>
  <c r="G64" i="7" s="1"/>
  <c r="G59" i="7"/>
  <c r="G60" i="7" s="1"/>
  <c r="G61" i="7" s="1"/>
  <c r="G56" i="7"/>
  <c r="G57" i="7" s="1"/>
  <c r="G53" i="7"/>
  <c r="G54" i="7" s="1"/>
  <c r="G55" i="7" s="1"/>
  <c r="G50" i="7"/>
  <c r="G51" i="7" s="1"/>
  <c r="G47" i="7"/>
  <c r="G48" i="7" s="1"/>
  <c r="G49" i="7" s="1"/>
  <c r="G44" i="7"/>
  <c r="G46" i="7" s="1"/>
  <c r="G41" i="7"/>
  <c r="G42" i="7" s="1"/>
  <c r="G43" i="7" s="1"/>
  <c r="G38" i="7"/>
  <c r="G39" i="7" s="1"/>
  <c r="G35" i="7"/>
  <c r="G36" i="7" s="1"/>
  <c r="G37" i="7" s="1"/>
  <c r="G32" i="7"/>
  <c r="G33" i="7" s="1"/>
  <c r="G29" i="7"/>
  <c r="G30" i="7" s="1"/>
  <c r="G31" i="7" s="1"/>
  <c r="G26" i="7"/>
  <c r="G28" i="7" s="1"/>
  <c r="G23" i="7"/>
  <c r="G24" i="7" s="1"/>
  <c r="G25" i="7" s="1"/>
  <c r="G20" i="7"/>
  <c r="G21" i="7" s="1"/>
  <c r="G17" i="7"/>
  <c r="G18" i="7" s="1"/>
  <c r="G19" i="7" s="1"/>
  <c r="G14" i="7"/>
  <c r="G16" i="7" s="1"/>
  <c r="G11" i="7"/>
  <c r="G12" i="7" s="1"/>
  <c r="G13" i="7" s="1"/>
  <c r="G8" i="7"/>
  <c r="G10" i="7" s="1"/>
  <c r="G5" i="7"/>
  <c r="G6" i="7" s="1"/>
  <c r="G7" i="7" s="1"/>
  <c r="G2" i="7"/>
  <c r="G4" i="7" s="1"/>
  <c r="S3" i="3"/>
  <c r="S5" i="3"/>
  <c r="S6" i="3"/>
  <c r="S7" i="3"/>
  <c r="S8" i="3"/>
  <c r="S10" i="3"/>
  <c r="S12" i="3"/>
  <c r="S14" i="3"/>
  <c r="S15" i="3"/>
  <c r="S16" i="3"/>
  <c r="S17" i="3"/>
  <c r="S18" i="3"/>
  <c r="S20" i="3"/>
  <c r="S22" i="3"/>
  <c r="S23" i="3"/>
  <c r="S24" i="3"/>
  <c r="S25" i="3"/>
  <c r="S26" i="3"/>
  <c r="S27" i="3"/>
  <c r="S28" i="3"/>
  <c r="S29" i="3"/>
  <c r="S30" i="3"/>
  <c r="S32" i="3"/>
  <c r="S33" i="3"/>
  <c r="S34" i="3"/>
  <c r="N37" i="3"/>
  <c r="O37" i="3"/>
  <c r="C37" i="3"/>
  <c r="D37" i="3"/>
  <c r="E37" i="3"/>
  <c r="F37" i="3"/>
  <c r="G37" i="3"/>
  <c r="H37" i="3"/>
  <c r="I37" i="3"/>
  <c r="J37" i="3"/>
  <c r="K37" i="3"/>
  <c r="L37" i="3"/>
  <c r="M37" i="3"/>
  <c r="B37" i="3"/>
  <c r="P4" i="3"/>
  <c r="Q4" i="3" s="1"/>
  <c r="P7" i="3"/>
  <c r="Q7" i="3" s="1"/>
  <c r="P12" i="3"/>
  <c r="Q12" i="3" s="1"/>
  <c r="P11" i="3"/>
  <c r="Q11" i="3" s="1"/>
  <c r="P24" i="3"/>
  <c r="Q24" i="3" s="1"/>
  <c r="P16" i="3"/>
  <c r="Q16" i="3" s="1"/>
  <c r="P3" i="3"/>
  <c r="Q3" i="3" s="1"/>
  <c r="P61" i="3"/>
  <c r="Q61" i="3" s="1"/>
  <c r="P5" i="3"/>
  <c r="Q5" i="3" s="1"/>
  <c r="P6" i="3"/>
  <c r="Q6" i="3" s="1"/>
  <c r="P62" i="3"/>
  <c r="Q62" i="3" s="1"/>
  <c r="P8" i="3"/>
  <c r="Q8" i="3" s="1"/>
  <c r="P9" i="3"/>
  <c r="Q9" i="3" s="1"/>
  <c r="P10" i="3"/>
  <c r="Q10" i="3" s="1"/>
  <c r="P63" i="3"/>
  <c r="Q63" i="3" s="1"/>
  <c r="P64" i="3"/>
  <c r="Q64" i="3" s="1"/>
  <c r="P13" i="3"/>
  <c r="Q13" i="3" s="1"/>
  <c r="P14" i="3"/>
  <c r="Q14" i="3" s="1"/>
  <c r="P15" i="3"/>
  <c r="Q15" i="3" s="1"/>
  <c r="P65" i="3"/>
  <c r="Q65" i="3" s="1"/>
  <c r="P17" i="3"/>
  <c r="Q17" i="3" s="1"/>
  <c r="P18" i="3"/>
  <c r="Q18" i="3" s="1"/>
  <c r="P19" i="3"/>
  <c r="Q19" i="3" s="1"/>
  <c r="P20" i="3"/>
  <c r="Q20" i="3" s="1"/>
  <c r="P21" i="3"/>
  <c r="Q21" i="3" s="1"/>
  <c r="P22" i="3"/>
  <c r="Q22" i="3" s="1"/>
  <c r="P23" i="3"/>
  <c r="Q23" i="3" s="1"/>
  <c r="P66" i="3"/>
  <c r="Q66" i="3" s="1"/>
  <c r="P25" i="3"/>
  <c r="Q25" i="3" s="1"/>
  <c r="P26" i="3"/>
  <c r="Q26" i="3" s="1"/>
  <c r="P27" i="3"/>
  <c r="Q27" i="3" s="1"/>
  <c r="P28" i="3"/>
  <c r="Q28" i="3" s="1"/>
  <c r="P29" i="3"/>
  <c r="Q29" i="3" s="1"/>
  <c r="P30" i="3"/>
  <c r="Q30" i="3" s="1"/>
  <c r="P31" i="3"/>
  <c r="Q31" i="3" s="1"/>
  <c r="P32" i="3"/>
  <c r="Q32" i="3" s="1"/>
  <c r="P33" i="3"/>
  <c r="Q33" i="3" s="1"/>
  <c r="P34" i="3"/>
  <c r="Q34" i="3" s="1"/>
  <c r="P2" i="3"/>
  <c r="Q2" i="3" s="1"/>
  <c r="B35" i="3"/>
  <c r="B36" i="3" s="1"/>
  <c r="C35" i="3"/>
  <c r="C36" i="3" s="1"/>
  <c r="E35" i="3"/>
  <c r="E36" i="3" s="1"/>
  <c r="F35" i="3"/>
  <c r="F36" i="3" s="1"/>
  <c r="G35" i="3"/>
  <c r="G36" i="3" s="1"/>
  <c r="H35" i="3"/>
  <c r="H36" i="3" s="1"/>
  <c r="I35" i="3"/>
  <c r="I36" i="3" s="1"/>
  <c r="J35" i="3"/>
  <c r="J36" i="3" s="1"/>
  <c r="K35" i="3"/>
  <c r="K36" i="3" s="1"/>
  <c r="L35" i="3"/>
  <c r="L36" i="3" s="1"/>
  <c r="M35" i="3"/>
  <c r="M36" i="3" s="1"/>
  <c r="N35" i="3"/>
  <c r="N36" i="3" s="1"/>
  <c r="O35" i="3"/>
  <c r="O36" i="3" s="1"/>
  <c r="D35" i="3"/>
  <c r="D36" i="3" s="1"/>
  <c r="H66" i="8" l="1"/>
  <c r="H57" i="8"/>
  <c r="G57" i="8"/>
  <c r="H42" i="8"/>
  <c r="H19" i="8"/>
  <c r="H9" i="8"/>
  <c r="G9" i="8"/>
  <c r="G3" i="8"/>
  <c r="G75" i="8"/>
  <c r="H27" i="8"/>
  <c r="H4" i="8"/>
  <c r="H12" i="8"/>
  <c r="G21" i="8"/>
  <c r="G45" i="8"/>
  <c r="G69" i="8"/>
  <c r="G28" i="8"/>
  <c r="H21" i="8"/>
  <c r="H37" i="8"/>
  <c r="H45" i="8"/>
  <c r="H61" i="8"/>
  <c r="H69" i="8"/>
  <c r="H85" i="8"/>
  <c r="G51" i="8"/>
  <c r="H75" i="8"/>
  <c r="H6" i="8"/>
  <c r="H30" i="8"/>
  <c r="H54" i="8"/>
  <c r="H78" i="8"/>
  <c r="G15" i="8"/>
  <c r="G39" i="8"/>
  <c r="G63" i="8"/>
  <c r="H15" i="8"/>
  <c r="H39" i="8"/>
  <c r="H63" i="8"/>
  <c r="H24" i="8"/>
  <c r="H48" i="8"/>
  <c r="H72" i="8"/>
  <c r="H52" i="8"/>
  <c r="H67" i="7"/>
  <c r="G34" i="7"/>
  <c r="H84" i="6"/>
  <c r="G63" i="6"/>
  <c r="H51" i="6"/>
  <c r="H46" i="6"/>
  <c r="H28" i="6"/>
  <c r="H22" i="6"/>
  <c r="G10" i="6"/>
  <c r="H10" i="6"/>
  <c r="H4" i="6"/>
  <c r="G4" i="6"/>
  <c r="H93" i="6"/>
  <c r="H19" i="6"/>
  <c r="G34" i="6"/>
  <c r="H58" i="6"/>
  <c r="H69" i="6"/>
  <c r="G82" i="6"/>
  <c r="G58" i="6"/>
  <c r="H82" i="6"/>
  <c r="H34" i="6"/>
  <c r="H42" i="6"/>
  <c r="H37" i="6"/>
  <c r="H75" i="6"/>
  <c r="H12" i="6"/>
  <c r="G76" i="6"/>
  <c r="G87" i="6"/>
  <c r="G39" i="6"/>
  <c r="G52" i="6"/>
  <c r="G28" i="6"/>
  <c r="L35" i="5"/>
  <c r="H66" i="5"/>
  <c r="H42" i="5"/>
  <c r="G63" i="5"/>
  <c r="G82" i="5"/>
  <c r="H45" i="5"/>
  <c r="H82" i="5"/>
  <c r="G87" i="5"/>
  <c r="G39" i="5"/>
  <c r="G34" i="5"/>
  <c r="H34" i="5"/>
  <c r="H18" i="5"/>
  <c r="G10" i="5"/>
  <c r="H10" i="5"/>
  <c r="H87" i="4"/>
  <c r="G82" i="4"/>
  <c r="H82" i="4"/>
  <c r="H66" i="4"/>
  <c r="G34" i="4"/>
  <c r="H34" i="4"/>
  <c r="H15" i="4"/>
  <c r="H18" i="4"/>
  <c r="G58" i="4"/>
  <c r="H9" i="4"/>
  <c r="H90" i="4"/>
  <c r="G10" i="4"/>
  <c r="H42" i="4"/>
  <c r="H63" i="4"/>
  <c r="G76" i="4"/>
  <c r="H76" i="4"/>
  <c r="G69" i="4"/>
  <c r="H45" i="4"/>
  <c r="G22" i="4"/>
  <c r="G94" i="4"/>
  <c r="H6" i="4"/>
  <c r="H22" i="4"/>
  <c r="H30" i="4"/>
  <c r="H54" i="4"/>
  <c r="H70" i="4"/>
  <c r="H78" i="4"/>
  <c r="H94" i="4"/>
  <c r="H3" i="4"/>
  <c r="H27" i="4"/>
  <c r="H12" i="4"/>
  <c r="H84" i="4"/>
  <c r="H37" i="4"/>
  <c r="G15" i="4"/>
  <c r="G39" i="4"/>
  <c r="G63" i="4"/>
  <c r="G87" i="4"/>
  <c r="G3" i="4"/>
  <c r="G27" i="4"/>
  <c r="G46" i="4"/>
  <c r="G51" i="4"/>
  <c r="H60" i="4"/>
  <c r="H24" i="4"/>
  <c r="H48" i="4"/>
  <c r="H72" i="4"/>
  <c r="H96" i="4"/>
  <c r="H51" i="4"/>
  <c r="G27" i="5"/>
  <c r="H3" i="5"/>
  <c r="H12" i="5"/>
  <c r="H28" i="5"/>
  <c r="H36" i="5"/>
  <c r="H52" i="5"/>
  <c r="H60" i="5"/>
  <c r="H76" i="5"/>
  <c r="H84" i="5"/>
  <c r="G21" i="5"/>
  <c r="G45" i="5"/>
  <c r="G69" i="5"/>
  <c r="G93" i="5"/>
  <c r="G51" i="5"/>
  <c r="H21" i="5"/>
  <c r="H6" i="5"/>
  <c r="H30" i="5"/>
  <c r="H54" i="5"/>
  <c r="H70" i="5"/>
  <c r="H78" i="5"/>
  <c r="G75" i="5"/>
  <c r="G4" i="5"/>
  <c r="H15" i="5"/>
  <c r="H39" i="5"/>
  <c r="H63" i="5"/>
  <c r="H87" i="5"/>
  <c r="H24" i="5"/>
  <c r="H48" i="5"/>
  <c r="H72" i="5"/>
  <c r="H96" i="5"/>
  <c r="G21" i="6"/>
  <c r="G45" i="6"/>
  <c r="G69" i="6"/>
  <c r="G93" i="6"/>
  <c r="H6" i="6"/>
  <c r="H30" i="6"/>
  <c r="H54" i="6"/>
  <c r="H78" i="6"/>
  <c r="H15" i="6"/>
  <c r="H39" i="6"/>
  <c r="H63" i="6"/>
  <c r="H87" i="6"/>
  <c r="H24" i="6"/>
  <c r="H48" i="6"/>
  <c r="H72" i="6"/>
  <c r="H96" i="6"/>
  <c r="H75" i="7"/>
  <c r="H42" i="7"/>
  <c r="G58" i="7"/>
  <c r="H82" i="7"/>
  <c r="H34" i="7"/>
  <c r="H19" i="7"/>
  <c r="G9" i="7"/>
  <c r="G82" i="7"/>
  <c r="H90" i="7"/>
  <c r="H27" i="7"/>
  <c r="H36" i="7"/>
  <c r="H9" i="7"/>
  <c r="H25" i="7"/>
  <c r="H57" i="7"/>
  <c r="H73" i="7"/>
  <c r="H54" i="7"/>
  <c r="H40" i="7"/>
  <c r="H88" i="7"/>
  <c r="H51" i="7"/>
  <c r="H85" i="7"/>
  <c r="H69" i="7"/>
  <c r="H12" i="7"/>
  <c r="H60" i="7"/>
  <c r="H22" i="7"/>
  <c r="H45" i="7"/>
  <c r="H93" i="7"/>
  <c r="H4" i="7"/>
  <c r="H30" i="7"/>
  <c r="H78" i="7"/>
  <c r="H6" i="7"/>
  <c r="H15" i="7"/>
  <c r="H63" i="7"/>
  <c r="H48" i="7"/>
  <c r="H96" i="7"/>
  <c r="G87" i="7"/>
  <c r="G40" i="7"/>
  <c r="G22" i="7"/>
  <c r="G27" i="7"/>
  <c r="G75" i="7"/>
  <c r="G3" i="7"/>
  <c r="G52" i="7"/>
  <c r="G69" i="7"/>
  <c r="G45" i="7"/>
  <c r="G93" i="7"/>
  <c r="G15" i="7"/>
  <c r="G63" i="7"/>
</calcChain>
</file>

<file path=xl/sharedStrings.xml><?xml version="1.0" encoding="utf-8"?>
<sst xmlns="http://schemas.openxmlformats.org/spreadsheetml/2006/main" count="3641" uniqueCount="164">
  <si>
    <t>Sample</t>
  </si>
  <si>
    <t>UBQ10B</t>
  </si>
  <si>
    <t>18S</t>
  </si>
  <si>
    <t>HSR201</t>
  </si>
  <si>
    <t>JAZ6</t>
  </si>
  <si>
    <t>P450</t>
  </si>
  <si>
    <t>JAZ8B</t>
  </si>
  <si>
    <t>DL417OC8</t>
  </si>
  <si>
    <t>ORAS9A</t>
  </si>
  <si>
    <t>EFRA</t>
  </si>
  <si>
    <t>ORAS9B</t>
  </si>
  <si>
    <t>EFRB</t>
  </si>
  <si>
    <t>WRKYB</t>
  </si>
  <si>
    <t>ERF1A</t>
  </si>
  <si>
    <t>GSTU25</t>
  </si>
  <si>
    <t>X</t>
  </si>
  <si>
    <t>RERUN</t>
  </si>
  <si>
    <t>143_RERUN</t>
  </si>
  <si>
    <t>159_RERUN</t>
  </si>
  <si>
    <t>163_RERUN</t>
  </si>
  <si>
    <t>1701_RERUN</t>
  </si>
  <si>
    <t>Number of failed amps</t>
  </si>
  <si>
    <t>% failed amps</t>
  </si>
  <si>
    <t>So to start try to standardize on just 18S (6 more samples to rerun in full if I need UBQ10B)</t>
  </si>
  <si>
    <t>Cut the low rep genes (ERF1A, GSTU25, ORAS9B, and maybe HRS201, ORAS9A, JAZ6, and P450)</t>
  </si>
  <si>
    <t>Best genes:</t>
  </si>
  <si>
    <t>All of the best genes have a log fold change that goes up in the stress sites compared to the control</t>
  </si>
  <si>
    <t>abandon</t>
  </si>
  <si>
    <t>borderline</t>
  </si>
  <si>
    <t>RERUN (not confident in 18S either)</t>
  </si>
  <si>
    <t>First run 144_162 rerun</t>
  </si>
  <si>
    <t>Then 129_128 rerun?</t>
  </si>
  <si>
    <t>done</t>
  </si>
  <si>
    <t>running now</t>
  </si>
  <si>
    <t>number of failed amps per sample</t>
  </si>
  <si>
    <t>% of failures per sample</t>
  </si>
  <si>
    <t>rerun</t>
  </si>
  <si>
    <t>Next rerun 105_111</t>
  </si>
  <si>
    <t>144_RERUN</t>
  </si>
  <si>
    <t>162_RERUN</t>
  </si>
  <si>
    <t>128_RERUN</t>
  </si>
  <si>
    <t>129_RERUN</t>
  </si>
  <si>
    <t>105_RERUN</t>
  </si>
  <si>
    <t>111_RERUN</t>
  </si>
  <si>
    <t>Number of successes</t>
  </si>
  <si>
    <t>now</t>
  </si>
  <si>
    <t>Primers to rerun if excluding hard ones</t>
  </si>
  <si>
    <t>cells required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</si>
  <si>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</si>
  <si>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</si>
  <si>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</si>
  <si>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</si>
  <si>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</si>
  <si>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</si>
  <si>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</si>
  <si>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</si>
  <si>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</si>
  <si>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</si>
  <si>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</si>
  <si>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</si>
  <si>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</si>
  <si>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</si>
  <si>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</si>
  <si>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</si>
  <si>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</si>
  <si>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</si>
  <si>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</si>
  <si>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</si>
  <si>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</si>
  <si>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</si>
  <si>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</si>
  <si>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</si>
  <si>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</si>
  <si>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</si>
  <si>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</si>
  <si>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</si>
  <si>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</si>
  <si>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</si>
  <si>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</si>
  <si>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</si>
  <si>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</si>
  <si>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</si>
  <si>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</si>
  <si>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</si>
  <si>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</si>
  <si>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</si>
  <si>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</si>
  <si>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</si>
  <si>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</si>
  <si>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</si>
  <si>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</si>
  <si>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</si>
  <si>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</si>
  <si>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</si>
  <si>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</si>
  <si>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</si>
  <si>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</si>
  <si>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</si>
  <si>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</si>
  <si>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</si>
  <si>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</si>
  <si>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</si>
  <si>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</si>
  <si>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</si>
  <si>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</si>
  <si>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</si>
  <si>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</si>
  <si>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</si>
  <si>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</si>
  <si>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</si>
  <si>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</si>
  <si>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</si>
  <si>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</si>
  <si>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</si>
  <si>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</si>
  <si>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</si>
  <si>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</si>
  <si>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</si>
  <si>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</si>
  <si>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</si>
  <si>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</si>
  <si>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</si>
  <si>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</si>
  <si>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</si>
  <si>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</si>
  <si>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</si>
  <si>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</si>
  <si>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</si>
  <si>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</si>
  <si>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</si>
  <si>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</si>
  <si>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</si>
  <si>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</si>
  <si>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</si>
  <si>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</si>
  <si>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</si>
  <si>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</si>
  <si>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</si>
  <si>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</si>
  <si>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</si>
  <si>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</si>
  <si>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</si>
  <si>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</si>
  <si>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</si>
  <si>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</si>
  <si>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Primer</t>
  </si>
  <si>
    <t>SAMPLE</t>
  </si>
  <si>
    <t>PLATE</t>
  </si>
  <si>
    <t>RE_1</t>
  </si>
  <si>
    <t>RE_2</t>
  </si>
  <si>
    <t>RE_3</t>
  </si>
  <si>
    <t>RE_4</t>
  </si>
  <si>
    <t>RE_5</t>
  </si>
  <si>
    <t>RE_6</t>
  </si>
  <si>
    <t>Cq</t>
  </si>
  <si>
    <t>NaN</t>
  </si>
  <si>
    <t>Average Cq</t>
  </si>
  <si>
    <t>std dev</t>
  </si>
  <si>
    <t>Cq outliers removed</t>
  </si>
  <si>
    <t>gene_vs_UBQ10B</t>
  </si>
  <si>
    <t>gene_vs_18S</t>
  </si>
  <si>
    <t>RE_8</t>
  </si>
  <si>
    <t>WELL</t>
  </si>
  <si>
    <t>RE_7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</si>
</sst>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0" fillId="0" borderId="1" xfId="0" applyBorder="1"/>
    <xf numFmtId="0" fontId="3" fillId="0" borderId="0" xfId="0" applyFont="1"/>
  </cellXfs>
  <cellStyles count="2">
    <cellStyle name="Bad" xfId="1" builtinId="27"/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4489C-9EF6-B446-8A61-713B88D3B3F7}">
  <dimension ref="A1:O34"/>
  <sheetViews>
    <sheetView workbookViewId="0">
      <selection sqref="A1:O1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100</v>
      </c>
    </row>
    <row r="3" spans="1:15" x14ac:dyDescent="0.2">
      <c r="A3">
        <v>102</v>
      </c>
    </row>
    <row r="4" spans="1:15" x14ac:dyDescent="0.2">
      <c r="A4">
        <v>105</v>
      </c>
    </row>
    <row r="5" spans="1:15" x14ac:dyDescent="0.2">
      <c r="A5">
        <v>106</v>
      </c>
    </row>
    <row r="6" spans="1:15" x14ac:dyDescent="0.2">
      <c r="A6">
        <v>107</v>
      </c>
    </row>
    <row r="7" spans="1:15" x14ac:dyDescent="0.2">
      <c r="A7">
        <v>111</v>
      </c>
    </row>
    <row r="8" spans="1:15" x14ac:dyDescent="0.2">
      <c r="A8">
        <v>113</v>
      </c>
    </row>
    <row r="9" spans="1:15" x14ac:dyDescent="0.2">
      <c r="A9">
        <v>115</v>
      </c>
    </row>
    <row r="10" spans="1:15" x14ac:dyDescent="0.2">
      <c r="A10">
        <v>122</v>
      </c>
    </row>
    <row r="11" spans="1:15" x14ac:dyDescent="0.2">
      <c r="A11">
        <v>128</v>
      </c>
    </row>
    <row r="12" spans="1:15" x14ac:dyDescent="0.2">
      <c r="A12">
        <v>129</v>
      </c>
    </row>
    <row r="13" spans="1:15" x14ac:dyDescent="0.2">
      <c r="A13">
        <v>131</v>
      </c>
    </row>
    <row r="14" spans="1:15" x14ac:dyDescent="0.2">
      <c r="A14">
        <v>142</v>
      </c>
    </row>
    <row r="15" spans="1:15" x14ac:dyDescent="0.2">
      <c r="A15">
        <v>143</v>
      </c>
    </row>
    <row r="16" spans="1:15" x14ac:dyDescent="0.2">
      <c r="A16">
        <v>144</v>
      </c>
    </row>
    <row r="17" spans="1:1" x14ac:dyDescent="0.2">
      <c r="A17">
        <v>146</v>
      </c>
    </row>
    <row r="18" spans="1:1" x14ac:dyDescent="0.2">
      <c r="A18">
        <v>149</v>
      </c>
    </row>
    <row r="19" spans="1:1" x14ac:dyDescent="0.2">
      <c r="A19">
        <v>152</v>
      </c>
    </row>
    <row r="20" spans="1:1" x14ac:dyDescent="0.2">
      <c r="A20">
        <v>153</v>
      </c>
    </row>
    <row r="21" spans="1:1" x14ac:dyDescent="0.2">
      <c r="A21">
        <v>154</v>
      </c>
    </row>
    <row r="22" spans="1:1" x14ac:dyDescent="0.2">
      <c r="A22">
        <v>156</v>
      </c>
    </row>
    <row r="23" spans="1:1" x14ac:dyDescent="0.2">
      <c r="A23">
        <v>159</v>
      </c>
    </row>
    <row r="24" spans="1:1" x14ac:dyDescent="0.2">
      <c r="A24">
        <v>162</v>
      </c>
    </row>
    <row r="25" spans="1:1" x14ac:dyDescent="0.2">
      <c r="A25">
        <v>163</v>
      </c>
    </row>
    <row r="26" spans="1:1" x14ac:dyDescent="0.2">
      <c r="A26">
        <v>1701</v>
      </c>
    </row>
    <row r="27" spans="1:1" x14ac:dyDescent="0.2">
      <c r="A27">
        <v>1702</v>
      </c>
    </row>
    <row r="28" spans="1:1" x14ac:dyDescent="0.2">
      <c r="A28">
        <v>1703</v>
      </c>
    </row>
    <row r="29" spans="1:1" x14ac:dyDescent="0.2">
      <c r="A29">
        <v>1704</v>
      </c>
    </row>
    <row r="30" spans="1:1" x14ac:dyDescent="0.2">
      <c r="A30">
        <v>1705</v>
      </c>
    </row>
    <row r="31" spans="1:1" x14ac:dyDescent="0.2">
      <c r="A31">
        <v>1706</v>
      </c>
    </row>
    <row r="32" spans="1:1" x14ac:dyDescent="0.2">
      <c r="A32">
        <v>1708</v>
      </c>
    </row>
    <row r="33" spans="1:1" x14ac:dyDescent="0.2">
      <c r="A33">
        <v>1710</v>
      </c>
    </row>
    <row r="34" spans="1:1" x14ac:dyDescent="0.2">
      <c r="A34">
        <v>1713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95687-7DD4-324B-A0B5-AED7A158EC8C}">
  <dimension ref="A1:AH16"/>
  <sheetViews>
    <sheetView zoomScale="150" zoomScaleNormal="150" workbookViewId="0">
      <pane xSplit="1" topLeftCell="U1" activePane="topRight" state="frozen"/>
      <selection pane="topRight" sqref="A1:AH16"/>
    </sheetView>
  </sheetViews>
  <sheetFormatPr baseColWidth="10" defaultRowHeight="16" x14ac:dyDescent="0.2"/>
  <sheetData>
    <row r="1" spans="1:34" x14ac:dyDescent="0.2">
      <c r="A1" t="s">
        <v>0</v>
      </c>
      <c r="B1">
        <v>100</v>
      </c>
      <c r="C1">
        <v>102</v>
      </c>
      <c r="D1">
        <v>105</v>
      </c>
      <c r="E1">
        <v>106</v>
      </c>
      <c r="F1">
        <v>107</v>
      </c>
      <c r="G1">
        <v>111</v>
      </c>
      <c r="H1">
        <v>113</v>
      </c>
      <c r="I1">
        <v>115</v>
      </c>
      <c r="J1">
        <v>122</v>
      </c>
      <c r="K1">
        <v>128</v>
      </c>
      <c r="L1">
        <v>129</v>
      </c>
      <c r="M1">
        <v>131</v>
      </c>
      <c r="N1">
        <v>142</v>
      </c>
      <c r="O1" t="s">
        <v>17</v>
      </c>
      <c r="P1">
        <v>144</v>
      </c>
      <c r="Q1">
        <v>146</v>
      </c>
      <c r="R1">
        <v>149</v>
      </c>
      <c r="S1">
        <v>152</v>
      </c>
      <c r="T1">
        <v>153</v>
      </c>
      <c r="U1">
        <v>154</v>
      </c>
      <c r="V1">
        <v>156</v>
      </c>
      <c r="W1" t="s">
        <v>18</v>
      </c>
      <c r="X1">
        <v>162</v>
      </c>
      <c r="Y1" t="s">
        <v>19</v>
      </c>
      <c r="Z1" t="s">
        <v>20</v>
      </c>
      <c r="AA1">
        <v>1702</v>
      </c>
      <c r="AB1">
        <v>1703</v>
      </c>
      <c r="AC1">
        <v>1704</v>
      </c>
      <c r="AD1">
        <v>1705</v>
      </c>
      <c r="AE1">
        <v>1706</v>
      </c>
      <c r="AF1">
        <v>1708</v>
      </c>
      <c r="AG1">
        <v>1710</v>
      </c>
      <c r="AH1">
        <v>1713</v>
      </c>
    </row>
    <row r="2" spans="1:34" x14ac:dyDescent="0.2">
      <c r="A2" t="s">
        <v>1</v>
      </c>
      <c r="D2" t="s">
        <v>15</v>
      </c>
      <c r="G2" t="s">
        <v>15</v>
      </c>
      <c r="K2" t="s">
        <v>15</v>
      </c>
      <c r="L2" t="s">
        <v>15</v>
      </c>
      <c r="P2" t="s">
        <v>15</v>
      </c>
      <c r="X2" t="s">
        <v>15</v>
      </c>
    </row>
    <row r="3" spans="1:34" x14ac:dyDescent="0.2">
      <c r="A3" t="s">
        <v>2</v>
      </c>
    </row>
    <row r="4" spans="1:34" x14ac:dyDescent="0.2">
      <c r="A4" t="s">
        <v>3</v>
      </c>
      <c r="F4" t="s">
        <v>15</v>
      </c>
      <c r="H4" t="s">
        <v>15</v>
      </c>
      <c r="K4" t="s">
        <v>15</v>
      </c>
      <c r="L4" t="s">
        <v>15</v>
      </c>
      <c r="O4" t="s">
        <v>15</v>
      </c>
      <c r="T4" t="s">
        <v>15</v>
      </c>
      <c r="W4" t="s">
        <v>15</v>
      </c>
      <c r="Z4" t="s">
        <v>15</v>
      </c>
      <c r="AA4" t="s">
        <v>15</v>
      </c>
      <c r="AB4" t="s">
        <v>15</v>
      </c>
      <c r="AC4" t="s">
        <v>15</v>
      </c>
      <c r="AD4" t="s">
        <v>15</v>
      </c>
      <c r="AH4" t="s">
        <v>15</v>
      </c>
    </row>
    <row r="5" spans="1:34" x14ac:dyDescent="0.2">
      <c r="A5" t="s">
        <v>4</v>
      </c>
      <c r="C5" t="s">
        <v>15</v>
      </c>
      <c r="F5" t="s">
        <v>15</v>
      </c>
      <c r="G5" t="s">
        <v>15</v>
      </c>
      <c r="H5" t="s">
        <v>15</v>
      </c>
      <c r="L5" t="s">
        <v>15</v>
      </c>
      <c r="T5" t="s">
        <v>15</v>
      </c>
      <c r="W5" t="s">
        <v>15</v>
      </c>
      <c r="Y5" t="s">
        <v>15</v>
      </c>
      <c r="AA5" t="s">
        <v>15</v>
      </c>
      <c r="AD5" t="s">
        <v>15</v>
      </c>
      <c r="AF5" t="s">
        <v>15</v>
      </c>
      <c r="AH5" t="s">
        <v>15</v>
      </c>
    </row>
    <row r="6" spans="1:34" x14ac:dyDescent="0.2">
      <c r="A6" t="s">
        <v>5</v>
      </c>
      <c r="C6" t="s">
        <v>15</v>
      </c>
      <c r="D6" t="s">
        <v>15</v>
      </c>
      <c r="E6" t="s">
        <v>15</v>
      </c>
      <c r="G6" t="s">
        <v>15</v>
      </c>
      <c r="J6" t="s">
        <v>15</v>
      </c>
      <c r="O6" t="s">
        <v>15</v>
      </c>
      <c r="X6" t="s">
        <v>15</v>
      </c>
      <c r="Y6" t="s">
        <v>15</v>
      </c>
      <c r="AB6" t="s">
        <v>15</v>
      </c>
      <c r="AC6" t="s">
        <v>15</v>
      </c>
      <c r="AG6" t="s">
        <v>15</v>
      </c>
    </row>
    <row r="7" spans="1:34" x14ac:dyDescent="0.2">
      <c r="A7" t="s">
        <v>6</v>
      </c>
      <c r="D7" t="s">
        <v>15</v>
      </c>
      <c r="L7" t="s">
        <v>15</v>
      </c>
      <c r="P7" t="s">
        <v>15</v>
      </c>
      <c r="T7" t="s">
        <v>15</v>
      </c>
      <c r="V7" t="s">
        <v>15</v>
      </c>
      <c r="AB7" t="s">
        <v>15</v>
      </c>
      <c r="AD7" t="s">
        <v>15</v>
      </c>
      <c r="AF7" t="s">
        <v>15</v>
      </c>
    </row>
    <row r="8" spans="1:34" x14ac:dyDescent="0.2">
      <c r="A8" t="s">
        <v>7</v>
      </c>
      <c r="G8" t="s">
        <v>15</v>
      </c>
      <c r="H8" t="s">
        <v>15</v>
      </c>
      <c r="O8" t="s">
        <v>15</v>
      </c>
      <c r="Q8" t="s">
        <v>15</v>
      </c>
    </row>
    <row r="9" spans="1:34" x14ac:dyDescent="0.2">
      <c r="A9" t="s">
        <v>8</v>
      </c>
      <c r="D9" t="s">
        <v>15</v>
      </c>
      <c r="F9" t="s">
        <v>15</v>
      </c>
      <c r="G9" t="s">
        <v>15</v>
      </c>
      <c r="L9" t="s">
        <v>15</v>
      </c>
      <c r="N9" t="s">
        <v>15</v>
      </c>
      <c r="O9" t="s">
        <v>15</v>
      </c>
      <c r="P9" t="s">
        <v>15</v>
      </c>
      <c r="Q9" t="s">
        <v>15</v>
      </c>
      <c r="T9" t="s">
        <v>15</v>
      </c>
      <c r="V9" t="s">
        <v>15</v>
      </c>
      <c r="W9" t="s">
        <v>15</v>
      </c>
      <c r="AA9" t="s">
        <v>15</v>
      </c>
      <c r="AF9" t="s">
        <v>15</v>
      </c>
    </row>
    <row r="10" spans="1:34" x14ac:dyDescent="0.2">
      <c r="A10" t="s">
        <v>9</v>
      </c>
      <c r="D10" t="s">
        <v>15</v>
      </c>
    </row>
    <row r="11" spans="1:34" x14ac:dyDescent="0.2">
      <c r="A11" t="s">
        <v>10</v>
      </c>
      <c r="C11" t="s">
        <v>15</v>
      </c>
      <c r="D11" t="s">
        <v>15</v>
      </c>
      <c r="F11" t="s">
        <v>15</v>
      </c>
      <c r="G11" t="s">
        <v>15</v>
      </c>
      <c r="H11" t="s">
        <v>15</v>
      </c>
      <c r="J11" t="s">
        <v>15</v>
      </c>
      <c r="L11" t="s">
        <v>15</v>
      </c>
      <c r="Q11" t="s">
        <v>15</v>
      </c>
      <c r="S11" t="s">
        <v>15</v>
      </c>
      <c r="V11" t="s">
        <v>15</v>
      </c>
      <c r="W11" t="s">
        <v>15</v>
      </c>
      <c r="Y11" t="s">
        <v>15</v>
      </c>
      <c r="AC11" t="s">
        <v>15</v>
      </c>
      <c r="AD11" t="s">
        <v>15</v>
      </c>
      <c r="AF11" t="s">
        <v>15</v>
      </c>
      <c r="AG11" t="s">
        <v>15</v>
      </c>
      <c r="AH11" t="s">
        <v>15</v>
      </c>
    </row>
    <row r="12" spans="1:34" x14ac:dyDescent="0.2">
      <c r="A12" t="s">
        <v>11</v>
      </c>
      <c r="D12" t="s">
        <v>15</v>
      </c>
      <c r="AH12" t="s">
        <v>15</v>
      </c>
    </row>
    <row r="13" spans="1:34" x14ac:dyDescent="0.2">
      <c r="A13" t="s">
        <v>12</v>
      </c>
      <c r="D13" t="s">
        <v>15</v>
      </c>
      <c r="K13" t="s">
        <v>15</v>
      </c>
      <c r="L13" t="s">
        <v>15</v>
      </c>
      <c r="R13" t="s">
        <v>15</v>
      </c>
      <c r="T13" t="s">
        <v>15</v>
      </c>
      <c r="V13" t="s">
        <v>15</v>
      </c>
      <c r="AF13" t="s">
        <v>15</v>
      </c>
      <c r="AH13" t="s">
        <v>15</v>
      </c>
    </row>
    <row r="14" spans="1:34" x14ac:dyDescent="0.2">
      <c r="A14" t="s">
        <v>13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J14" t="s">
        <v>15</v>
      </c>
      <c r="L14" t="s">
        <v>15</v>
      </c>
      <c r="N14" t="s">
        <v>15</v>
      </c>
      <c r="O14" t="s">
        <v>15</v>
      </c>
      <c r="R14" t="s">
        <v>15</v>
      </c>
      <c r="U14" t="s">
        <v>15</v>
      </c>
      <c r="V14" t="s">
        <v>15</v>
      </c>
      <c r="W14" t="s">
        <v>15</v>
      </c>
      <c r="X14" t="s">
        <v>15</v>
      </c>
      <c r="Y14" t="s">
        <v>15</v>
      </c>
      <c r="AC14" t="s">
        <v>15</v>
      </c>
      <c r="AF14" t="s">
        <v>15</v>
      </c>
      <c r="AG14" t="s">
        <v>15</v>
      </c>
      <c r="AH14" t="s">
        <v>15</v>
      </c>
    </row>
    <row r="15" spans="1:34" x14ac:dyDescent="0.2">
      <c r="A15" t="s">
        <v>14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  <c r="L15" t="s">
        <v>15</v>
      </c>
      <c r="O15" t="s">
        <v>15</v>
      </c>
      <c r="Q15" t="s">
        <v>15</v>
      </c>
      <c r="T15" t="s">
        <v>15</v>
      </c>
      <c r="U15" t="s">
        <v>15</v>
      </c>
      <c r="X15" t="s">
        <v>15</v>
      </c>
      <c r="Y15" t="s">
        <v>15</v>
      </c>
      <c r="Z15" t="s">
        <v>15</v>
      </c>
      <c r="AC15" t="s">
        <v>15</v>
      </c>
      <c r="AD15" t="s">
        <v>15</v>
      </c>
      <c r="AE15" t="s">
        <v>15</v>
      </c>
      <c r="AF15" t="s">
        <v>15</v>
      </c>
      <c r="AG15" t="s">
        <v>15</v>
      </c>
    </row>
    <row r="16" spans="1:34" x14ac:dyDescent="0.2">
      <c r="D16" t="s">
        <v>16</v>
      </c>
      <c r="G16" t="s">
        <v>16</v>
      </c>
      <c r="K16" t="s">
        <v>16</v>
      </c>
      <c r="L16" t="s">
        <v>16</v>
      </c>
      <c r="P16" t="s">
        <v>16</v>
      </c>
      <c r="X16" t="s">
        <v>16</v>
      </c>
    </row>
  </sheetData>
  <conditionalFormatting sqref="A1:XFD1048576">
    <cfRule type="cellIs" dxfId="15" priority="1" operator="equal">
      <formula>"X"</formula>
    </cfRule>
  </conditionalFormatting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E6496-1D45-0245-B60B-F5CFC404E187}">
  <sheetPr>
    <pageSetUpPr fitToPage="1"/>
  </sheetPr>
  <dimension ref="A1:T66"/>
  <sheetViews>
    <sheetView workbookViewId="0">
      <selection sqref="A1:O34"/>
    </sheetView>
  </sheetViews>
  <sheetFormatPr baseColWidth="10" defaultRowHeight="16" x14ac:dyDescent="0.2"/>
  <cols>
    <col min="11" max="11" width="10.83203125" customWidth="1"/>
    <col min="14" max="15" width="10.83203125" customWidth="1"/>
    <col min="18" max="19" width="11.8320312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s="1" t="s">
        <v>13</v>
      </c>
      <c r="O1" s="1" t="s">
        <v>14</v>
      </c>
      <c r="P1" t="s">
        <v>34</v>
      </c>
      <c r="Q1" t="s">
        <v>35</v>
      </c>
      <c r="R1" t="s">
        <v>46</v>
      </c>
      <c r="S1" t="s">
        <v>47</v>
      </c>
      <c r="T1" t="s">
        <v>36</v>
      </c>
    </row>
    <row r="2" spans="1:20" x14ac:dyDescent="0.2">
      <c r="A2">
        <v>100</v>
      </c>
      <c r="B2" t="s">
        <v>32</v>
      </c>
      <c r="C2" t="s">
        <v>32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>
        <f t="shared" ref="P2:P34" si="0">COUNTIF(B2:O2, "X")</f>
        <v>0</v>
      </c>
      <c r="Q2">
        <f t="shared" ref="Q2:Q34" si="1">P2/14</f>
        <v>0</v>
      </c>
      <c r="R2">
        <v>0</v>
      </c>
      <c r="S2">
        <v>0</v>
      </c>
    </row>
    <row r="3" spans="1:20" x14ac:dyDescent="0.2">
      <c r="A3">
        <v>102</v>
      </c>
      <c r="B3" t="s">
        <v>32</v>
      </c>
      <c r="C3" t="s">
        <v>32</v>
      </c>
      <c r="D3" t="s">
        <v>32</v>
      </c>
      <c r="E3" t="s">
        <v>15</v>
      </c>
      <c r="F3" t="s">
        <v>15</v>
      </c>
      <c r="G3" t="s">
        <v>32</v>
      </c>
      <c r="H3" t="s">
        <v>32</v>
      </c>
      <c r="I3" t="s">
        <v>32</v>
      </c>
      <c r="J3" t="s">
        <v>32</v>
      </c>
      <c r="K3" t="s">
        <v>15</v>
      </c>
      <c r="L3" t="s">
        <v>32</v>
      </c>
      <c r="M3" t="s">
        <v>32</v>
      </c>
      <c r="N3" t="s">
        <v>15</v>
      </c>
      <c r="O3" t="s">
        <v>32</v>
      </c>
      <c r="P3">
        <f t="shared" si="0"/>
        <v>4</v>
      </c>
      <c r="Q3">
        <f t="shared" si="1"/>
        <v>0.2857142857142857</v>
      </c>
      <c r="R3">
        <v>2</v>
      </c>
      <c r="S3">
        <f t="shared" ref="S3:S34" si="2">R3*3+6</f>
        <v>12</v>
      </c>
    </row>
    <row r="4" spans="1:20" x14ac:dyDescent="0.2">
      <c r="A4" t="s">
        <v>42</v>
      </c>
      <c r="B4" t="s">
        <v>32</v>
      </c>
      <c r="C4" t="s">
        <v>32</v>
      </c>
      <c r="D4" t="s">
        <v>32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32</v>
      </c>
      <c r="K4" t="s">
        <v>15</v>
      </c>
      <c r="L4" t="s">
        <v>32</v>
      </c>
      <c r="M4" t="s">
        <v>32</v>
      </c>
      <c r="N4" t="s">
        <v>15</v>
      </c>
      <c r="O4" t="s">
        <v>15</v>
      </c>
      <c r="P4">
        <f t="shared" si="0"/>
        <v>3</v>
      </c>
      <c r="Q4">
        <f t="shared" si="1"/>
        <v>0.21428571428571427</v>
      </c>
      <c r="R4">
        <v>0</v>
      </c>
      <c r="S4">
        <v>0</v>
      </c>
    </row>
    <row r="5" spans="1:20" x14ac:dyDescent="0.2">
      <c r="A5">
        <v>106</v>
      </c>
      <c r="B5" t="s">
        <v>32</v>
      </c>
      <c r="C5" t="s">
        <v>32</v>
      </c>
      <c r="D5" t="s">
        <v>32</v>
      </c>
      <c r="E5" t="s">
        <v>32</v>
      </c>
      <c r="F5" t="s">
        <v>15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15</v>
      </c>
      <c r="O5" t="s">
        <v>15</v>
      </c>
      <c r="P5">
        <f t="shared" si="0"/>
        <v>3</v>
      </c>
      <c r="Q5">
        <f t="shared" si="1"/>
        <v>0.21428571428571427</v>
      </c>
      <c r="R5">
        <v>1</v>
      </c>
      <c r="S5">
        <f t="shared" si="2"/>
        <v>9</v>
      </c>
    </row>
    <row r="6" spans="1:20" x14ac:dyDescent="0.2">
      <c r="A6">
        <v>107</v>
      </c>
      <c r="B6" t="s">
        <v>32</v>
      </c>
      <c r="C6" t="s">
        <v>32</v>
      </c>
      <c r="D6" t="s">
        <v>15</v>
      </c>
      <c r="E6" t="s">
        <v>15</v>
      </c>
      <c r="F6" t="s">
        <v>32</v>
      </c>
      <c r="G6" t="s">
        <v>32</v>
      </c>
      <c r="H6" t="s">
        <v>32</v>
      </c>
      <c r="I6" t="s">
        <v>15</v>
      </c>
      <c r="J6" t="s">
        <v>32</v>
      </c>
      <c r="K6" t="s">
        <v>15</v>
      </c>
      <c r="L6" t="s">
        <v>32</v>
      </c>
      <c r="M6" t="s">
        <v>32</v>
      </c>
      <c r="N6" t="s">
        <v>15</v>
      </c>
      <c r="O6" t="s">
        <v>15</v>
      </c>
      <c r="P6">
        <f t="shared" si="0"/>
        <v>6</v>
      </c>
      <c r="Q6">
        <f t="shared" si="1"/>
        <v>0.42857142857142855</v>
      </c>
      <c r="R6">
        <v>3</v>
      </c>
      <c r="S6">
        <f t="shared" si="2"/>
        <v>15</v>
      </c>
      <c r="T6" t="s">
        <v>45</v>
      </c>
    </row>
    <row r="7" spans="1:20" x14ac:dyDescent="0.2">
      <c r="A7" t="s">
        <v>43</v>
      </c>
      <c r="B7" t="s">
        <v>32</v>
      </c>
      <c r="C7" t="s">
        <v>32</v>
      </c>
      <c r="D7" t="s">
        <v>15</v>
      </c>
      <c r="E7" t="s">
        <v>15</v>
      </c>
      <c r="F7" t="s">
        <v>15</v>
      </c>
      <c r="G7" t="s">
        <v>32</v>
      </c>
      <c r="H7" t="s">
        <v>32</v>
      </c>
      <c r="I7" t="s">
        <v>32</v>
      </c>
      <c r="J7" t="s">
        <v>32</v>
      </c>
      <c r="K7" t="s">
        <v>15</v>
      </c>
      <c r="L7" t="s">
        <v>32</v>
      </c>
      <c r="M7" t="s">
        <v>32</v>
      </c>
      <c r="N7" t="s">
        <v>32</v>
      </c>
      <c r="O7" t="s">
        <v>15</v>
      </c>
      <c r="P7">
        <f t="shared" si="0"/>
        <v>5</v>
      </c>
      <c r="Q7">
        <f t="shared" si="1"/>
        <v>0.35714285714285715</v>
      </c>
      <c r="R7">
        <v>3</v>
      </c>
      <c r="S7">
        <f t="shared" si="2"/>
        <v>15</v>
      </c>
    </row>
    <row r="8" spans="1:20" x14ac:dyDescent="0.2">
      <c r="A8">
        <v>113</v>
      </c>
      <c r="B8" t="s">
        <v>32</v>
      </c>
      <c r="C8" t="s">
        <v>32</v>
      </c>
      <c r="D8" t="s">
        <v>15</v>
      </c>
      <c r="E8" t="s">
        <v>15</v>
      </c>
      <c r="F8" t="s">
        <v>32</v>
      </c>
      <c r="G8" t="s">
        <v>32</v>
      </c>
      <c r="H8" t="s">
        <v>15</v>
      </c>
      <c r="I8" t="s">
        <v>32</v>
      </c>
      <c r="J8" t="s">
        <v>32</v>
      </c>
      <c r="K8" t="s">
        <v>15</v>
      </c>
      <c r="L8" t="s">
        <v>32</v>
      </c>
      <c r="M8" t="s">
        <v>32</v>
      </c>
      <c r="N8" t="s">
        <v>15</v>
      </c>
      <c r="O8" t="s">
        <v>15</v>
      </c>
      <c r="P8">
        <f t="shared" si="0"/>
        <v>6</v>
      </c>
      <c r="Q8">
        <f t="shared" si="1"/>
        <v>0.42857142857142855</v>
      </c>
      <c r="R8">
        <v>3</v>
      </c>
      <c r="S8">
        <f t="shared" si="2"/>
        <v>15</v>
      </c>
    </row>
    <row r="9" spans="1:20" x14ac:dyDescent="0.2">
      <c r="A9">
        <v>115</v>
      </c>
      <c r="B9" t="s">
        <v>32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15</v>
      </c>
      <c r="P9">
        <f t="shared" si="0"/>
        <v>1</v>
      </c>
      <c r="Q9">
        <f t="shared" si="1"/>
        <v>7.1428571428571425E-2</v>
      </c>
      <c r="R9">
        <v>0</v>
      </c>
      <c r="S9">
        <v>0</v>
      </c>
    </row>
    <row r="10" spans="1:20" x14ac:dyDescent="0.2">
      <c r="A10">
        <v>122</v>
      </c>
      <c r="B10" t="s">
        <v>32</v>
      </c>
      <c r="C10" t="s">
        <v>32</v>
      </c>
      <c r="D10" t="s">
        <v>32</v>
      </c>
      <c r="E10" t="s">
        <v>32</v>
      </c>
      <c r="F10" t="s">
        <v>15</v>
      </c>
      <c r="G10" t="s">
        <v>32</v>
      </c>
      <c r="H10" t="s">
        <v>32</v>
      </c>
      <c r="I10" t="s">
        <v>32</v>
      </c>
      <c r="J10" t="s">
        <v>32</v>
      </c>
      <c r="K10" t="s">
        <v>15</v>
      </c>
      <c r="L10" t="s">
        <v>32</v>
      </c>
      <c r="M10" t="s">
        <v>32</v>
      </c>
      <c r="N10" t="s">
        <v>15</v>
      </c>
      <c r="O10" t="s">
        <v>15</v>
      </c>
      <c r="P10">
        <f t="shared" si="0"/>
        <v>4</v>
      </c>
      <c r="Q10">
        <f t="shared" si="1"/>
        <v>0.2857142857142857</v>
      </c>
      <c r="R10">
        <v>1</v>
      </c>
      <c r="S10">
        <f t="shared" si="2"/>
        <v>9</v>
      </c>
    </row>
    <row r="11" spans="1:20" x14ac:dyDescent="0.2">
      <c r="A11" t="s">
        <v>40</v>
      </c>
      <c r="B11" t="s">
        <v>32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>
        <f t="shared" si="0"/>
        <v>0</v>
      </c>
      <c r="Q11">
        <f t="shared" si="1"/>
        <v>0</v>
      </c>
      <c r="R11">
        <v>0</v>
      </c>
      <c r="S11">
        <v>0</v>
      </c>
    </row>
    <row r="12" spans="1:20" x14ac:dyDescent="0.2">
      <c r="A12" t="s">
        <v>41</v>
      </c>
      <c r="B12" t="s">
        <v>32</v>
      </c>
      <c r="C12" t="s">
        <v>32</v>
      </c>
      <c r="D12" t="s">
        <v>15</v>
      </c>
      <c r="E12" t="s">
        <v>15</v>
      </c>
      <c r="F12" t="s">
        <v>15</v>
      </c>
      <c r="G12" t="s">
        <v>32</v>
      </c>
      <c r="H12" t="s">
        <v>32</v>
      </c>
      <c r="I12" t="s">
        <v>15</v>
      </c>
      <c r="J12" t="s">
        <v>32</v>
      </c>
      <c r="K12" t="s">
        <v>15</v>
      </c>
      <c r="L12" t="s">
        <v>32</v>
      </c>
      <c r="M12" t="s">
        <v>32</v>
      </c>
      <c r="N12" t="s">
        <v>15</v>
      </c>
      <c r="O12" t="s">
        <v>32</v>
      </c>
      <c r="P12">
        <f t="shared" si="0"/>
        <v>6</v>
      </c>
      <c r="Q12">
        <f t="shared" si="1"/>
        <v>0.42857142857142855</v>
      </c>
      <c r="R12">
        <v>4</v>
      </c>
      <c r="S12">
        <f t="shared" si="2"/>
        <v>18</v>
      </c>
    </row>
    <row r="13" spans="1:20" x14ac:dyDescent="0.2">
      <c r="A13">
        <v>131</v>
      </c>
      <c r="B13" t="s">
        <v>32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>
        <f t="shared" si="0"/>
        <v>0</v>
      </c>
      <c r="Q13">
        <f t="shared" si="1"/>
        <v>0</v>
      </c>
      <c r="R13">
        <v>0</v>
      </c>
      <c r="S13">
        <v>0</v>
      </c>
    </row>
    <row r="14" spans="1:20" x14ac:dyDescent="0.2">
      <c r="A14">
        <v>142</v>
      </c>
      <c r="B14" t="s">
        <v>32</v>
      </c>
      <c r="C14" t="s">
        <v>32</v>
      </c>
      <c r="D14" t="s">
        <v>32</v>
      </c>
      <c r="E14" t="s">
        <v>32</v>
      </c>
      <c r="F14" t="s">
        <v>32</v>
      </c>
      <c r="G14" t="s">
        <v>32</v>
      </c>
      <c r="H14" t="s">
        <v>32</v>
      </c>
      <c r="I14" t="s">
        <v>15</v>
      </c>
      <c r="J14" t="s">
        <v>32</v>
      </c>
      <c r="K14" t="s">
        <v>32</v>
      </c>
      <c r="L14" t="s">
        <v>32</v>
      </c>
      <c r="M14" t="s">
        <v>32</v>
      </c>
      <c r="N14" t="s">
        <v>15</v>
      </c>
      <c r="O14" t="s">
        <v>32</v>
      </c>
      <c r="P14">
        <f t="shared" si="0"/>
        <v>2</v>
      </c>
      <c r="Q14">
        <f t="shared" si="1"/>
        <v>0.14285714285714285</v>
      </c>
      <c r="R14">
        <v>1</v>
      </c>
      <c r="S14">
        <f t="shared" si="2"/>
        <v>9</v>
      </c>
    </row>
    <row r="15" spans="1:20" x14ac:dyDescent="0.2">
      <c r="A15" t="s">
        <v>17</v>
      </c>
      <c r="B15" t="s">
        <v>32</v>
      </c>
      <c r="C15" t="s">
        <v>32</v>
      </c>
      <c r="D15" t="s">
        <v>15</v>
      </c>
      <c r="E15" t="s">
        <v>32</v>
      </c>
      <c r="F15" t="s">
        <v>15</v>
      </c>
      <c r="G15" t="s">
        <v>32</v>
      </c>
      <c r="H15" t="s">
        <v>15</v>
      </c>
      <c r="I15" t="s">
        <v>15</v>
      </c>
      <c r="J15" t="s">
        <v>32</v>
      </c>
      <c r="K15" t="s">
        <v>32</v>
      </c>
      <c r="L15" t="s">
        <v>32</v>
      </c>
      <c r="M15" t="s">
        <v>32</v>
      </c>
      <c r="N15" t="s">
        <v>15</v>
      </c>
      <c r="O15" t="s">
        <v>15</v>
      </c>
      <c r="P15">
        <f t="shared" si="0"/>
        <v>6</v>
      </c>
      <c r="Q15">
        <f t="shared" si="1"/>
        <v>0.42857142857142855</v>
      </c>
      <c r="R15">
        <v>4</v>
      </c>
      <c r="S15">
        <f t="shared" si="2"/>
        <v>18</v>
      </c>
    </row>
    <row r="16" spans="1:20" x14ac:dyDescent="0.2">
      <c r="A16" t="s">
        <v>38</v>
      </c>
      <c r="B16" t="s">
        <v>32</v>
      </c>
      <c r="C16" t="s">
        <v>32</v>
      </c>
      <c r="D16" t="s">
        <v>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>
        <f t="shared" si="0"/>
        <v>1</v>
      </c>
      <c r="Q16">
        <f t="shared" si="1"/>
        <v>7.1428571428571425E-2</v>
      </c>
      <c r="R16">
        <v>1</v>
      </c>
      <c r="S16">
        <f t="shared" si="2"/>
        <v>9</v>
      </c>
    </row>
    <row r="17" spans="1:20" x14ac:dyDescent="0.2">
      <c r="A17">
        <v>146</v>
      </c>
      <c r="B17" t="s">
        <v>32</v>
      </c>
      <c r="C17" t="s">
        <v>32</v>
      </c>
      <c r="D17" t="s">
        <v>32</v>
      </c>
      <c r="E17" t="s">
        <v>32</v>
      </c>
      <c r="F17" t="s">
        <v>32</v>
      </c>
      <c r="G17" t="s">
        <v>32</v>
      </c>
      <c r="H17" t="s">
        <v>15</v>
      </c>
      <c r="I17" t="s">
        <v>15</v>
      </c>
      <c r="J17" t="s">
        <v>32</v>
      </c>
      <c r="K17" t="s">
        <v>15</v>
      </c>
      <c r="L17" t="s">
        <v>32</v>
      </c>
      <c r="M17" t="s">
        <v>32</v>
      </c>
      <c r="N17" t="s">
        <v>32</v>
      </c>
      <c r="O17" t="s">
        <v>15</v>
      </c>
      <c r="P17">
        <f t="shared" si="0"/>
        <v>4</v>
      </c>
      <c r="Q17">
        <f t="shared" si="1"/>
        <v>0.2857142857142857</v>
      </c>
      <c r="R17">
        <v>2</v>
      </c>
      <c r="S17">
        <f t="shared" si="2"/>
        <v>12</v>
      </c>
    </row>
    <row r="18" spans="1:20" x14ac:dyDescent="0.2">
      <c r="A18">
        <v>149</v>
      </c>
      <c r="B18" t="s">
        <v>32</v>
      </c>
      <c r="C18" t="s">
        <v>32</v>
      </c>
      <c r="D18" t="s">
        <v>32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15</v>
      </c>
      <c r="N18" t="s">
        <v>15</v>
      </c>
      <c r="O18" t="s">
        <v>32</v>
      </c>
      <c r="P18">
        <f t="shared" si="0"/>
        <v>2</v>
      </c>
      <c r="Q18">
        <f t="shared" si="1"/>
        <v>0.14285714285714285</v>
      </c>
      <c r="R18">
        <v>1</v>
      </c>
      <c r="S18">
        <f t="shared" si="2"/>
        <v>9</v>
      </c>
    </row>
    <row r="19" spans="1:20" x14ac:dyDescent="0.2">
      <c r="A19">
        <v>152</v>
      </c>
      <c r="B19" t="s">
        <v>32</v>
      </c>
      <c r="C19" t="s">
        <v>32</v>
      </c>
      <c r="D19" t="s">
        <v>32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32</v>
      </c>
      <c r="K19" t="s">
        <v>15</v>
      </c>
      <c r="L19" t="s">
        <v>32</v>
      </c>
      <c r="M19" t="s">
        <v>32</v>
      </c>
      <c r="N19" t="s">
        <v>32</v>
      </c>
      <c r="O19" t="s">
        <v>32</v>
      </c>
      <c r="P19">
        <f t="shared" si="0"/>
        <v>1</v>
      </c>
      <c r="Q19">
        <f t="shared" si="1"/>
        <v>7.1428571428571425E-2</v>
      </c>
      <c r="R19">
        <v>0</v>
      </c>
      <c r="S19">
        <v>0</v>
      </c>
    </row>
    <row r="20" spans="1:20" s="2" customFormat="1" x14ac:dyDescent="0.2">
      <c r="A20" s="2">
        <v>153</v>
      </c>
      <c r="B20" s="2" t="s">
        <v>32</v>
      </c>
      <c r="C20" s="2" t="s">
        <v>32</v>
      </c>
      <c r="D20" s="2" t="s">
        <v>15</v>
      </c>
      <c r="E20" s="2" t="s">
        <v>15</v>
      </c>
      <c r="F20" s="2" t="s">
        <v>32</v>
      </c>
      <c r="G20" s="2" t="s">
        <v>15</v>
      </c>
      <c r="H20" s="2" t="s">
        <v>32</v>
      </c>
      <c r="I20" s="2" t="s">
        <v>15</v>
      </c>
      <c r="J20" s="2" t="s">
        <v>32</v>
      </c>
      <c r="K20" s="2" t="s">
        <v>32</v>
      </c>
      <c r="L20" s="2" t="s">
        <v>32</v>
      </c>
      <c r="M20" s="2" t="s">
        <v>15</v>
      </c>
      <c r="N20" s="2" t="s">
        <v>32</v>
      </c>
      <c r="O20" s="2" t="s">
        <v>15</v>
      </c>
      <c r="P20" s="2">
        <f t="shared" si="0"/>
        <v>6</v>
      </c>
      <c r="Q20" s="2">
        <f t="shared" si="1"/>
        <v>0.42857142857142855</v>
      </c>
      <c r="R20" s="2">
        <v>5</v>
      </c>
      <c r="S20">
        <f t="shared" si="2"/>
        <v>21</v>
      </c>
      <c r="T20" s="2" t="s">
        <v>45</v>
      </c>
    </row>
    <row r="21" spans="1:20" x14ac:dyDescent="0.2">
      <c r="A21">
        <v>154</v>
      </c>
      <c r="B21" t="s">
        <v>32</v>
      </c>
      <c r="C21" t="s">
        <v>32</v>
      </c>
      <c r="D21" t="s">
        <v>32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15</v>
      </c>
      <c r="O21" t="s">
        <v>15</v>
      </c>
      <c r="P21">
        <f t="shared" si="0"/>
        <v>2</v>
      </c>
      <c r="Q21">
        <f t="shared" si="1"/>
        <v>0.14285714285714285</v>
      </c>
      <c r="R21">
        <v>0</v>
      </c>
      <c r="S21">
        <v>0</v>
      </c>
    </row>
    <row r="22" spans="1:20" x14ac:dyDescent="0.2">
      <c r="A22">
        <v>156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15</v>
      </c>
      <c r="H22" t="s">
        <v>32</v>
      </c>
      <c r="I22" t="s">
        <v>15</v>
      </c>
      <c r="J22" t="s">
        <v>32</v>
      </c>
      <c r="K22" t="s">
        <v>15</v>
      </c>
      <c r="L22" t="s">
        <v>32</v>
      </c>
      <c r="M22" t="s">
        <v>15</v>
      </c>
      <c r="N22" t="s">
        <v>15</v>
      </c>
      <c r="O22" t="s">
        <v>32</v>
      </c>
      <c r="P22">
        <f t="shared" si="0"/>
        <v>5</v>
      </c>
      <c r="Q22">
        <f t="shared" si="1"/>
        <v>0.35714285714285715</v>
      </c>
      <c r="R22">
        <v>3</v>
      </c>
      <c r="S22">
        <f t="shared" si="2"/>
        <v>15</v>
      </c>
    </row>
    <row r="23" spans="1:20" x14ac:dyDescent="0.2">
      <c r="A23" t="s">
        <v>18</v>
      </c>
      <c r="B23" t="s">
        <v>32</v>
      </c>
      <c r="C23" t="s">
        <v>32</v>
      </c>
      <c r="D23" t="s">
        <v>15</v>
      </c>
      <c r="E23" t="s">
        <v>15</v>
      </c>
      <c r="F23" t="s">
        <v>32</v>
      </c>
      <c r="G23" t="s">
        <v>32</v>
      </c>
      <c r="H23" t="s">
        <v>32</v>
      </c>
      <c r="I23" t="s">
        <v>15</v>
      </c>
      <c r="J23" t="s">
        <v>32</v>
      </c>
      <c r="K23" t="s">
        <v>15</v>
      </c>
      <c r="L23" t="s">
        <v>32</v>
      </c>
      <c r="M23" t="s">
        <v>32</v>
      </c>
      <c r="N23" t="s">
        <v>15</v>
      </c>
      <c r="O23" t="s">
        <v>32</v>
      </c>
      <c r="P23">
        <f t="shared" si="0"/>
        <v>5</v>
      </c>
      <c r="Q23">
        <f t="shared" si="1"/>
        <v>0.35714285714285715</v>
      </c>
      <c r="R23">
        <v>3</v>
      </c>
      <c r="S23">
        <f t="shared" si="2"/>
        <v>15</v>
      </c>
    </row>
    <row r="24" spans="1:20" x14ac:dyDescent="0.2">
      <c r="A24" t="s">
        <v>39</v>
      </c>
      <c r="B24" t="s">
        <v>32</v>
      </c>
      <c r="C24" t="s">
        <v>32</v>
      </c>
      <c r="D24" t="s">
        <v>32</v>
      </c>
      <c r="E24" t="s">
        <v>32</v>
      </c>
      <c r="F24" t="s">
        <v>32</v>
      </c>
      <c r="G24" t="s">
        <v>15</v>
      </c>
      <c r="H24" t="s">
        <v>32</v>
      </c>
      <c r="I24" t="s">
        <v>15</v>
      </c>
      <c r="J24" t="s">
        <v>32</v>
      </c>
      <c r="K24" t="s">
        <v>15</v>
      </c>
      <c r="L24" t="s">
        <v>32</v>
      </c>
      <c r="M24" t="s">
        <v>32</v>
      </c>
      <c r="N24" t="s">
        <v>15</v>
      </c>
      <c r="O24" t="s">
        <v>32</v>
      </c>
      <c r="P24">
        <f t="shared" si="0"/>
        <v>4</v>
      </c>
      <c r="Q24">
        <f t="shared" si="1"/>
        <v>0.2857142857142857</v>
      </c>
      <c r="R24">
        <v>2</v>
      </c>
      <c r="S24">
        <f t="shared" si="2"/>
        <v>12</v>
      </c>
    </row>
    <row r="25" spans="1:20" x14ac:dyDescent="0.2">
      <c r="A25" t="s">
        <v>19</v>
      </c>
      <c r="B25" t="s">
        <v>32</v>
      </c>
      <c r="C25" t="s">
        <v>32</v>
      </c>
      <c r="D25" t="s">
        <v>32</v>
      </c>
      <c r="E25" t="s">
        <v>15</v>
      </c>
      <c r="F25" t="s">
        <v>15</v>
      </c>
      <c r="G25" t="s">
        <v>32</v>
      </c>
      <c r="H25" t="s">
        <v>32</v>
      </c>
      <c r="I25" t="s">
        <v>32</v>
      </c>
      <c r="J25" t="s">
        <v>32</v>
      </c>
      <c r="K25" t="s">
        <v>15</v>
      </c>
      <c r="L25" t="s">
        <v>32</v>
      </c>
      <c r="M25" t="s">
        <v>32</v>
      </c>
      <c r="N25" t="s">
        <v>15</v>
      </c>
      <c r="O25" t="s">
        <v>15</v>
      </c>
      <c r="P25">
        <f t="shared" si="0"/>
        <v>5</v>
      </c>
      <c r="Q25">
        <f t="shared" si="1"/>
        <v>0.35714285714285715</v>
      </c>
      <c r="R25">
        <v>2</v>
      </c>
      <c r="S25">
        <f t="shared" si="2"/>
        <v>12</v>
      </c>
    </row>
    <row r="26" spans="1:20" x14ac:dyDescent="0.2">
      <c r="A26" t="s">
        <v>20</v>
      </c>
      <c r="B26" t="s">
        <v>32</v>
      </c>
      <c r="C26" t="s">
        <v>32</v>
      </c>
      <c r="D26" t="s">
        <v>15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15</v>
      </c>
      <c r="P26">
        <f t="shared" si="0"/>
        <v>2</v>
      </c>
      <c r="Q26">
        <f t="shared" si="1"/>
        <v>0.14285714285714285</v>
      </c>
      <c r="R26">
        <v>1</v>
      </c>
      <c r="S26">
        <f t="shared" si="2"/>
        <v>9</v>
      </c>
    </row>
    <row r="27" spans="1:20" x14ac:dyDescent="0.2">
      <c r="A27">
        <v>1702</v>
      </c>
      <c r="B27" t="s">
        <v>32</v>
      </c>
      <c r="C27" t="s">
        <v>32</v>
      </c>
      <c r="D27" t="s">
        <v>15</v>
      </c>
      <c r="E27" t="s">
        <v>15</v>
      </c>
      <c r="F27" t="s">
        <v>32</v>
      </c>
      <c r="G27" t="s">
        <v>32</v>
      </c>
      <c r="H27" t="s">
        <v>32</v>
      </c>
      <c r="I27" t="s">
        <v>15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>
        <f t="shared" si="0"/>
        <v>3</v>
      </c>
      <c r="Q27">
        <f t="shared" si="1"/>
        <v>0.21428571428571427</v>
      </c>
      <c r="R27">
        <v>3</v>
      </c>
      <c r="S27">
        <f t="shared" si="2"/>
        <v>15</v>
      </c>
    </row>
    <row r="28" spans="1:20" x14ac:dyDescent="0.2">
      <c r="A28">
        <v>1703</v>
      </c>
      <c r="B28" t="s">
        <v>32</v>
      </c>
      <c r="C28" t="s">
        <v>32</v>
      </c>
      <c r="D28" t="s">
        <v>15</v>
      </c>
      <c r="E28" t="s">
        <v>32</v>
      </c>
      <c r="F28" t="s">
        <v>15</v>
      </c>
      <c r="G28" t="s">
        <v>15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>
        <f t="shared" si="0"/>
        <v>3</v>
      </c>
      <c r="Q28">
        <f t="shared" si="1"/>
        <v>0.21428571428571427</v>
      </c>
      <c r="R28">
        <v>3</v>
      </c>
      <c r="S28">
        <f t="shared" si="2"/>
        <v>15</v>
      </c>
    </row>
    <row r="29" spans="1:20" x14ac:dyDescent="0.2">
      <c r="A29">
        <v>1704</v>
      </c>
      <c r="B29" t="s">
        <v>32</v>
      </c>
      <c r="C29" t="s">
        <v>32</v>
      </c>
      <c r="D29" t="s">
        <v>15</v>
      </c>
      <c r="E29" t="s">
        <v>32</v>
      </c>
      <c r="F29" t="s">
        <v>15</v>
      </c>
      <c r="G29" t="s">
        <v>32</v>
      </c>
      <c r="H29" t="s">
        <v>32</v>
      </c>
      <c r="I29" t="s">
        <v>32</v>
      </c>
      <c r="J29" t="s">
        <v>32</v>
      </c>
      <c r="K29" t="s">
        <v>15</v>
      </c>
      <c r="L29" t="s">
        <v>32</v>
      </c>
      <c r="M29" t="s">
        <v>32</v>
      </c>
      <c r="N29" t="s">
        <v>15</v>
      </c>
      <c r="O29" t="s">
        <v>15</v>
      </c>
      <c r="P29">
        <f t="shared" si="0"/>
        <v>5</v>
      </c>
      <c r="Q29">
        <f t="shared" si="1"/>
        <v>0.35714285714285715</v>
      </c>
      <c r="R29">
        <v>2</v>
      </c>
      <c r="S29">
        <f t="shared" si="2"/>
        <v>12</v>
      </c>
    </row>
    <row r="30" spans="1:20" x14ac:dyDescent="0.2">
      <c r="A30">
        <v>1705</v>
      </c>
      <c r="B30" t="s">
        <v>32</v>
      </c>
      <c r="C30" t="s">
        <v>32</v>
      </c>
      <c r="D30" t="s">
        <v>15</v>
      </c>
      <c r="E30" t="s">
        <v>15</v>
      </c>
      <c r="F30" t="s">
        <v>32</v>
      </c>
      <c r="G30" t="s">
        <v>15</v>
      </c>
      <c r="H30" t="s">
        <v>32</v>
      </c>
      <c r="I30" t="s">
        <v>32</v>
      </c>
      <c r="J30" t="s">
        <v>32</v>
      </c>
      <c r="K30" t="s">
        <v>15</v>
      </c>
      <c r="L30" t="s">
        <v>32</v>
      </c>
      <c r="M30" t="s">
        <v>32</v>
      </c>
      <c r="N30" t="s">
        <v>32</v>
      </c>
      <c r="O30" t="s">
        <v>15</v>
      </c>
      <c r="P30">
        <f t="shared" si="0"/>
        <v>5</v>
      </c>
      <c r="Q30">
        <f t="shared" si="1"/>
        <v>0.35714285714285715</v>
      </c>
      <c r="R30">
        <v>3</v>
      </c>
      <c r="S30">
        <f t="shared" si="2"/>
        <v>15</v>
      </c>
    </row>
    <row r="31" spans="1:20" x14ac:dyDescent="0.2">
      <c r="A31">
        <v>1706</v>
      </c>
      <c r="B31" t="s">
        <v>32</v>
      </c>
      <c r="C31" t="s">
        <v>32</v>
      </c>
      <c r="D31" t="s">
        <v>32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32</v>
      </c>
      <c r="K31" t="s">
        <v>32</v>
      </c>
      <c r="L31" t="s">
        <v>32</v>
      </c>
      <c r="M31" t="s">
        <v>32</v>
      </c>
      <c r="N31" t="s">
        <v>32</v>
      </c>
      <c r="O31" t="s">
        <v>15</v>
      </c>
      <c r="P31">
        <f t="shared" si="0"/>
        <v>1</v>
      </c>
      <c r="Q31">
        <f t="shared" si="1"/>
        <v>7.1428571428571425E-2</v>
      </c>
      <c r="R31">
        <v>0</v>
      </c>
      <c r="S31">
        <v>0</v>
      </c>
    </row>
    <row r="32" spans="1:20" x14ac:dyDescent="0.2">
      <c r="A32">
        <v>1708</v>
      </c>
      <c r="B32" t="s">
        <v>32</v>
      </c>
      <c r="C32" t="s">
        <v>32</v>
      </c>
      <c r="D32" t="s">
        <v>32</v>
      </c>
      <c r="E32" t="s">
        <v>15</v>
      </c>
      <c r="F32" t="s">
        <v>32</v>
      </c>
      <c r="G32" t="s">
        <v>15</v>
      </c>
      <c r="H32" t="s">
        <v>32</v>
      </c>
      <c r="I32" t="s">
        <v>15</v>
      </c>
      <c r="J32" t="s">
        <v>32</v>
      </c>
      <c r="K32" t="s">
        <v>15</v>
      </c>
      <c r="L32" t="s">
        <v>32</v>
      </c>
      <c r="M32" t="s">
        <v>15</v>
      </c>
      <c r="N32" t="s">
        <v>15</v>
      </c>
      <c r="O32" t="s">
        <v>15</v>
      </c>
      <c r="P32">
        <f t="shared" si="0"/>
        <v>7</v>
      </c>
      <c r="Q32">
        <f t="shared" si="1"/>
        <v>0.5</v>
      </c>
      <c r="R32">
        <v>4</v>
      </c>
      <c r="S32">
        <f t="shared" si="2"/>
        <v>18</v>
      </c>
    </row>
    <row r="33" spans="1:19" x14ac:dyDescent="0.2">
      <c r="A33">
        <v>1710</v>
      </c>
      <c r="B33" t="s">
        <v>32</v>
      </c>
      <c r="C33" t="s">
        <v>32</v>
      </c>
      <c r="D33" t="s">
        <v>32</v>
      </c>
      <c r="E33" t="s">
        <v>32</v>
      </c>
      <c r="F33" t="s">
        <v>15</v>
      </c>
      <c r="G33" t="s">
        <v>32</v>
      </c>
      <c r="H33" t="s">
        <v>32</v>
      </c>
      <c r="I33" t="s">
        <v>32</v>
      </c>
      <c r="J33" t="s">
        <v>32</v>
      </c>
      <c r="K33" t="s">
        <v>15</v>
      </c>
      <c r="L33" t="s">
        <v>32</v>
      </c>
      <c r="M33" t="s">
        <v>32</v>
      </c>
      <c r="N33" t="s">
        <v>15</v>
      </c>
      <c r="O33" t="s">
        <v>15</v>
      </c>
      <c r="P33">
        <f t="shared" si="0"/>
        <v>4</v>
      </c>
      <c r="Q33">
        <f t="shared" si="1"/>
        <v>0.2857142857142857</v>
      </c>
      <c r="R33">
        <v>1</v>
      </c>
      <c r="S33">
        <f t="shared" si="2"/>
        <v>9</v>
      </c>
    </row>
    <row r="34" spans="1:19" x14ac:dyDescent="0.2">
      <c r="A34">
        <v>1713</v>
      </c>
      <c r="B34" t="s">
        <v>32</v>
      </c>
      <c r="C34" t="s">
        <v>32</v>
      </c>
      <c r="D34" t="s">
        <v>15</v>
      </c>
      <c r="E34" t="s">
        <v>15</v>
      </c>
      <c r="F34" t="s">
        <v>32</v>
      </c>
      <c r="G34" t="s">
        <v>32</v>
      </c>
      <c r="H34" t="s">
        <v>32</v>
      </c>
      <c r="I34" t="s">
        <v>32</v>
      </c>
      <c r="J34" t="s">
        <v>32</v>
      </c>
      <c r="K34" t="s">
        <v>15</v>
      </c>
      <c r="L34" t="s">
        <v>15</v>
      </c>
      <c r="M34" t="s">
        <v>15</v>
      </c>
      <c r="N34" t="s">
        <v>15</v>
      </c>
      <c r="O34" t="s">
        <v>32</v>
      </c>
      <c r="P34">
        <f t="shared" si="0"/>
        <v>6</v>
      </c>
      <c r="Q34">
        <f t="shared" si="1"/>
        <v>0.42857142857142855</v>
      </c>
      <c r="R34">
        <v>4</v>
      </c>
      <c r="S34">
        <f t="shared" si="2"/>
        <v>18</v>
      </c>
    </row>
    <row r="35" spans="1:19" x14ac:dyDescent="0.2">
      <c r="A35" t="s">
        <v>21</v>
      </c>
      <c r="B35">
        <f t="shared" ref="B35:O35" si="3">COUNTIF(B2:B34, "X")</f>
        <v>0</v>
      </c>
      <c r="C35">
        <f t="shared" si="3"/>
        <v>0</v>
      </c>
      <c r="D35">
        <f t="shared" si="3"/>
        <v>14</v>
      </c>
      <c r="E35">
        <f t="shared" si="3"/>
        <v>12</v>
      </c>
      <c r="F35">
        <f t="shared" si="3"/>
        <v>10</v>
      </c>
      <c r="G35">
        <f t="shared" si="3"/>
        <v>6</v>
      </c>
      <c r="H35">
        <f t="shared" si="3"/>
        <v>3</v>
      </c>
      <c r="I35">
        <f t="shared" si="3"/>
        <v>11</v>
      </c>
      <c r="J35">
        <f t="shared" si="3"/>
        <v>0</v>
      </c>
      <c r="K35">
        <f t="shared" si="3"/>
        <v>18</v>
      </c>
      <c r="L35">
        <f t="shared" si="3"/>
        <v>1</v>
      </c>
      <c r="M35">
        <f t="shared" si="3"/>
        <v>5</v>
      </c>
      <c r="N35">
        <f t="shared" si="3"/>
        <v>19</v>
      </c>
      <c r="O35">
        <f t="shared" si="3"/>
        <v>18</v>
      </c>
    </row>
    <row r="36" spans="1:19" x14ac:dyDescent="0.2">
      <c r="A36" t="s">
        <v>22</v>
      </c>
      <c r="B36">
        <f t="shared" ref="B36:O36" si="4">B35/33</f>
        <v>0</v>
      </c>
      <c r="C36">
        <f t="shared" si="4"/>
        <v>0</v>
      </c>
      <c r="D36">
        <f t="shared" si="4"/>
        <v>0.42424242424242425</v>
      </c>
      <c r="E36">
        <f t="shared" si="4"/>
        <v>0.36363636363636365</v>
      </c>
      <c r="F36">
        <f t="shared" si="4"/>
        <v>0.30303030303030304</v>
      </c>
      <c r="G36">
        <f t="shared" si="4"/>
        <v>0.18181818181818182</v>
      </c>
      <c r="H36">
        <f t="shared" si="4"/>
        <v>9.0909090909090912E-2</v>
      </c>
      <c r="I36">
        <f t="shared" si="4"/>
        <v>0.33333333333333331</v>
      </c>
      <c r="J36">
        <f t="shared" si="4"/>
        <v>0</v>
      </c>
      <c r="K36">
        <f t="shared" si="4"/>
        <v>0.54545454545454541</v>
      </c>
      <c r="L36">
        <f t="shared" si="4"/>
        <v>3.0303030303030304E-2</v>
      </c>
      <c r="M36">
        <f t="shared" si="4"/>
        <v>0.15151515151515152</v>
      </c>
      <c r="N36">
        <f t="shared" si="4"/>
        <v>0.5757575757575758</v>
      </c>
      <c r="O36">
        <f t="shared" si="4"/>
        <v>0.54545454545454541</v>
      </c>
    </row>
    <row r="37" spans="1:19" x14ac:dyDescent="0.2">
      <c r="A37" t="s">
        <v>44</v>
      </c>
      <c r="B37">
        <f t="shared" ref="B37:O37" si="5">COUNTIF(B2:B34, "done")</f>
        <v>33</v>
      </c>
      <c r="C37">
        <f t="shared" si="5"/>
        <v>33</v>
      </c>
      <c r="D37">
        <f t="shared" si="5"/>
        <v>19</v>
      </c>
      <c r="E37">
        <f t="shared" si="5"/>
        <v>21</v>
      </c>
      <c r="F37">
        <f t="shared" si="5"/>
        <v>23</v>
      </c>
      <c r="G37">
        <f t="shared" si="5"/>
        <v>27</v>
      </c>
      <c r="H37">
        <f t="shared" si="5"/>
        <v>30</v>
      </c>
      <c r="I37">
        <f t="shared" si="5"/>
        <v>22</v>
      </c>
      <c r="J37">
        <f t="shared" si="5"/>
        <v>33</v>
      </c>
      <c r="K37">
        <f t="shared" si="5"/>
        <v>15</v>
      </c>
      <c r="L37">
        <f t="shared" si="5"/>
        <v>32</v>
      </c>
      <c r="M37">
        <f t="shared" si="5"/>
        <v>28</v>
      </c>
      <c r="N37">
        <f t="shared" si="5"/>
        <v>14</v>
      </c>
      <c r="O37">
        <f t="shared" si="5"/>
        <v>15</v>
      </c>
    </row>
    <row r="38" spans="1:19" x14ac:dyDescent="0.2">
      <c r="K38" t="s">
        <v>27</v>
      </c>
      <c r="N38" t="s">
        <v>27</v>
      </c>
      <c r="O38" t="s">
        <v>27</v>
      </c>
    </row>
    <row r="41" spans="1:19" x14ac:dyDescent="0.2">
      <c r="B41" t="s">
        <v>23</v>
      </c>
    </row>
    <row r="42" spans="1:19" x14ac:dyDescent="0.2">
      <c r="B42" t="s">
        <v>24</v>
      </c>
    </row>
    <row r="44" spans="1:19" x14ac:dyDescent="0.2">
      <c r="B44" t="s">
        <v>25</v>
      </c>
    </row>
    <row r="45" spans="1:19" x14ac:dyDescent="0.2">
      <c r="B45" t="s">
        <v>9</v>
      </c>
    </row>
    <row r="46" spans="1:19" x14ac:dyDescent="0.2">
      <c r="B46" t="s">
        <v>11</v>
      </c>
    </row>
    <row r="47" spans="1:19" x14ac:dyDescent="0.2">
      <c r="B47" t="s">
        <v>7</v>
      </c>
    </row>
    <row r="48" spans="1:19" x14ac:dyDescent="0.2">
      <c r="B48" t="s">
        <v>6</v>
      </c>
      <c r="C48" t="s">
        <v>12</v>
      </c>
    </row>
    <row r="52" spans="1:20" x14ac:dyDescent="0.2">
      <c r="B52" t="s">
        <v>26</v>
      </c>
    </row>
    <row r="54" spans="1:20" x14ac:dyDescent="0.2">
      <c r="B54" t="s">
        <v>30</v>
      </c>
      <c r="D54" t="s">
        <v>33</v>
      </c>
    </row>
    <row r="55" spans="1:20" x14ac:dyDescent="0.2">
      <c r="B55" t="s">
        <v>31</v>
      </c>
      <c r="D55" t="s">
        <v>33</v>
      </c>
    </row>
    <row r="58" spans="1:20" x14ac:dyDescent="0.2">
      <c r="B58" t="s">
        <v>37</v>
      </c>
    </row>
    <row r="61" spans="1:20" x14ac:dyDescent="0.2">
      <c r="A61">
        <v>105</v>
      </c>
      <c r="B61" t="s">
        <v>15</v>
      </c>
      <c r="C61" t="s">
        <v>32</v>
      </c>
      <c r="D61" t="s">
        <v>32</v>
      </c>
      <c r="E61" t="s">
        <v>32</v>
      </c>
      <c r="F61" t="s">
        <v>15</v>
      </c>
      <c r="G61" t="s">
        <v>15</v>
      </c>
      <c r="H61" t="s">
        <v>32</v>
      </c>
      <c r="I61" t="s">
        <v>15</v>
      </c>
      <c r="J61" t="s">
        <v>15</v>
      </c>
      <c r="K61" t="s">
        <v>15</v>
      </c>
      <c r="L61" t="s">
        <v>15</v>
      </c>
      <c r="M61" t="s">
        <v>15</v>
      </c>
      <c r="N61" t="s">
        <v>15</v>
      </c>
      <c r="O61" t="s">
        <v>15</v>
      </c>
      <c r="P61">
        <f t="shared" ref="P61:P66" si="6">COUNTIF(B61:O61, "X")</f>
        <v>10</v>
      </c>
      <c r="Q61">
        <f t="shared" ref="Q61:Q66" si="7">P61/14</f>
        <v>0.7142857142857143</v>
      </c>
      <c r="R61" t="s">
        <v>28</v>
      </c>
      <c r="T61" t="s">
        <v>32</v>
      </c>
    </row>
    <row r="62" spans="1:20" x14ac:dyDescent="0.2">
      <c r="A62">
        <v>111</v>
      </c>
      <c r="B62" t="s">
        <v>15</v>
      </c>
      <c r="C62" t="s">
        <v>32</v>
      </c>
      <c r="D62" t="s">
        <v>32</v>
      </c>
      <c r="E62" t="s">
        <v>15</v>
      </c>
      <c r="F62" t="s">
        <v>15</v>
      </c>
      <c r="G62" t="s">
        <v>32</v>
      </c>
      <c r="H62" t="s">
        <v>15</v>
      </c>
      <c r="I62" t="s">
        <v>15</v>
      </c>
      <c r="J62" t="s">
        <v>32</v>
      </c>
      <c r="K62" t="s">
        <v>15</v>
      </c>
      <c r="L62" t="s">
        <v>32</v>
      </c>
      <c r="M62" t="s">
        <v>32</v>
      </c>
      <c r="N62" t="s">
        <v>15</v>
      </c>
      <c r="O62" t="s">
        <v>15</v>
      </c>
      <c r="P62">
        <f t="shared" si="6"/>
        <v>8</v>
      </c>
      <c r="Q62">
        <f t="shared" si="7"/>
        <v>0.5714285714285714</v>
      </c>
      <c r="R62" t="s">
        <v>28</v>
      </c>
      <c r="T62" t="s">
        <v>32</v>
      </c>
    </row>
    <row r="63" spans="1:20" x14ac:dyDescent="0.2">
      <c r="A63">
        <v>128</v>
      </c>
      <c r="B63" t="s">
        <v>15</v>
      </c>
      <c r="C63" t="s">
        <v>32</v>
      </c>
      <c r="D63" t="s">
        <v>15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32</v>
      </c>
      <c r="K63" t="s">
        <v>32</v>
      </c>
      <c r="L63" t="s">
        <v>32</v>
      </c>
      <c r="M63" t="s">
        <v>15</v>
      </c>
      <c r="N63" t="s">
        <v>32</v>
      </c>
      <c r="O63" t="s">
        <v>15</v>
      </c>
      <c r="P63">
        <f t="shared" si="6"/>
        <v>4</v>
      </c>
      <c r="Q63">
        <f t="shared" si="7"/>
        <v>0.2857142857142857</v>
      </c>
      <c r="R63" t="s">
        <v>28</v>
      </c>
      <c r="T63" t="s">
        <v>32</v>
      </c>
    </row>
    <row r="64" spans="1:20" x14ac:dyDescent="0.2">
      <c r="A64">
        <v>129</v>
      </c>
      <c r="B64" t="s">
        <v>15</v>
      </c>
      <c r="C64" t="s">
        <v>32</v>
      </c>
      <c r="D64" t="s">
        <v>15</v>
      </c>
      <c r="E64" t="s">
        <v>15</v>
      </c>
      <c r="F64" t="s">
        <v>32</v>
      </c>
      <c r="G64" t="s">
        <v>15</v>
      </c>
      <c r="H64" t="s">
        <v>32</v>
      </c>
      <c r="I64" t="s">
        <v>15</v>
      </c>
      <c r="J64" t="s">
        <v>32</v>
      </c>
      <c r="K64" t="s">
        <v>15</v>
      </c>
      <c r="L64" t="s">
        <v>32</v>
      </c>
      <c r="M64" t="s">
        <v>15</v>
      </c>
      <c r="N64" t="s">
        <v>15</v>
      </c>
      <c r="O64" t="s">
        <v>15</v>
      </c>
      <c r="P64">
        <f t="shared" si="6"/>
        <v>9</v>
      </c>
      <c r="Q64">
        <f t="shared" si="7"/>
        <v>0.6428571428571429</v>
      </c>
      <c r="R64" t="s">
        <v>16</v>
      </c>
      <c r="T64" t="s">
        <v>32</v>
      </c>
    </row>
    <row r="65" spans="1:20" x14ac:dyDescent="0.2">
      <c r="A65">
        <v>144</v>
      </c>
      <c r="B65" t="s">
        <v>15</v>
      </c>
      <c r="C65" t="s">
        <v>32</v>
      </c>
      <c r="D65" t="s">
        <v>32</v>
      </c>
      <c r="E65" t="s">
        <v>32</v>
      </c>
      <c r="F65" t="s">
        <v>32</v>
      </c>
      <c r="G65" t="s">
        <v>15</v>
      </c>
      <c r="H65" t="s">
        <v>32</v>
      </c>
      <c r="I65" t="s">
        <v>15</v>
      </c>
      <c r="J65" t="s">
        <v>32</v>
      </c>
      <c r="K65" t="s">
        <v>32</v>
      </c>
      <c r="L65" t="s">
        <v>32</v>
      </c>
      <c r="M65" t="s">
        <v>32</v>
      </c>
      <c r="N65" t="s">
        <v>32</v>
      </c>
      <c r="O65" t="s">
        <v>32</v>
      </c>
      <c r="P65">
        <f t="shared" si="6"/>
        <v>3</v>
      </c>
      <c r="Q65">
        <f t="shared" si="7"/>
        <v>0.21428571428571427</v>
      </c>
      <c r="R65" t="s">
        <v>16</v>
      </c>
      <c r="T65" t="s">
        <v>32</v>
      </c>
    </row>
    <row r="66" spans="1:20" x14ac:dyDescent="0.2">
      <c r="A66">
        <v>162</v>
      </c>
      <c r="B66" t="s">
        <v>15</v>
      </c>
      <c r="C66" t="s">
        <v>32</v>
      </c>
      <c r="D66" t="s">
        <v>32</v>
      </c>
      <c r="E66" t="s">
        <v>32</v>
      </c>
      <c r="F66" t="s">
        <v>15</v>
      </c>
      <c r="G66" t="s">
        <v>32</v>
      </c>
      <c r="H66" t="s">
        <v>32</v>
      </c>
      <c r="I66" t="s">
        <v>32</v>
      </c>
      <c r="J66" t="s">
        <v>32</v>
      </c>
      <c r="K66" t="s">
        <v>32</v>
      </c>
      <c r="L66" t="s">
        <v>32</v>
      </c>
      <c r="M66" t="s">
        <v>32</v>
      </c>
      <c r="N66" t="s">
        <v>15</v>
      </c>
      <c r="O66" t="s">
        <v>15</v>
      </c>
      <c r="P66">
        <f t="shared" si="6"/>
        <v>4</v>
      </c>
      <c r="Q66">
        <f t="shared" si="7"/>
        <v>0.2857142857142857</v>
      </c>
      <c r="R66" t="s">
        <v>29</v>
      </c>
      <c r="T66" t="s">
        <v>32</v>
      </c>
    </row>
  </sheetData>
  <autoFilter ref="A1:T66" xr:uid="{EB7E6496-1D45-0245-B60B-F5CFC404E187}"/>
  <phoneticPr fontId="2" type="noConversion"/>
  <conditionalFormatting sqref="A1:S2 P3:S34 A61:T66 T1 A3:J34 L3:M34 T4 T7 T11:T12 T16 T24 B41 B44:B49 C48:C49 B52 B54:B56 D55:D56 B58">
    <cfRule type="cellIs" dxfId="14" priority="5" operator="equal">
      <formula>"X"</formula>
    </cfRule>
  </conditionalFormatting>
  <conditionalFormatting sqref="B36:Q36">
    <cfRule type="colorScale" priority="4">
      <colorScale>
        <cfvo type="min"/>
        <cfvo type="max"/>
        <color rgb="FFFCFCFF"/>
        <color rgb="FFF8696B"/>
      </colorScale>
    </cfRule>
  </conditionalFormatting>
  <conditionalFormatting sqref="K3:K34">
    <cfRule type="cellIs" dxfId="13" priority="2" operator="equal">
      <formula>"X"</formula>
    </cfRule>
  </conditionalFormatting>
  <conditionalFormatting sqref="N3:O34">
    <cfRule type="cellIs" dxfId="12" priority="1" operator="equal">
      <formula>"X"</formula>
    </cfRule>
  </conditionalFormatting>
  <conditionalFormatting sqref="Q2:Q34 Q61:Q66">
    <cfRule type="colorScale" priority="3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scale="50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B09DB-5FC5-6B43-B6D5-1C76DD48F915}">
  <dimension ref="A1:AE13"/>
  <sheetViews>
    <sheetView zoomScale="140" zoomScaleNormal="140" workbookViewId="0">
      <selection sqref="A1:XFD1048576"/>
    </sheetView>
  </sheetViews>
  <sheetFormatPr baseColWidth="10" defaultColWidth="10.6640625" defaultRowHeight="16" x14ac:dyDescent="0.2"/>
  <sheetData>
    <row r="1" spans="1:31" x14ac:dyDescent="0.2">
      <c r="A1" t="s">
        <v>0</v>
      </c>
      <c r="B1">
        <v>102</v>
      </c>
      <c r="C1" t="s">
        <v>42</v>
      </c>
      <c r="D1">
        <v>106</v>
      </c>
      <c r="E1">
        <v>107</v>
      </c>
      <c r="F1" t="s">
        <v>43</v>
      </c>
      <c r="G1">
        <v>113</v>
      </c>
      <c r="H1">
        <v>115</v>
      </c>
      <c r="I1">
        <v>122</v>
      </c>
      <c r="J1" t="s">
        <v>41</v>
      </c>
      <c r="K1">
        <v>142</v>
      </c>
      <c r="L1" t="s">
        <v>17</v>
      </c>
      <c r="M1" t="s">
        <v>38</v>
      </c>
      <c r="N1">
        <v>146</v>
      </c>
      <c r="O1">
        <v>149</v>
      </c>
      <c r="P1">
        <v>152</v>
      </c>
      <c r="Q1" s="2">
        <v>153</v>
      </c>
      <c r="R1">
        <v>154</v>
      </c>
      <c r="S1">
        <v>156</v>
      </c>
      <c r="T1" t="s">
        <v>18</v>
      </c>
      <c r="U1" t="s">
        <v>39</v>
      </c>
      <c r="V1" t="s">
        <v>19</v>
      </c>
      <c r="W1" t="s">
        <v>20</v>
      </c>
      <c r="X1">
        <v>1702</v>
      </c>
      <c r="Y1">
        <v>1703</v>
      </c>
      <c r="Z1">
        <v>1704</v>
      </c>
      <c r="AA1">
        <v>1705</v>
      </c>
      <c r="AB1">
        <v>1706</v>
      </c>
      <c r="AC1">
        <v>1708</v>
      </c>
      <c r="AD1">
        <v>1710</v>
      </c>
      <c r="AE1">
        <v>1713</v>
      </c>
    </row>
    <row r="2" spans="1:31" x14ac:dyDescent="0.2">
      <c r="A2" s="1" t="s">
        <v>10</v>
      </c>
      <c r="B2" t="s">
        <v>15</v>
      </c>
      <c r="C2" t="s">
        <v>15</v>
      </c>
      <c r="D2" t="s">
        <v>32</v>
      </c>
      <c r="E2" t="s">
        <v>15</v>
      </c>
      <c r="F2" t="s">
        <v>15</v>
      </c>
      <c r="G2" t="s">
        <v>15</v>
      </c>
      <c r="H2" t="s">
        <v>32</v>
      </c>
      <c r="I2" t="s">
        <v>15</v>
      </c>
      <c r="J2" t="s">
        <v>15</v>
      </c>
      <c r="K2" t="s">
        <v>32</v>
      </c>
      <c r="L2" t="s">
        <v>32</v>
      </c>
      <c r="M2" t="s">
        <v>32</v>
      </c>
      <c r="N2" t="s">
        <v>15</v>
      </c>
      <c r="O2" t="s">
        <v>32</v>
      </c>
      <c r="P2" t="s">
        <v>15</v>
      </c>
      <c r="Q2" s="2" t="s">
        <v>32</v>
      </c>
      <c r="R2" t="s">
        <v>32</v>
      </c>
      <c r="S2" t="s">
        <v>15</v>
      </c>
      <c r="T2" t="s">
        <v>15</v>
      </c>
      <c r="U2" t="s">
        <v>15</v>
      </c>
      <c r="V2" t="s">
        <v>15</v>
      </c>
      <c r="W2" t="s">
        <v>32</v>
      </c>
      <c r="X2" t="s">
        <v>32</v>
      </c>
      <c r="Y2" t="s">
        <v>32</v>
      </c>
      <c r="Z2" t="s">
        <v>15</v>
      </c>
      <c r="AA2" t="s">
        <v>15</v>
      </c>
      <c r="AB2" t="s">
        <v>32</v>
      </c>
      <c r="AC2" t="s">
        <v>15</v>
      </c>
      <c r="AD2" t="s">
        <v>15</v>
      </c>
      <c r="AE2" t="s">
        <v>15</v>
      </c>
    </row>
    <row r="3" spans="1:31" x14ac:dyDescent="0.2">
      <c r="A3" s="1" t="s">
        <v>13</v>
      </c>
      <c r="B3" t="s">
        <v>15</v>
      </c>
      <c r="C3" t="s">
        <v>15</v>
      </c>
      <c r="D3" t="s">
        <v>15</v>
      </c>
      <c r="E3" t="s">
        <v>15</v>
      </c>
      <c r="F3" t="s">
        <v>32</v>
      </c>
      <c r="G3" t="s">
        <v>15</v>
      </c>
      <c r="H3" t="s">
        <v>32</v>
      </c>
      <c r="I3" t="s">
        <v>15</v>
      </c>
      <c r="J3" t="s">
        <v>15</v>
      </c>
      <c r="K3" t="s">
        <v>15</v>
      </c>
      <c r="L3" t="s">
        <v>15</v>
      </c>
      <c r="M3" t="s">
        <v>32</v>
      </c>
      <c r="N3" t="s">
        <v>32</v>
      </c>
      <c r="O3" t="s">
        <v>15</v>
      </c>
      <c r="P3" t="s">
        <v>32</v>
      </c>
      <c r="Q3" s="2" t="s">
        <v>32</v>
      </c>
      <c r="R3" t="s">
        <v>15</v>
      </c>
      <c r="S3" t="s">
        <v>15</v>
      </c>
      <c r="T3" t="s">
        <v>15</v>
      </c>
      <c r="U3" t="s">
        <v>15</v>
      </c>
      <c r="V3" t="s">
        <v>15</v>
      </c>
      <c r="W3" t="s">
        <v>32</v>
      </c>
      <c r="X3" t="s">
        <v>32</v>
      </c>
      <c r="Y3" t="s">
        <v>32</v>
      </c>
      <c r="Z3" t="s">
        <v>15</v>
      </c>
      <c r="AA3" t="s">
        <v>32</v>
      </c>
      <c r="AB3" t="s">
        <v>32</v>
      </c>
      <c r="AC3" t="s">
        <v>15</v>
      </c>
      <c r="AD3" t="s">
        <v>15</v>
      </c>
      <c r="AE3" t="s">
        <v>15</v>
      </c>
    </row>
    <row r="4" spans="1:31" x14ac:dyDescent="0.2">
      <c r="A4" t="s">
        <v>4</v>
      </c>
      <c r="B4" t="s">
        <v>15</v>
      </c>
      <c r="C4" t="s">
        <v>32</v>
      </c>
      <c r="D4" t="s">
        <v>32</v>
      </c>
      <c r="E4" t="s">
        <v>15</v>
      </c>
      <c r="F4" t="s">
        <v>15</v>
      </c>
      <c r="G4" t="s">
        <v>15</v>
      </c>
      <c r="H4" t="s">
        <v>32</v>
      </c>
      <c r="I4" t="s">
        <v>32</v>
      </c>
      <c r="J4" t="s">
        <v>15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s="2" t="s">
        <v>15</v>
      </c>
      <c r="R4" t="s">
        <v>32</v>
      </c>
      <c r="S4" t="s">
        <v>32</v>
      </c>
      <c r="T4" t="s">
        <v>15</v>
      </c>
      <c r="U4" t="s">
        <v>32</v>
      </c>
      <c r="V4" t="s">
        <v>15</v>
      </c>
      <c r="W4" t="s">
        <v>32</v>
      </c>
      <c r="X4" t="s">
        <v>15</v>
      </c>
      <c r="Y4" t="s">
        <v>32</v>
      </c>
      <c r="Z4" t="s">
        <v>32</v>
      </c>
      <c r="AA4" t="s">
        <v>15</v>
      </c>
      <c r="AB4" t="s">
        <v>32</v>
      </c>
      <c r="AC4" t="s">
        <v>15</v>
      </c>
      <c r="AD4" t="s">
        <v>32</v>
      </c>
      <c r="AE4" t="s">
        <v>15</v>
      </c>
    </row>
    <row r="5" spans="1:31" x14ac:dyDescent="0.2">
      <c r="A5" t="s">
        <v>12</v>
      </c>
      <c r="B5" t="s">
        <v>32</v>
      </c>
      <c r="C5" t="s">
        <v>32</v>
      </c>
      <c r="D5" t="s">
        <v>32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15</v>
      </c>
      <c r="P5" t="s">
        <v>32</v>
      </c>
      <c r="Q5" s="2" t="s">
        <v>15</v>
      </c>
      <c r="R5" t="s">
        <v>32</v>
      </c>
      <c r="S5" t="s">
        <v>15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  <c r="AC5" t="s">
        <v>15</v>
      </c>
      <c r="AD5" t="s">
        <v>32</v>
      </c>
      <c r="AE5" t="s">
        <v>15</v>
      </c>
    </row>
    <row r="6" spans="1:31" x14ac:dyDescent="0.2">
      <c r="A6" t="s">
        <v>3</v>
      </c>
      <c r="B6" t="s">
        <v>32</v>
      </c>
      <c r="C6" t="s">
        <v>32</v>
      </c>
      <c r="D6" t="s">
        <v>32</v>
      </c>
      <c r="E6" t="s">
        <v>15</v>
      </c>
      <c r="F6" t="s">
        <v>15</v>
      </c>
      <c r="G6" t="s">
        <v>15</v>
      </c>
      <c r="H6" t="s">
        <v>32</v>
      </c>
      <c r="I6" t="s">
        <v>32</v>
      </c>
      <c r="J6" t="s">
        <v>15</v>
      </c>
      <c r="K6" t="s">
        <v>32</v>
      </c>
      <c r="L6" t="s">
        <v>15</v>
      </c>
      <c r="M6" t="s">
        <v>15</v>
      </c>
      <c r="N6" t="s">
        <v>32</v>
      </c>
      <c r="O6" t="s">
        <v>32</v>
      </c>
      <c r="P6" t="s">
        <v>32</v>
      </c>
      <c r="Q6" s="2" t="s">
        <v>15</v>
      </c>
      <c r="R6" t="s">
        <v>32</v>
      </c>
      <c r="S6" t="s">
        <v>32</v>
      </c>
      <c r="T6" t="s">
        <v>15</v>
      </c>
      <c r="U6" t="s">
        <v>32</v>
      </c>
      <c r="V6" t="s">
        <v>32</v>
      </c>
      <c r="W6" t="s">
        <v>15</v>
      </c>
      <c r="X6" t="s">
        <v>15</v>
      </c>
      <c r="Y6" t="s">
        <v>15</v>
      </c>
      <c r="Z6" t="s">
        <v>15</v>
      </c>
      <c r="AA6" t="s">
        <v>15</v>
      </c>
      <c r="AB6" t="s">
        <v>32</v>
      </c>
      <c r="AC6" t="s">
        <v>32</v>
      </c>
      <c r="AD6" t="s">
        <v>32</v>
      </c>
      <c r="AE6" t="s">
        <v>15</v>
      </c>
    </row>
    <row r="7" spans="1:31" x14ac:dyDescent="0.2">
      <c r="A7" t="s">
        <v>11</v>
      </c>
      <c r="B7" t="s">
        <v>32</v>
      </c>
      <c r="C7" t="s">
        <v>32</v>
      </c>
      <c r="D7" t="s">
        <v>32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s="2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  <c r="AE7" t="s">
        <v>15</v>
      </c>
    </row>
    <row r="8" spans="1:31" x14ac:dyDescent="0.2">
      <c r="A8" s="1" t="s">
        <v>14</v>
      </c>
      <c r="B8" t="s">
        <v>32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32</v>
      </c>
      <c r="K8" t="s">
        <v>32</v>
      </c>
      <c r="L8" t="s">
        <v>15</v>
      </c>
      <c r="M8" t="s">
        <v>32</v>
      </c>
      <c r="N8" t="s">
        <v>15</v>
      </c>
      <c r="O8" t="s">
        <v>32</v>
      </c>
      <c r="P8" t="s">
        <v>32</v>
      </c>
      <c r="Q8" s="2" t="s">
        <v>15</v>
      </c>
      <c r="R8" t="s">
        <v>15</v>
      </c>
      <c r="S8" t="s">
        <v>32</v>
      </c>
      <c r="T8" t="s">
        <v>32</v>
      </c>
      <c r="U8" t="s">
        <v>32</v>
      </c>
      <c r="V8" t="s">
        <v>15</v>
      </c>
      <c r="W8" t="s">
        <v>15</v>
      </c>
      <c r="X8" t="s">
        <v>32</v>
      </c>
      <c r="Y8" t="s">
        <v>32</v>
      </c>
      <c r="Z8" t="s">
        <v>15</v>
      </c>
      <c r="AA8" t="s">
        <v>15</v>
      </c>
      <c r="AB8" t="s">
        <v>15</v>
      </c>
      <c r="AC8" t="s">
        <v>15</v>
      </c>
      <c r="AD8" t="s">
        <v>15</v>
      </c>
      <c r="AE8" t="s">
        <v>32</v>
      </c>
    </row>
    <row r="9" spans="1:31" x14ac:dyDescent="0.2">
      <c r="A9" t="s">
        <v>5</v>
      </c>
      <c r="B9" t="s">
        <v>15</v>
      </c>
      <c r="C9" t="s">
        <v>32</v>
      </c>
      <c r="D9" t="s">
        <v>15</v>
      </c>
      <c r="E9" t="s">
        <v>32</v>
      </c>
      <c r="F9" t="s">
        <v>15</v>
      </c>
      <c r="G9" t="s">
        <v>32</v>
      </c>
      <c r="H9" t="s">
        <v>32</v>
      </c>
      <c r="I9" t="s">
        <v>15</v>
      </c>
      <c r="J9" t="s">
        <v>15</v>
      </c>
      <c r="K9" t="s">
        <v>32</v>
      </c>
      <c r="L9" t="s">
        <v>15</v>
      </c>
      <c r="M9" t="s">
        <v>32</v>
      </c>
      <c r="N9" t="s">
        <v>32</v>
      </c>
      <c r="O9" t="s">
        <v>32</v>
      </c>
      <c r="P9" t="s">
        <v>32</v>
      </c>
      <c r="Q9" s="2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15</v>
      </c>
      <c r="W9" t="s">
        <v>32</v>
      </c>
      <c r="X9" t="s">
        <v>32</v>
      </c>
      <c r="Y9" t="s">
        <v>15</v>
      </c>
      <c r="Z9" t="s">
        <v>15</v>
      </c>
      <c r="AA9" t="s">
        <v>32</v>
      </c>
      <c r="AB9" t="s">
        <v>32</v>
      </c>
      <c r="AC9" t="s">
        <v>32</v>
      </c>
      <c r="AD9" t="s">
        <v>15</v>
      </c>
      <c r="AE9" t="s">
        <v>32</v>
      </c>
    </row>
    <row r="10" spans="1:31" x14ac:dyDescent="0.2">
      <c r="A10" t="s">
        <v>6</v>
      </c>
      <c r="B10" t="s">
        <v>32</v>
      </c>
      <c r="C10" t="s">
        <v>32</v>
      </c>
      <c r="D10" t="s">
        <v>32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s="2" t="s">
        <v>15</v>
      </c>
      <c r="R10" t="s">
        <v>32</v>
      </c>
      <c r="S10" t="s">
        <v>15</v>
      </c>
      <c r="T10" t="s">
        <v>32</v>
      </c>
      <c r="U10" t="s">
        <v>15</v>
      </c>
      <c r="V10" t="s">
        <v>32</v>
      </c>
      <c r="W10" t="s">
        <v>32</v>
      </c>
      <c r="X10" t="s">
        <v>32</v>
      </c>
      <c r="Y10" t="s">
        <v>15</v>
      </c>
      <c r="Z10" t="s">
        <v>32</v>
      </c>
      <c r="AA10" t="s">
        <v>15</v>
      </c>
      <c r="AB10" t="s">
        <v>32</v>
      </c>
      <c r="AC10" t="s">
        <v>15</v>
      </c>
      <c r="AD10" t="s">
        <v>32</v>
      </c>
      <c r="AE10" t="s">
        <v>32</v>
      </c>
    </row>
    <row r="11" spans="1:31" x14ac:dyDescent="0.2">
      <c r="A11" t="s">
        <v>8</v>
      </c>
      <c r="B11" t="s">
        <v>32</v>
      </c>
      <c r="C11" t="s">
        <v>32</v>
      </c>
      <c r="D11" t="s">
        <v>32</v>
      </c>
      <c r="E11" t="s">
        <v>15</v>
      </c>
      <c r="F11" t="s">
        <v>32</v>
      </c>
      <c r="G11" t="s">
        <v>32</v>
      </c>
      <c r="H11" t="s">
        <v>32</v>
      </c>
      <c r="I11" t="s">
        <v>32</v>
      </c>
      <c r="J11" t="s">
        <v>15</v>
      </c>
      <c r="K11" t="s">
        <v>15</v>
      </c>
      <c r="L11" t="s">
        <v>15</v>
      </c>
      <c r="M11" t="s">
        <v>32</v>
      </c>
      <c r="N11" t="s">
        <v>15</v>
      </c>
      <c r="O11" t="s">
        <v>32</v>
      </c>
      <c r="P11" t="s">
        <v>32</v>
      </c>
      <c r="Q11" s="2" t="s">
        <v>15</v>
      </c>
      <c r="R11" t="s">
        <v>32</v>
      </c>
      <c r="S11" t="s">
        <v>15</v>
      </c>
      <c r="T11" t="s">
        <v>15</v>
      </c>
      <c r="U11" t="s">
        <v>15</v>
      </c>
      <c r="V11" t="s">
        <v>32</v>
      </c>
      <c r="W11" t="s">
        <v>32</v>
      </c>
      <c r="X11" t="s">
        <v>15</v>
      </c>
      <c r="Y11" t="s">
        <v>32</v>
      </c>
      <c r="Z11" t="s">
        <v>32</v>
      </c>
      <c r="AA11" t="s">
        <v>32</v>
      </c>
      <c r="AB11" t="s">
        <v>32</v>
      </c>
      <c r="AC11" t="s">
        <v>15</v>
      </c>
      <c r="AD11" t="s">
        <v>32</v>
      </c>
      <c r="AE11" t="s">
        <v>32</v>
      </c>
    </row>
    <row r="12" spans="1:31" x14ac:dyDescent="0.2">
      <c r="A12" t="s">
        <v>7</v>
      </c>
      <c r="B12" t="s">
        <v>32</v>
      </c>
      <c r="C12" t="s">
        <v>32</v>
      </c>
      <c r="D12" t="s">
        <v>32</v>
      </c>
      <c r="E12" t="s">
        <v>32</v>
      </c>
      <c r="F12" t="s">
        <v>32</v>
      </c>
      <c r="G12" t="s">
        <v>15</v>
      </c>
      <c r="H12" t="s">
        <v>32</v>
      </c>
      <c r="I12" t="s">
        <v>32</v>
      </c>
      <c r="J12" t="s">
        <v>32</v>
      </c>
      <c r="K12" t="s">
        <v>32</v>
      </c>
      <c r="L12" t="s">
        <v>15</v>
      </c>
      <c r="M12" t="s">
        <v>32</v>
      </c>
      <c r="N12" t="s">
        <v>15</v>
      </c>
      <c r="O12" t="s">
        <v>32</v>
      </c>
      <c r="P12" t="s">
        <v>32</v>
      </c>
      <c r="Q12" s="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  <c r="AC12" t="s">
        <v>32</v>
      </c>
      <c r="AD12" t="s">
        <v>32</v>
      </c>
      <c r="AE12" t="s">
        <v>32</v>
      </c>
    </row>
    <row r="13" spans="1:31" x14ac:dyDescent="0.2">
      <c r="A13" t="s">
        <v>9</v>
      </c>
      <c r="B13" t="s">
        <v>32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s="2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  <c r="AC13" t="s">
        <v>32</v>
      </c>
      <c r="AD13" t="s">
        <v>32</v>
      </c>
      <c r="AE13" t="s">
        <v>32</v>
      </c>
    </row>
  </sheetData>
  <conditionalFormatting sqref="B1:AE8 A1:A13 B10:AE11">
    <cfRule type="cellIs" dxfId="11" priority="2" operator="equal">
      <formula>"X"</formula>
    </cfRule>
  </conditionalFormatting>
  <conditionalFormatting sqref="B9:AE9 B12:AE13">
    <cfRule type="cellIs" dxfId="10" priority="1" operator="equal">
      <formula>"X"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69B7A-41A4-3D4E-A528-B1550ADD6E92}">
  <dimension ref="A1:L97"/>
  <sheetViews>
    <sheetView zoomScale="150" zoomScaleNormal="150" workbookViewId="0">
      <selection sqref="A1:XFD1"/>
    </sheetView>
  </sheetViews>
  <sheetFormatPr baseColWidth="10" defaultRowHeight="16" x14ac:dyDescent="0.2"/>
  <sheetData>
    <row r="1" spans="1:12" x14ac:dyDescent="0.2">
      <c r="A1" t="s">
        <v>147</v>
      </c>
      <c r="B1" t="s">
        <v>48</v>
      </c>
      <c r="C1" t="s">
        <v>0</v>
      </c>
      <c r="D1" t="s">
        <v>145</v>
      </c>
      <c r="E1" t="s">
        <v>154</v>
      </c>
      <c r="F1" t="s">
        <v>158</v>
      </c>
      <c r="G1" t="s">
        <v>156</v>
      </c>
      <c r="H1" t="s">
        <v>157</v>
      </c>
      <c r="I1" t="s">
        <v>1</v>
      </c>
      <c r="J1" t="s">
        <v>2</v>
      </c>
      <c r="K1" t="s">
        <v>159</v>
      </c>
      <c r="L1" t="s">
        <v>160</v>
      </c>
    </row>
    <row r="2" spans="1:12" x14ac:dyDescent="0.2">
      <c r="A2" t="s">
        <v>148</v>
      </c>
      <c r="B2" t="s">
        <v>49</v>
      </c>
      <c r="C2">
        <v>102</v>
      </c>
      <c r="D2" t="s">
        <v>1</v>
      </c>
      <c r="E2" s="3">
        <v>29.161391399999999</v>
      </c>
      <c r="F2" s="3"/>
      <c r="G2">
        <f>AVERAGE(F2:F4)</f>
        <v>30.5893883</v>
      </c>
      <c r="H2">
        <f>STDEV(F2:F4)</f>
        <v>0.10421608441704193</v>
      </c>
      <c r="I2">
        <f>G2</f>
        <v>30.5893883</v>
      </c>
      <c r="J2">
        <f>E5</f>
        <v>12.4392336</v>
      </c>
      <c r="K2">
        <f>G2-I2</f>
        <v>0</v>
      </c>
      <c r="L2">
        <f>G2-J2</f>
        <v>18.150154700000002</v>
      </c>
    </row>
    <row r="3" spans="1:12" x14ac:dyDescent="0.2">
      <c r="A3" t="s">
        <v>148</v>
      </c>
      <c r="B3" t="s">
        <v>50</v>
      </c>
      <c r="C3">
        <v>102</v>
      </c>
      <c r="D3" t="s">
        <v>1</v>
      </c>
      <c r="E3" s="3">
        <v>30.515696399999999</v>
      </c>
      <c r="F3" s="3">
        <v>30.515696399999999</v>
      </c>
      <c r="G3">
        <f>G2</f>
        <v>30.5893883</v>
      </c>
      <c r="H3">
        <f>H2</f>
        <v>0.10421608441704193</v>
      </c>
      <c r="I3">
        <f>G2</f>
        <v>30.5893883</v>
      </c>
      <c r="J3">
        <v>12.4392336</v>
      </c>
      <c r="K3">
        <f t="shared" ref="K3:K19" si="0">G3-I3</f>
        <v>0</v>
      </c>
      <c r="L3">
        <f t="shared" ref="L3:L19" si="1">G3-J3</f>
        <v>18.150154700000002</v>
      </c>
    </row>
    <row r="4" spans="1:12" x14ac:dyDescent="0.2">
      <c r="A4" t="s">
        <v>148</v>
      </c>
      <c r="B4" t="s">
        <v>51</v>
      </c>
      <c r="C4">
        <v>102</v>
      </c>
      <c r="D4" t="s">
        <v>1</v>
      </c>
      <c r="E4" s="3">
        <v>30.6630802</v>
      </c>
      <c r="F4" s="3">
        <v>30.6630802</v>
      </c>
      <c r="G4">
        <f>G2</f>
        <v>30.5893883</v>
      </c>
      <c r="H4">
        <f>H2</f>
        <v>0.10421608441704193</v>
      </c>
      <c r="I4">
        <v>30.5893883</v>
      </c>
      <c r="J4">
        <v>12.4392336</v>
      </c>
      <c r="K4">
        <f t="shared" si="0"/>
        <v>0</v>
      </c>
      <c r="L4">
        <f t="shared" si="1"/>
        <v>18.150154700000002</v>
      </c>
    </row>
    <row r="5" spans="1:12" x14ac:dyDescent="0.2">
      <c r="A5" t="s">
        <v>148</v>
      </c>
      <c r="B5" t="s">
        <v>52</v>
      </c>
      <c r="C5">
        <v>102</v>
      </c>
      <c r="D5" t="s">
        <v>2</v>
      </c>
      <c r="E5" s="3">
        <v>12.4392336</v>
      </c>
      <c r="F5" s="3"/>
      <c r="G5">
        <f>AVERAGE(F5:F7)</f>
        <v>13.865558</v>
      </c>
      <c r="H5">
        <f>STDEV(F5:F7)</f>
        <v>3.4306699702827986E-2</v>
      </c>
      <c r="I5">
        <v>30.5893883</v>
      </c>
      <c r="J5">
        <v>12.4392336</v>
      </c>
      <c r="K5">
        <f t="shared" si="0"/>
        <v>-16.723830299999999</v>
      </c>
      <c r="L5">
        <f t="shared" si="1"/>
        <v>1.4263244000000004</v>
      </c>
    </row>
    <row r="6" spans="1:12" x14ac:dyDescent="0.2">
      <c r="A6" t="s">
        <v>148</v>
      </c>
      <c r="B6" t="s">
        <v>53</v>
      </c>
      <c r="C6">
        <v>102</v>
      </c>
      <c r="D6" t="s">
        <v>2</v>
      </c>
      <c r="E6" s="3">
        <v>13.8898165</v>
      </c>
      <c r="F6" s="3">
        <v>13.8898165</v>
      </c>
      <c r="G6">
        <f>G5</f>
        <v>13.865558</v>
      </c>
      <c r="H6">
        <f>H5</f>
        <v>3.4306699702827986E-2</v>
      </c>
      <c r="I6">
        <v>30.5893883</v>
      </c>
      <c r="J6">
        <v>12.4392336</v>
      </c>
      <c r="K6">
        <f t="shared" si="0"/>
        <v>-16.723830299999999</v>
      </c>
      <c r="L6">
        <f t="shared" si="1"/>
        <v>1.4263244000000004</v>
      </c>
    </row>
    <row r="7" spans="1:12" x14ac:dyDescent="0.2">
      <c r="A7" t="s">
        <v>148</v>
      </c>
      <c r="B7" t="s">
        <v>54</v>
      </c>
      <c r="C7">
        <v>102</v>
      </c>
      <c r="D7" t="s">
        <v>2</v>
      </c>
      <c r="E7" s="3">
        <v>13.8412995</v>
      </c>
      <c r="F7" s="3">
        <v>13.8412995</v>
      </c>
      <c r="G7">
        <f>G6</f>
        <v>13.865558</v>
      </c>
      <c r="H7">
        <f>H5</f>
        <v>3.4306699702827986E-2</v>
      </c>
      <c r="I7">
        <v>30.5893883</v>
      </c>
      <c r="J7">
        <v>12.4392336</v>
      </c>
      <c r="K7">
        <f t="shared" si="0"/>
        <v>-16.723830299999999</v>
      </c>
      <c r="L7">
        <f t="shared" si="1"/>
        <v>1.4263244000000004</v>
      </c>
    </row>
    <row r="8" spans="1:12" s="1" customFormat="1" x14ac:dyDescent="0.2">
      <c r="A8" s="1" t="s">
        <v>148</v>
      </c>
      <c r="B8" s="1" t="s">
        <v>55</v>
      </c>
      <c r="C8" s="1">
        <v>102</v>
      </c>
      <c r="D8" s="1" t="s">
        <v>4</v>
      </c>
      <c r="E8" s="1" t="s">
        <v>155</v>
      </c>
      <c r="G8" s="1" t="e">
        <f>AVERAGE(F8:F10)</f>
        <v>#DIV/0!</v>
      </c>
      <c r="H8" s="1" t="e">
        <f>STDEV(F8:F10)</f>
        <v>#DIV/0!</v>
      </c>
      <c r="I8" s="1">
        <v>30.5893883</v>
      </c>
      <c r="J8" s="1">
        <v>12.4392336</v>
      </c>
      <c r="K8" s="1" t="e">
        <f t="shared" si="0"/>
        <v>#DIV/0!</v>
      </c>
      <c r="L8" s="1" t="e">
        <f t="shared" si="1"/>
        <v>#DIV/0!</v>
      </c>
    </row>
    <row r="9" spans="1:12" s="1" customFormat="1" x14ac:dyDescent="0.2">
      <c r="A9" s="1" t="s">
        <v>148</v>
      </c>
      <c r="B9" s="1" t="s">
        <v>56</v>
      </c>
      <c r="C9" s="1">
        <v>102</v>
      </c>
      <c r="D9" s="1" t="s">
        <v>4</v>
      </c>
      <c r="E9" s="1">
        <v>38.004196100000001</v>
      </c>
      <c r="G9" s="1" t="e">
        <f t="shared" ref="G9:H9" si="2">G8</f>
        <v>#DIV/0!</v>
      </c>
      <c r="H9" s="1" t="e">
        <f t="shared" si="2"/>
        <v>#DIV/0!</v>
      </c>
      <c r="I9" s="1">
        <v>30.5893883</v>
      </c>
      <c r="J9" s="1">
        <v>12.4392336</v>
      </c>
      <c r="K9" s="1" t="e">
        <f t="shared" si="0"/>
        <v>#DIV/0!</v>
      </c>
      <c r="L9" s="1" t="e">
        <f t="shared" si="1"/>
        <v>#DIV/0!</v>
      </c>
    </row>
    <row r="10" spans="1:12" s="1" customFormat="1" x14ac:dyDescent="0.2">
      <c r="A10" s="1" t="s">
        <v>148</v>
      </c>
      <c r="B10" s="1" t="s">
        <v>57</v>
      </c>
      <c r="C10" s="1">
        <v>102</v>
      </c>
      <c r="D10" s="1" t="s">
        <v>4</v>
      </c>
      <c r="E10" s="1">
        <v>33.8578203</v>
      </c>
      <c r="G10" s="1" t="e">
        <f t="shared" ref="G10:H10" si="3">G8</f>
        <v>#DIV/0!</v>
      </c>
      <c r="H10" s="1" t="e">
        <f t="shared" si="3"/>
        <v>#DIV/0!</v>
      </c>
      <c r="I10" s="1">
        <v>30.5893883</v>
      </c>
      <c r="J10" s="1">
        <v>12.4392336</v>
      </c>
      <c r="K10" s="1" t="e">
        <f t="shared" si="0"/>
        <v>#DIV/0!</v>
      </c>
      <c r="L10" s="1" t="e">
        <f t="shared" si="1"/>
        <v>#DIV/0!</v>
      </c>
    </row>
    <row r="11" spans="1:12" x14ac:dyDescent="0.2">
      <c r="A11" t="s">
        <v>148</v>
      </c>
      <c r="B11" t="s">
        <v>58</v>
      </c>
      <c r="C11">
        <v>102</v>
      </c>
      <c r="D11" t="s">
        <v>5</v>
      </c>
      <c r="E11" s="3">
        <v>34.162184500000002</v>
      </c>
      <c r="F11" s="3"/>
      <c r="G11">
        <f>AVERAGE(F11:F13)</f>
        <v>33.176311600000005</v>
      </c>
      <c r="H11">
        <f>STDEV(F11:F13)</f>
        <v>1.2023926550006824E-2</v>
      </c>
      <c r="I11">
        <v>30.5893883</v>
      </c>
      <c r="J11">
        <v>12.4392336</v>
      </c>
      <c r="K11">
        <f t="shared" si="0"/>
        <v>2.5869233000000058</v>
      </c>
      <c r="L11">
        <f t="shared" si="1"/>
        <v>20.737078000000004</v>
      </c>
    </row>
    <row r="12" spans="1:12" x14ac:dyDescent="0.2">
      <c r="A12" t="s">
        <v>148</v>
      </c>
      <c r="B12" t="s">
        <v>59</v>
      </c>
      <c r="C12">
        <v>102</v>
      </c>
      <c r="D12" t="s">
        <v>5</v>
      </c>
      <c r="E12" s="3">
        <v>33.184813800000001</v>
      </c>
      <c r="F12" s="3">
        <v>33.184813800000001</v>
      </c>
      <c r="G12">
        <f t="shared" ref="G12:H13" si="4">G11</f>
        <v>33.176311600000005</v>
      </c>
      <c r="H12">
        <f t="shared" si="4"/>
        <v>1.2023926550006824E-2</v>
      </c>
      <c r="I12">
        <v>30.5893883</v>
      </c>
      <c r="J12">
        <v>12.4392336</v>
      </c>
      <c r="K12">
        <f t="shared" si="0"/>
        <v>2.5869233000000058</v>
      </c>
      <c r="L12">
        <f t="shared" si="1"/>
        <v>20.737078000000004</v>
      </c>
    </row>
    <row r="13" spans="1:12" x14ac:dyDescent="0.2">
      <c r="A13" t="s">
        <v>148</v>
      </c>
      <c r="B13" t="s">
        <v>60</v>
      </c>
      <c r="C13">
        <v>102</v>
      </c>
      <c r="D13" t="s">
        <v>5</v>
      </c>
      <c r="E13" s="3">
        <v>33.167809400000003</v>
      </c>
      <c r="F13" s="3">
        <v>33.167809400000003</v>
      </c>
      <c r="G13">
        <f t="shared" si="4"/>
        <v>33.176311600000005</v>
      </c>
      <c r="H13">
        <f t="shared" ref="H13" si="5">H11</f>
        <v>1.2023926550006824E-2</v>
      </c>
      <c r="I13">
        <v>30.5893883</v>
      </c>
      <c r="J13">
        <v>12.4392336</v>
      </c>
      <c r="K13">
        <f t="shared" si="0"/>
        <v>2.5869233000000058</v>
      </c>
      <c r="L13">
        <f t="shared" si="1"/>
        <v>20.737078000000004</v>
      </c>
    </row>
    <row r="14" spans="1:12" s="1" customFormat="1" x14ac:dyDescent="0.2">
      <c r="A14" s="1" t="s">
        <v>148</v>
      </c>
      <c r="B14" s="1" t="s">
        <v>61</v>
      </c>
      <c r="C14" s="1">
        <v>102</v>
      </c>
      <c r="D14" s="1" t="s">
        <v>10</v>
      </c>
      <c r="E14" s="1" t="s">
        <v>155</v>
      </c>
      <c r="G14" s="1" t="e">
        <f>AVERAGE(F14:F16)</f>
        <v>#DIV/0!</v>
      </c>
      <c r="H14" s="1" t="e">
        <f>STDEV(F14:F16)</f>
        <v>#DIV/0!</v>
      </c>
      <c r="I14" s="1">
        <v>30.5893883</v>
      </c>
      <c r="J14" s="1">
        <v>12.4392336</v>
      </c>
      <c r="K14" s="1" t="e">
        <f t="shared" si="0"/>
        <v>#DIV/0!</v>
      </c>
      <c r="L14" s="1" t="e">
        <f t="shared" si="1"/>
        <v>#DIV/0!</v>
      </c>
    </row>
    <row r="15" spans="1:12" s="1" customFormat="1" x14ac:dyDescent="0.2">
      <c r="A15" s="1" t="s">
        <v>148</v>
      </c>
      <c r="B15" s="1" t="s">
        <v>62</v>
      </c>
      <c r="C15" s="1">
        <v>102</v>
      </c>
      <c r="D15" s="1" t="s">
        <v>10</v>
      </c>
      <c r="E15" s="1">
        <v>33.230763899999999</v>
      </c>
      <c r="G15" s="1" t="e">
        <f t="shared" ref="G15:H15" si="6">G14</f>
        <v>#DIV/0!</v>
      </c>
      <c r="H15" s="1" t="e">
        <f t="shared" si="6"/>
        <v>#DIV/0!</v>
      </c>
      <c r="I15" s="1">
        <v>30.5893883</v>
      </c>
      <c r="J15" s="1">
        <v>12.4392336</v>
      </c>
      <c r="K15" s="1" t="e">
        <f t="shared" si="0"/>
        <v>#DIV/0!</v>
      </c>
      <c r="L15" s="1" t="e">
        <f t="shared" si="1"/>
        <v>#DIV/0!</v>
      </c>
    </row>
    <row r="16" spans="1:12" s="1" customFormat="1" x14ac:dyDescent="0.2">
      <c r="A16" s="1" t="s">
        <v>148</v>
      </c>
      <c r="B16" s="1" t="s">
        <v>63</v>
      </c>
      <c r="C16" s="1">
        <v>102</v>
      </c>
      <c r="D16" s="1" t="s">
        <v>10</v>
      </c>
      <c r="E16" s="1">
        <v>36.989995700000001</v>
      </c>
      <c r="G16" s="1" t="e">
        <f t="shared" ref="G16:H16" si="7">G14</f>
        <v>#DIV/0!</v>
      </c>
      <c r="H16" s="1" t="e">
        <f t="shared" si="7"/>
        <v>#DIV/0!</v>
      </c>
      <c r="I16" s="1">
        <v>30.5893883</v>
      </c>
      <c r="J16" s="1">
        <v>12.4392336</v>
      </c>
      <c r="K16" s="1" t="e">
        <f t="shared" si="0"/>
        <v>#DIV/0!</v>
      </c>
      <c r="L16" s="1" t="e">
        <f t="shared" si="1"/>
        <v>#DIV/0!</v>
      </c>
    </row>
    <row r="17" spans="1:12" x14ac:dyDescent="0.2">
      <c r="A17" t="s">
        <v>148</v>
      </c>
      <c r="B17" t="s">
        <v>64</v>
      </c>
      <c r="C17">
        <v>102</v>
      </c>
      <c r="D17" t="s">
        <v>13</v>
      </c>
      <c r="E17" s="3">
        <v>38.299768</v>
      </c>
      <c r="F17" s="3"/>
      <c r="G17">
        <f>AVERAGE(F17:F19)</f>
        <v>37.384392000000005</v>
      </c>
      <c r="H17">
        <f>STDEV(F17:F19)</f>
        <v>0.31659560614642268</v>
      </c>
      <c r="I17">
        <v>30.5893883</v>
      </c>
      <c r="J17">
        <v>12.4392336</v>
      </c>
      <c r="K17">
        <f t="shared" si="0"/>
        <v>6.7950037000000059</v>
      </c>
      <c r="L17">
        <f t="shared" si="1"/>
        <v>24.945158400000004</v>
      </c>
    </row>
    <row r="18" spans="1:12" x14ac:dyDescent="0.2">
      <c r="A18" t="s">
        <v>148</v>
      </c>
      <c r="B18" t="s">
        <v>65</v>
      </c>
      <c r="C18">
        <v>102</v>
      </c>
      <c r="D18" t="s">
        <v>13</v>
      </c>
      <c r="E18" s="3">
        <v>37.608258900000003</v>
      </c>
      <c r="F18" s="3">
        <v>37.608258900000003</v>
      </c>
      <c r="G18">
        <f t="shared" ref="G18:H19" si="8">G17</f>
        <v>37.384392000000005</v>
      </c>
      <c r="H18">
        <f t="shared" si="8"/>
        <v>0.31659560614642268</v>
      </c>
      <c r="I18">
        <v>30.5893883</v>
      </c>
      <c r="J18">
        <v>12.4392336</v>
      </c>
      <c r="K18">
        <f t="shared" si="0"/>
        <v>6.7950037000000059</v>
      </c>
      <c r="L18">
        <f t="shared" si="1"/>
        <v>24.945158400000004</v>
      </c>
    </row>
    <row r="19" spans="1:12" x14ac:dyDescent="0.2">
      <c r="A19" t="s">
        <v>148</v>
      </c>
      <c r="B19" t="s">
        <v>66</v>
      </c>
      <c r="C19">
        <v>102</v>
      </c>
      <c r="D19" t="s">
        <v>13</v>
      </c>
      <c r="E19" s="3">
        <v>37.160525100000001</v>
      </c>
      <c r="F19" s="3">
        <v>37.160525100000001</v>
      </c>
      <c r="G19">
        <f t="shared" si="8"/>
        <v>37.384392000000005</v>
      </c>
      <c r="H19">
        <f t="shared" ref="H19" si="9">H17</f>
        <v>0.31659560614642268</v>
      </c>
      <c r="I19">
        <v>30.5893883</v>
      </c>
      <c r="J19">
        <v>12.4392336</v>
      </c>
      <c r="K19">
        <f t="shared" si="0"/>
        <v>6.7950037000000059</v>
      </c>
      <c r="L19">
        <f t="shared" si="1"/>
        <v>24.945158400000004</v>
      </c>
    </row>
    <row r="20" spans="1:12" x14ac:dyDescent="0.2">
      <c r="A20" t="s">
        <v>148</v>
      </c>
      <c r="B20" t="s">
        <v>67</v>
      </c>
      <c r="C20">
        <v>105</v>
      </c>
      <c r="D20" t="s">
        <v>1</v>
      </c>
      <c r="E20" s="3">
        <v>30.2061663</v>
      </c>
      <c r="F20" s="3">
        <v>30.2061663</v>
      </c>
      <c r="G20">
        <f>AVERAGE(F20:F22)</f>
        <v>30.215412333333333</v>
      </c>
      <c r="H20">
        <f>STDEV(F20:F22)</f>
        <v>4.1343379948949759E-2</v>
      </c>
      <c r="I20">
        <f>G20</f>
        <v>30.215412333333333</v>
      </c>
      <c r="J20">
        <f>G23</f>
        <v>14.427593550000001</v>
      </c>
      <c r="K20">
        <f t="shared" ref="K20:K34" si="10">G20-I20</f>
        <v>0</v>
      </c>
      <c r="L20">
        <f t="shared" ref="L20:L34" si="11">G20-J20</f>
        <v>15.787818783333332</v>
      </c>
    </row>
    <row r="21" spans="1:12" x14ac:dyDescent="0.2">
      <c r="A21" t="s">
        <v>148</v>
      </c>
      <c r="B21" t="s">
        <v>68</v>
      </c>
      <c r="C21">
        <v>105</v>
      </c>
      <c r="D21" t="s">
        <v>1</v>
      </c>
      <c r="E21" s="3">
        <v>30.260595899999998</v>
      </c>
      <c r="F21" s="3">
        <v>30.260595899999998</v>
      </c>
      <c r="G21">
        <f t="shared" ref="G21:H21" si="12">G20</f>
        <v>30.215412333333333</v>
      </c>
      <c r="H21">
        <f t="shared" si="12"/>
        <v>4.1343379948949759E-2</v>
      </c>
      <c r="I21">
        <v>30.215412333333333</v>
      </c>
      <c r="J21">
        <v>14.427593550000001</v>
      </c>
      <c r="K21">
        <f t="shared" si="10"/>
        <v>0</v>
      </c>
      <c r="L21">
        <f t="shared" si="11"/>
        <v>15.787818783333332</v>
      </c>
    </row>
    <row r="22" spans="1:12" x14ac:dyDescent="0.2">
      <c r="A22" t="s">
        <v>148</v>
      </c>
      <c r="B22" t="s">
        <v>69</v>
      </c>
      <c r="C22">
        <v>105</v>
      </c>
      <c r="D22" t="s">
        <v>1</v>
      </c>
      <c r="E22" s="3">
        <v>30.179474800000001</v>
      </c>
      <c r="F22" s="3">
        <v>30.179474800000001</v>
      </c>
      <c r="G22">
        <f t="shared" ref="G22:H22" si="13">G20</f>
        <v>30.215412333333333</v>
      </c>
      <c r="H22">
        <f t="shared" si="13"/>
        <v>4.1343379948949759E-2</v>
      </c>
      <c r="I22">
        <v>30.215412333333333</v>
      </c>
      <c r="J22">
        <v>14.427593550000001</v>
      </c>
      <c r="K22">
        <f t="shared" si="10"/>
        <v>0</v>
      </c>
      <c r="L22">
        <f t="shared" si="11"/>
        <v>15.787818783333332</v>
      </c>
    </row>
    <row r="23" spans="1:12" x14ac:dyDescent="0.2">
      <c r="A23" t="s">
        <v>148</v>
      </c>
      <c r="B23" t="s">
        <v>70</v>
      </c>
      <c r="C23">
        <v>105</v>
      </c>
      <c r="D23" t="s">
        <v>2</v>
      </c>
      <c r="E23" s="3">
        <v>14.4750189</v>
      </c>
      <c r="F23" s="3">
        <v>14.4750189</v>
      </c>
      <c r="G23">
        <f>AVERAGE(F23:F25)</f>
        <v>14.427593550000001</v>
      </c>
      <c r="H23">
        <f>STDEV(F23:F25)</f>
        <v>6.7069573170291066E-2</v>
      </c>
      <c r="I23">
        <v>30.215412333333301</v>
      </c>
      <c r="J23">
        <v>14.427593549999999</v>
      </c>
      <c r="K23">
        <f t="shared" si="10"/>
        <v>-15.7878187833333</v>
      </c>
      <c r="L23">
        <f t="shared" si="11"/>
        <v>0</v>
      </c>
    </row>
    <row r="24" spans="1:12" x14ac:dyDescent="0.2">
      <c r="A24" t="s">
        <v>148</v>
      </c>
      <c r="B24" t="s">
        <v>71</v>
      </c>
      <c r="C24">
        <v>105</v>
      </c>
      <c r="D24" t="s">
        <v>2</v>
      </c>
      <c r="E24" s="3">
        <v>14.3801682</v>
      </c>
      <c r="F24" s="3">
        <v>14.3801682</v>
      </c>
      <c r="G24">
        <f t="shared" ref="G24:H25" si="14">G23</f>
        <v>14.427593550000001</v>
      </c>
      <c r="H24">
        <f t="shared" si="14"/>
        <v>6.7069573170291066E-2</v>
      </c>
      <c r="I24">
        <v>30.215412333333301</v>
      </c>
      <c r="J24">
        <v>14.427593549999999</v>
      </c>
      <c r="K24">
        <f t="shared" si="10"/>
        <v>-15.7878187833333</v>
      </c>
      <c r="L24">
        <f t="shared" si="11"/>
        <v>0</v>
      </c>
    </row>
    <row r="25" spans="1:12" x14ac:dyDescent="0.2">
      <c r="A25" t="s">
        <v>148</v>
      </c>
      <c r="B25" t="s">
        <v>72</v>
      </c>
      <c r="C25">
        <v>105</v>
      </c>
      <c r="D25" t="s">
        <v>2</v>
      </c>
      <c r="E25" s="3">
        <v>15.458184599999999</v>
      </c>
      <c r="F25" s="3"/>
      <c r="G25">
        <f t="shared" si="14"/>
        <v>14.427593550000001</v>
      </c>
      <c r="H25">
        <f t="shared" ref="H25" si="15">H23</f>
        <v>6.7069573170291066E-2</v>
      </c>
      <c r="I25">
        <v>30.215412333333301</v>
      </c>
      <c r="J25">
        <v>14.427593549999999</v>
      </c>
      <c r="K25">
        <f t="shared" si="10"/>
        <v>-15.7878187833333</v>
      </c>
      <c r="L25">
        <f t="shared" si="11"/>
        <v>0</v>
      </c>
    </row>
    <row r="26" spans="1:12" s="1" customFormat="1" x14ac:dyDescent="0.2">
      <c r="A26" s="1" t="s">
        <v>148</v>
      </c>
      <c r="B26" s="1" t="s">
        <v>73</v>
      </c>
      <c r="C26" s="1">
        <v>105</v>
      </c>
      <c r="D26" s="1" t="s">
        <v>10</v>
      </c>
      <c r="E26" s="1">
        <v>32.946298800000001</v>
      </c>
      <c r="G26" s="1" t="e">
        <f>AVERAGE(F26:F28)</f>
        <v>#DIV/0!</v>
      </c>
      <c r="H26" s="1" t="e">
        <f>STDEV(F26:F28)</f>
        <v>#DIV/0!</v>
      </c>
      <c r="I26" s="1">
        <v>30.215412333333301</v>
      </c>
      <c r="J26" s="1">
        <v>14.427593549999999</v>
      </c>
      <c r="K26" s="1" t="e">
        <f t="shared" si="10"/>
        <v>#DIV/0!</v>
      </c>
      <c r="L26" s="1" t="e">
        <f t="shared" si="11"/>
        <v>#DIV/0!</v>
      </c>
    </row>
    <row r="27" spans="1:12" s="1" customFormat="1" x14ac:dyDescent="0.2">
      <c r="A27" s="1" t="s">
        <v>148</v>
      </c>
      <c r="B27" s="1" t="s">
        <v>74</v>
      </c>
      <c r="C27" s="1">
        <v>105</v>
      </c>
      <c r="D27" s="1" t="s">
        <v>10</v>
      </c>
      <c r="E27" s="1" t="s">
        <v>155</v>
      </c>
      <c r="G27" s="1" t="e">
        <f t="shared" ref="G27:H27" si="16">G26</f>
        <v>#DIV/0!</v>
      </c>
      <c r="H27" s="1" t="e">
        <f t="shared" si="16"/>
        <v>#DIV/0!</v>
      </c>
      <c r="I27" s="1">
        <v>30.215412333333301</v>
      </c>
      <c r="J27" s="1">
        <v>14.427593549999999</v>
      </c>
      <c r="K27" s="1" t="e">
        <f t="shared" si="10"/>
        <v>#DIV/0!</v>
      </c>
      <c r="L27" s="1" t="e">
        <f t="shared" si="11"/>
        <v>#DIV/0!</v>
      </c>
    </row>
    <row r="28" spans="1:12" s="1" customFormat="1" x14ac:dyDescent="0.2">
      <c r="A28" s="1" t="s">
        <v>148</v>
      </c>
      <c r="B28" s="1" t="s">
        <v>75</v>
      </c>
      <c r="C28" s="1">
        <v>105</v>
      </c>
      <c r="D28" s="1" t="s">
        <v>10</v>
      </c>
      <c r="E28" s="1">
        <v>36.0223868</v>
      </c>
      <c r="G28" s="1" t="e">
        <f t="shared" ref="G28:H28" si="17">G26</f>
        <v>#DIV/0!</v>
      </c>
      <c r="H28" s="1" t="e">
        <f t="shared" si="17"/>
        <v>#DIV/0!</v>
      </c>
      <c r="I28" s="1">
        <v>30.215412333333301</v>
      </c>
      <c r="J28" s="1">
        <v>14.427593549999999</v>
      </c>
      <c r="K28" s="1" t="e">
        <f t="shared" si="10"/>
        <v>#DIV/0!</v>
      </c>
      <c r="L28" s="1" t="e">
        <f t="shared" si="11"/>
        <v>#DIV/0!</v>
      </c>
    </row>
    <row r="29" spans="1:12" x14ac:dyDescent="0.2">
      <c r="A29" t="s">
        <v>148</v>
      </c>
      <c r="B29" t="s">
        <v>76</v>
      </c>
      <c r="C29">
        <v>105</v>
      </c>
      <c r="D29" t="s">
        <v>13</v>
      </c>
      <c r="E29" s="3">
        <v>33.477176499999999</v>
      </c>
      <c r="F29" s="3">
        <v>33.477176499999999</v>
      </c>
      <c r="G29">
        <f>AVERAGE(F29:F31)</f>
        <v>33.645710199999996</v>
      </c>
      <c r="H29">
        <f>STDEV(F29:F31)</f>
        <v>0.23834264425692009</v>
      </c>
      <c r="I29">
        <v>30.215412333333301</v>
      </c>
      <c r="J29">
        <v>14.427593549999999</v>
      </c>
      <c r="K29">
        <f t="shared" si="10"/>
        <v>3.4302978666666952</v>
      </c>
      <c r="L29">
        <f t="shared" si="11"/>
        <v>19.218116649999999</v>
      </c>
    </row>
    <row r="30" spans="1:12" x14ac:dyDescent="0.2">
      <c r="A30" t="s">
        <v>148</v>
      </c>
      <c r="B30" t="s">
        <v>77</v>
      </c>
      <c r="C30">
        <v>105</v>
      </c>
      <c r="D30" t="s">
        <v>13</v>
      </c>
      <c r="E30" s="3">
        <v>38.113570099999997</v>
      </c>
      <c r="F30" s="3"/>
      <c r="G30">
        <f t="shared" ref="G30:H31" si="18">G29</f>
        <v>33.645710199999996</v>
      </c>
      <c r="H30">
        <f t="shared" si="18"/>
        <v>0.23834264425692009</v>
      </c>
      <c r="I30">
        <v>30.215412333333301</v>
      </c>
      <c r="J30">
        <v>14.427593549999999</v>
      </c>
      <c r="K30">
        <f t="shared" si="10"/>
        <v>3.4302978666666952</v>
      </c>
      <c r="L30">
        <f t="shared" si="11"/>
        <v>19.218116649999999</v>
      </c>
    </row>
    <row r="31" spans="1:12" x14ac:dyDescent="0.2">
      <c r="A31" t="s">
        <v>148</v>
      </c>
      <c r="B31" t="s">
        <v>78</v>
      </c>
      <c r="C31">
        <v>105</v>
      </c>
      <c r="D31" t="s">
        <v>13</v>
      </c>
      <c r="E31" s="3">
        <v>33.814243900000001</v>
      </c>
      <c r="F31" s="3">
        <v>33.814243900000001</v>
      </c>
      <c r="G31">
        <f t="shared" si="18"/>
        <v>33.645710199999996</v>
      </c>
      <c r="H31">
        <f t="shared" ref="H31" si="19">H29</f>
        <v>0.23834264425692009</v>
      </c>
      <c r="I31">
        <v>30.215412333333301</v>
      </c>
      <c r="J31">
        <v>14.427593549999999</v>
      </c>
      <c r="K31">
        <f t="shared" si="10"/>
        <v>3.4302978666666952</v>
      </c>
      <c r="L31">
        <f t="shared" si="11"/>
        <v>19.218116649999999</v>
      </c>
    </row>
    <row r="32" spans="1:12" s="1" customFormat="1" x14ac:dyDescent="0.2">
      <c r="A32" s="1" t="s">
        <v>148</v>
      </c>
      <c r="B32" s="1" t="s">
        <v>79</v>
      </c>
      <c r="C32" s="1">
        <v>105</v>
      </c>
      <c r="D32" s="1" t="s">
        <v>14</v>
      </c>
      <c r="E32" s="1">
        <v>31.016973100000001</v>
      </c>
      <c r="G32" s="1" t="e">
        <f>AVERAGE(F32:F34)</f>
        <v>#DIV/0!</v>
      </c>
      <c r="H32" s="1" t="e">
        <f>STDEV(F32:F34)</f>
        <v>#DIV/0!</v>
      </c>
      <c r="I32" s="1">
        <v>30.215412333333301</v>
      </c>
      <c r="J32" s="1">
        <v>14.427593549999999</v>
      </c>
      <c r="K32" s="1" t="e">
        <f t="shared" si="10"/>
        <v>#DIV/0!</v>
      </c>
      <c r="L32" s="1" t="e">
        <f t="shared" si="11"/>
        <v>#DIV/0!</v>
      </c>
    </row>
    <row r="33" spans="1:12" s="1" customFormat="1" x14ac:dyDescent="0.2">
      <c r="A33" s="1" t="s">
        <v>148</v>
      </c>
      <c r="B33" s="1" t="s">
        <v>80</v>
      </c>
      <c r="C33" s="1">
        <v>105</v>
      </c>
      <c r="D33" s="1" t="s">
        <v>14</v>
      </c>
      <c r="E33" s="1">
        <v>33.168440799999999</v>
      </c>
      <c r="G33" s="1" t="e">
        <f t="shared" ref="G33:H33" si="20">G32</f>
        <v>#DIV/0!</v>
      </c>
      <c r="H33" s="1" t="e">
        <f t="shared" si="20"/>
        <v>#DIV/0!</v>
      </c>
      <c r="I33" s="1">
        <v>30.215412333333301</v>
      </c>
      <c r="J33" s="1">
        <v>14.427593549999999</v>
      </c>
      <c r="K33" s="1" t="e">
        <f t="shared" si="10"/>
        <v>#DIV/0!</v>
      </c>
      <c r="L33" s="1" t="e">
        <f t="shared" si="11"/>
        <v>#DIV/0!</v>
      </c>
    </row>
    <row r="34" spans="1:12" s="1" customFormat="1" x14ac:dyDescent="0.2">
      <c r="A34" s="1" t="s">
        <v>148</v>
      </c>
      <c r="B34" s="1" t="s">
        <v>81</v>
      </c>
      <c r="C34" s="1">
        <v>105</v>
      </c>
      <c r="D34" s="1" t="s">
        <v>14</v>
      </c>
      <c r="E34" s="1">
        <v>34.528965999999997</v>
      </c>
      <c r="G34" s="1" t="e">
        <f t="shared" ref="G34:H34" si="21">G32</f>
        <v>#DIV/0!</v>
      </c>
      <c r="H34" s="1" t="e">
        <f t="shared" si="21"/>
        <v>#DIV/0!</v>
      </c>
      <c r="I34" s="1">
        <v>30.215412333333301</v>
      </c>
      <c r="J34" s="1">
        <v>14.427593549999999</v>
      </c>
      <c r="K34" s="1" t="e">
        <f t="shared" si="10"/>
        <v>#DIV/0!</v>
      </c>
      <c r="L34" s="1" t="e">
        <f t="shared" si="11"/>
        <v>#DIV/0!</v>
      </c>
    </row>
    <row r="35" spans="1:12" x14ac:dyDescent="0.2">
      <c r="A35" t="s">
        <v>148</v>
      </c>
      <c r="B35" t="s">
        <v>82</v>
      </c>
      <c r="C35">
        <v>106</v>
      </c>
      <c r="D35" t="s">
        <v>1</v>
      </c>
      <c r="E35" s="3">
        <v>28.7652778</v>
      </c>
      <c r="F35" s="3"/>
      <c r="G35">
        <f>AVERAGE(F35:F37)</f>
        <v>29.866092949999999</v>
      </c>
      <c r="H35">
        <f>STDEV(F35:F37)</f>
        <v>0.31442047497681386</v>
      </c>
      <c r="I35">
        <f>G35</f>
        <v>29.866092949999999</v>
      </c>
      <c r="J35">
        <f>G38</f>
        <v>17.637333333333334</v>
      </c>
      <c r="K35">
        <f t="shared" ref="K35:K51" si="22">G35-I35</f>
        <v>0</v>
      </c>
      <c r="L35">
        <f t="shared" ref="L35:L51" si="23">G35-J35</f>
        <v>12.228759616666665</v>
      </c>
    </row>
    <row r="36" spans="1:12" x14ac:dyDescent="0.2">
      <c r="A36" t="s">
        <v>148</v>
      </c>
      <c r="B36" t="s">
        <v>83</v>
      </c>
      <c r="C36">
        <v>106</v>
      </c>
      <c r="D36" t="s">
        <v>1</v>
      </c>
      <c r="E36" s="3">
        <v>30.088421799999999</v>
      </c>
      <c r="F36" s="3">
        <v>30.088421799999999</v>
      </c>
      <c r="G36">
        <f t="shared" ref="G36:H37" si="24">G35</f>
        <v>29.866092949999999</v>
      </c>
      <c r="H36">
        <f t="shared" si="24"/>
        <v>0.31442047497681386</v>
      </c>
      <c r="I36">
        <v>29.866092949999999</v>
      </c>
      <c r="J36">
        <v>17.637333333333334</v>
      </c>
      <c r="K36">
        <f t="shared" si="22"/>
        <v>0</v>
      </c>
      <c r="L36">
        <f t="shared" si="23"/>
        <v>12.228759616666665</v>
      </c>
    </row>
    <row r="37" spans="1:12" x14ac:dyDescent="0.2">
      <c r="A37" t="s">
        <v>148</v>
      </c>
      <c r="B37" t="s">
        <v>84</v>
      </c>
      <c r="C37">
        <v>106</v>
      </c>
      <c r="D37" t="s">
        <v>1</v>
      </c>
      <c r="E37" s="3">
        <v>29.643764099999999</v>
      </c>
      <c r="F37" s="3">
        <v>29.643764099999999</v>
      </c>
      <c r="G37">
        <f t="shared" si="24"/>
        <v>29.866092949999999</v>
      </c>
      <c r="H37">
        <f t="shared" ref="H37" si="25">H35</f>
        <v>0.31442047497681386</v>
      </c>
      <c r="I37">
        <v>29.866092949999999</v>
      </c>
      <c r="J37">
        <v>17.637333333333334</v>
      </c>
      <c r="K37">
        <f t="shared" si="22"/>
        <v>0</v>
      </c>
      <c r="L37">
        <f t="shared" si="23"/>
        <v>12.228759616666665</v>
      </c>
    </row>
    <row r="38" spans="1:12" x14ac:dyDescent="0.2">
      <c r="A38" t="s">
        <v>148</v>
      </c>
      <c r="B38" t="s">
        <v>85</v>
      </c>
      <c r="C38">
        <v>106</v>
      </c>
      <c r="D38" t="s">
        <v>2</v>
      </c>
      <c r="E38" s="3">
        <v>17.7555139</v>
      </c>
      <c r="F38" s="3">
        <v>17.7555139</v>
      </c>
      <c r="G38">
        <f>AVERAGE(F38:F40)</f>
        <v>17.637333333333334</v>
      </c>
      <c r="H38">
        <f>STDEV(F38:F40)</f>
        <v>0.1415822973002038</v>
      </c>
      <c r="I38">
        <v>29.866092949999999</v>
      </c>
      <c r="J38">
        <v>17.637333333333299</v>
      </c>
      <c r="K38">
        <f t="shared" si="22"/>
        <v>-12.228759616666665</v>
      </c>
      <c r="L38">
        <f t="shared" si="23"/>
        <v>3.5527136788005009E-14</v>
      </c>
    </row>
    <row r="39" spans="1:12" x14ac:dyDescent="0.2">
      <c r="A39" t="s">
        <v>148</v>
      </c>
      <c r="B39" t="s">
        <v>86</v>
      </c>
      <c r="C39">
        <v>106</v>
      </c>
      <c r="D39" t="s">
        <v>2</v>
      </c>
      <c r="E39" s="3">
        <v>17.676072300000001</v>
      </c>
      <c r="F39" s="3">
        <v>17.676072300000001</v>
      </c>
      <c r="G39">
        <f t="shared" ref="G39:H39" si="26">G38</f>
        <v>17.637333333333334</v>
      </c>
      <c r="H39">
        <f t="shared" si="26"/>
        <v>0.1415822973002038</v>
      </c>
      <c r="I39">
        <v>29.866092949999999</v>
      </c>
      <c r="J39">
        <v>17.637333333333299</v>
      </c>
      <c r="K39">
        <f t="shared" si="22"/>
        <v>-12.228759616666665</v>
      </c>
      <c r="L39">
        <f t="shared" si="23"/>
        <v>3.5527136788005009E-14</v>
      </c>
    </row>
    <row r="40" spans="1:12" x14ac:dyDescent="0.2">
      <c r="A40" t="s">
        <v>148</v>
      </c>
      <c r="B40" t="s">
        <v>87</v>
      </c>
      <c r="C40">
        <v>106</v>
      </c>
      <c r="D40" t="s">
        <v>2</v>
      </c>
      <c r="E40" s="3">
        <v>17.480413800000001</v>
      </c>
      <c r="F40" s="3">
        <v>17.480413800000001</v>
      </c>
      <c r="G40">
        <f t="shared" ref="G40:H40" si="27">G38</f>
        <v>17.637333333333334</v>
      </c>
      <c r="H40">
        <f t="shared" si="27"/>
        <v>0.1415822973002038</v>
      </c>
      <c r="I40">
        <v>29.866092949999999</v>
      </c>
      <c r="J40">
        <v>17.637333333333299</v>
      </c>
      <c r="K40">
        <f t="shared" si="22"/>
        <v>-12.228759616666665</v>
      </c>
      <c r="L40">
        <f t="shared" si="23"/>
        <v>3.5527136788005009E-14</v>
      </c>
    </row>
    <row r="41" spans="1:12" x14ac:dyDescent="0.2">
      <c r="A41" t="s">
        <v>148</v>
      </c>
      <c r="B41" t="s">
        <v>88</v>
      </c>
      <c r="C41">
        <v>106</v>
      </c>
      <c r="D41" t="s">
        <v>13</v>
      </c>
      <c r="E41" s="3">
        <v>32.028909599999999</v>
      </c>
      <c r="F41" s="3">
        <v>32.028909599999999</v>
      </c>
      <c r="G41">
        <f>AVERAGE(F41:F43)</f>
        <v>32.164443599999998</v>
      </c>
      <c r="H41">
        <f>STDEV(F41:F43)</f>
        <v>0.1916740209626748</v>
      </c>
      <c r="I41">
        <v>29.866092949999999</v>
      </c>
      <c r="J41">
        <v>17.637333333333299</v>
      </c>
      <c r="K41">
        <f t="shared" si="22"/>
        <v>2.2983506499999997</v>
      </c>
      <c r="L41">
        <f t="shared" si="23"/>
        <v>14.5271102666667</v>
      </c>
    </row>
    <row r="42" spans="1:12" x14ac:dyDescent="0.2">
      <c r="A42" t="s">
        <v>148</v>
      </c>
      <c r="B42" t="s">
        <v>89</v>
      </c>
      <c r="C42">
        <v>106</v>
      </c>
      <c r="D42" t="s">
        <v>13</v>
      </c>
      <c r="E42" s="3">
        <v>32.299977599999998</v>
      </c>
      <c r="F42" s="3">
        <v>32.299977599999998</v>
      </c>
      <c r="G42">
        <f t="shared" ref="G42:H43" si="28">G41</f>
        <v>32.164443599999998</v>
      </c>
      <c r="H42">
        <f t="shared" si="28"/>
        <v>0.1916740209626748</v>
      </c>
      <c r="I42">
        <v>29.866092949999999</v>
      </c>
      <c r="J42">
        <v>17.637333333333299</v>
      </c>
      <c r="K42">
        <f t="shared" si="22"/>
        <v>2.2983506499999997</v>
      </c>
      <c r="L42">
        <f t="shared" si="23"/>
        <v>14.5271102666667</v>
      </c>
    </row>
    <row r="43" spans="1:12" x14ac:dyDescent="0.2">
      <c r="A43" t="s">
        <v>148</v>
      </c>
      <c r="B43" t="s">
        <v>90</v>
      </c>
      <c r="C43">
        <v>106</v>
      </c>
      <c r="D43" t="s">
        <v>13</v>
      </c>
      <c r="E43" s="3">
        <v>33.267198399999998</v>
      </c>
      <c r="F43" s="3"/>
      <c r="G43">
        <f t="shared" si="28"/>
        <v>32.164443599999998</v>
      </c>
      <c r="H43">
        <f t="shared" ref="H43" si="29">H41</f>
        <v>0.1916740209626748</v>
      </c>
      <c r="I43">
        <v>29.866092949999999</v>
      </c>
      <c r="J43">
        <v>17.637333333333299</v>
      </c>
      <c r="K43">
        <f t="shared" si="22"/>
        <v>2.2983506499999997</v>
      </c>
      <c r="L43">
        <f t="shared" si="23"/>
        <v>14.5271102666667</v>
      </c>
    </row>
    <row r="44" spans="1:12" x14ac:dyDescent="0.2">
      <c r="A44" t="s">
        <v>148</v>
      </c>
      <c r="B44" t="s">
        <v>91</v>
      </c>
      <c r="C44">
        <v>106</v>
      </c>
      <c r="D44" t="s">
        <v>5</v>
      </c>
      <c r="E44" s="3">
        <v>31.631687700000001</v>
      </c>
      <c r="F44" s="3"/>
      <c r="G44">
        <f>AVERAGE(F44:F46)</f>
        <v>31.046406400000002</v>
      </c>
      <c r="H44">
        <f>STDEV(F44:F46)</f>
        <v>0.16666379553346175</v>
      </c>
      <c r="I44">
        <v>29.866092949999999</v>
      </c>
      <c r="J44">
        <v>17.637333333333299</v>
      </c>
      <c r="K44">
        <f t="shared" si="22"/>
        <v>1.1803134500000034</v>
      </c>
      <c r="L44">
        <f t="shared" si="23"/>
        <v>13.409073066666704</v>
      </c>
    </row>
    <row r="45" spans="1:12" x14ac:dyDescent="0.2">
      <c r="A45" t="s">
        <v>148</v>
      </c>
      <c r="B45" t="s">
        <v>92</v>
      </c>
      <c r="C45">
        <v>106</v>
      </c>
      <c r="D45" t="s">
        <v>5</v>
      </c>
      <c r="E45" s="3">
        <v>30.928557300000001</v>
      </c>
      <c r="F45" s="3">
        <v>30.928557300000001</v>
      </c>
      <c r="G45">
        <f t="shared" ref="G45:H45" si="30">G44</f>
        <v>31.046406400000002</v>
      </c>
      <c r="H45">
        <f t="shared" si="30"/>
        <v>0.16666379553346175</v>
      </c>
      <c r="I45">
        <v>29.866092949999999</v>
      </c>
      <c r="J45">
        <v>17.637333333333299</v>
      </c>
      <c r="K45">
        <f t="shared" si="22"/>
        <v>1.1803134500000034</v>
      </c>
      <c r="L45">
        <f t="shared" si="23"/>
        <v>13.409073066666704</v>
      </c>
    </row>
    <row r="46" spans="1:12" x14ac:dyDescent="0.2">
      <c r="A46" t="s">
        <v>148</v>
      </c>
      <c r="B46" t="s">
        <v>93</v>
      </c>
      <c r="C46">
        <v>106</v>
      </c>
      <c r="D46" t="s">
        <v>5</v>
      </c>
      <c r="E46" s="3">
        <v>31.164255499999999</v>
      </c>
      <c r="F46" s="3">
        <v>31.164255499999999</v>
      </c>
      <c r="G46">
        <f t="shared" ref="G46:H46" si="31">G44</f>
        <v>31.046406400000002</v>
      </c>
      <c r="H46">
        <f t="shared" si="31"/>
        <v>0.16666379553346175</v>
      </c>
      <c r="I46">
        <v>29.866092949999999</v>
      </c>
      <c r="J46">
        <v>17.637333333333299</v>
      </c>
      <c r="K46">
        <f t="shared" si="22"/>
        <v>1.1803134500000034</v>
      </c>
      <c r="L46">
        <f t="shared" si="23"/>
        <v>13.409073066666704</v>
      </c>
    </row>
    <row r="47" spans="1:12" x14ac:dyDescent="0.2">
      <c r="A47" t="s">
        <v>148</v>
      </c>
      <c r="B47" t="s">
        <v>94</v>
      </c>
      <c r="C47">
        <v>107</v>
      </c>
      <c r="D47" t="s">
        <v>1</v>
      </c>
      <c r="E47" s="3">
        <v>29.035563499999999</v>
      </c>
      <c r="F47" s="3"/>
      <c r="G47">
        <f>AVERAGE(F47:F49)</f>
        <v>30.122309749999999</v>
      </c>
      <c r="H47">
        <f>STDEV(F47:F49)</f>
        <v>3.7676558489928784E-2</v>
      </c>
      <c r="I47">
        <f>G47</f>
        <v>30.122309749999999</v>
      </c>
      <c r="J47">
        <f>G50</f>
        <v>15.937404466666669</v>
      </c>
      <c r="K47">
        <f t="shared" si="22"/>
        <v>0</v>
      </c>
      <c r="L47">
        <f t="shared" si="23"/>
        <v>14.184905283333331</v>
      </c>
    </row>
    <row r="48" spans="1:12" x14ac:dyDescent="0.2">
      <c r="A48" t="s">
        <v>148</v>
      </c>
      <c r="B48" t="s">
        <v>95</v>
      </c>
      <c r="C48">
        <v>107</v>
      </c>
      <c r="D48" t="s">
        <v>1</v>
      </c>
      <c r="E48" s="3">
        <v>30.095668400000001</v>
      </c>
      <c r="F48" s="3">
        <v>30.095668400000001</v>
      </c>
      <c r="G48">
        <f t="shared" ref="G48:H49" si="32">G47</f>
        <v>30.122309749999999</v>
      </c>
      <c r="H48">
        <f t="shared" si="32"/>
        <v>3.7676558489928784E-2</v>
      </c>
      <c r="I48">
        <v>30.122309749999999</v>
      </c>
      <c r="J48">
        <v>15.937404466666669</v>
      </c>
      <c r="K48">
        <f t="shared" si="22"/>
        <v>0</v>
      </c>
      <c r="L48">
        <f t="shared" si="23"/>
        <v>14.184905283333331</v>
      </c>
    </row>
    <row r="49" spans="1:12" x14ac:dyDescent="0.2">
      <c r="A49" t="s">
        <v>148</v>
      </c>
      <c r="B49" t="s">
        <v>96</v>
      </c>
      <c r="C49">
        <v>107</v>
      </c>
      <c r="D49" t="s">
        <v>1</v>
      </c>
      <c r="E49" s="3">
        <v>30.148951100000001</v>
      </c>
      <c r="F49" s="3">
        <v>30.148951100000001</v>
      </c>
      <c r="G49">
        <f t="shared" si="32"/>
        <v>30.122309749999999</v>
      </c>
      <c r="H49">
        <f t="shared" ref="H49" si="33">H47</f>
        <v>3.7676558489928784E-2</v>
      </c>
      <c r="I49">
        <v>30.122309749999999</v>
      </c>
      <c r="J49">
        <v>15.937404466666669</v>
      </c>
      <c r="K49">
        <f t="shared" si="22"/>
        <v>0</v>
      </c>
      <c r="L49">
        <f t="shared" si="23"/>
        <v>14.184905283333331</v>
      </c>
    </row>
    <row r="50" spans="1:12" x14ac:dyDescent="0.2">
      <c r="A50" t="s">
        <v>148</v>
      </c>
      <c r="B50" t="s">
        <v>97</v>
      </c>
      <c r="C50">
        <v>107</v>
      </c>
      <c r="D50" t="s">
        <v>2</v>
      </c>
      <c r="E50" s="3">
        <v>16.053286499999999</v>
      </c>
      <c r="F50" s="3">
        <v>16.053286499999999</v>
      </c>
      <c r="G50">
        <f>AVERAGE(F50:F52)</f>
        <v>15.937404466666669</v>
      </c>
      <c r="H50">
        <f>STDEV(F50:F52)</f>
        <v>0.14886291641709506</v>
      </c>
      <c r="I50">
        <v>30.122309749999999</v>
      </c>
      <c r="J50">
        <v>15.937404466666701</v>
      </c>
      <c r="K50">
        <f t="shared" si="22"/>
        <v>-14.184905283333331</v>
      </c>
      <c r="L50">
        <f t="shared" si="23"/>
        <v>-3.1974423109204508E-14</v>
      </c>
    </row>
    <row r="51" spans="1:12" x14ac:dyDescent="0.2">
      <c r="A51" t="s">
        <v>148</v>
      </c>
      <c r="B51" t="s">
        <v>98</v>
      </c>
      <c r="C51">
        <v>107</v>
      </c>
      <c r="D51" t="s">
        <v>2</v>
      </c>
      <c r="E51" s="3">
        <v>15.989412</v>
      </c>
      <c r="F51" s="3">
        <v>15.989412</v>
      </c>
      <c r="G51">
        <f t="shared" ref="G51:H51" si="34">G50</f>
        <v>15.937404466666669</v>
      </c>
      <c r="H51">
        <f t="shared" si="34"/>
        <v>0.14886291641709506</v>
      </c>
      <c r="I51">
        <v>30.122309749999999</v>
      </c>
      <c r="J51">
        <v>15.937404466666701</v>
      </c>
      <c r="K51">
        <f t="shared" si="22"/>
        <v>-14.184905283333331</v>
      </c>
      <c r="L51">
        <f t="shared" si="23"/>
        <v>-3.1974423109204508E-14</v>
      </c>
    </row>
    <row r="52" spans="1:12" x14ac:dyDescent="0.2">
      <c r="A52" t="s">
        <v>148</v>
      </c>
      <c r="B52" t="s">
        <v>99</v>
      </c>
      <c r="C52">
        <v>107</v>
      </c>
      <c r="D52" t="s">
        <v>2</v>
      </c>
      <c r="E52" s="3">
        <v>15.769514900000001</v>
      </c>
      <c r="F52" s="3">
        <v>15.769514900000001</v>
      </c>
      <c r="G52">
        <f t="shared" ref="G52:H52" si="35">G50</f>
        <v>15.937404466666669</v>
      </c>
      <c r="H52">
        <f t="shared" si="35"/>
        <v>0.14886291641709506</v>
      </c>
      <c r="I52">
        <v>30.122309749999999</v>
      </c>
      <c r="J52">
        <v>15.937404466666701</v>
      </c>
      <c r="K52">
        <f t="shared" ref="K52:K97" si="36">G52-I52</f>
        <v>-14.184905283333331</v>
      </c>
      <c r="L52">
        <f t="shared" ref="L52:L97" si="37">G52-J52</f>
        <v>-3.1974423109204508E-14</v>
      </c>
    </row>
    <row r="53" spans="1:12" x14ac:dyDescent="0.2">
      <c r="A53" t="s">
        <v>148</v>
      </c>
      <c r="B53" t="s">
        <v>100</v>
      </c>
      <c r="C53">
        <v>107</v>
      </c>
      <c r="D53" t="s">
        <v>13</v>
      </c>
      <c r="E53" s="3">
        <v>34.097672099999997</v>
      </c>
      <c r="F53" s="3"/>
      <c r="G53">
        <f>AVERAGE(F53:F55)</f>
        <v>32.81070055</v>
      </c>
      <c r="H53">
        <f>STDEV(F53:F55)</f>
        <v>0.52441054147121058</v>
      </c>
      <c r="I53">
        <v>30.122309749999999</v>
      </c>
      <c r="J53">
        <v>15.937404466666701</v>
      </c>
      <c r="K53">
        <f t="shared" si="36"/>
        <v>2.6883908000000005</v>
      </c>
      <c r="L53">
        <f t="shared" si="37"/>
        <v>16.873296083333301</v>
      </c>
    </row>
    <row r="54" spans="1:12" x14ac:dyDescent="0.2">
      <c r="A54" t="s">
        <v>148</v>
      </c>
      <c r="B54" t="s">
        <v>101</v>
      </c>
      <c r="C54">
        <v>107</v>
      </c>
      <c r="D54" t="s">
        <v>13</v>
      </c>
      <c r="E54" s="3">
        <v>32.439886299999998</v>
      </c>
      <c r="F54" s="3">
        <v>32.439886299999998</v>
      </c>
      <c r="G54">
        <f t="shared" ref="G54:H55" si="38">G53</f>
        <v>32.81070055</v>
      </c>
      <c r="H54">
        <f t="shared" si="38"/>
        <v>0.52441054147121058</v>
      </c>
      <c r="I54">
        <v>30.122309749999999</v>
      </c>
      <c r="J54">
        <v>15.937404466666701</v>
      </c>
      <c r="K54">
        <f t="shared" si="36"/>
        <v>2.6883908000000005</v>
      </c>
      <c r="L54">
        <f t="shared" si="37"/>
        <v>16.873296083333301</v>
      </c>
    </row>
    <row r="55" spans="1:12" x14ac:dyDescent="0.2">
      <c r="A55" t="s">
        <v>148</v>
      </c>
      <c r="B55" t="s">
        <v>102</v>
      </c>
      <c r="C55">
        <v>107</v>
      </c>
      <c r="D55" t="s">
        <v>13</v>
      </c>
      <c r="E55" s="3">
        <v>33.181514800000002</v>
      </c>
      <c r="F55" s="3">
        <v>33.181514800000002</v>
      </c>
      <c r="G55">
        <f t="shared" si="38"/>
        <v>32.81070055</v>
      </c>
      <c r="H55">
        <f t="shared" ref="H55" si="39">H53</f>
        <v>0.52441054147121058</v>
      </c>
      <c r="I55">
        <v>30.122309749999999</v>
      </c>
      <c r="J55">
        <v>15.937404466666701</v>
      </c>
      <c r="K55">
        <f t="shared" si="36"/>
        <v>2.6883908000000005</v>
      </c>
      <c r="L55">
        <f t="shared" si="37"/>
        <v>16.873296083333301</v>
      </c>
    </row>
    <row r="56" spans="1:12" x14ac:dyDescent="0.2">
      <c r="A56" t="s">
        <v>148</v>
      </c>
      <c r="B56" t="s">
        <v>103</v>
      </c>
      <c r="C56">
        <v>107</v>
      </c>
      <c r="D56" t="s">
        <v>14</v>
      </c>
      <c r="E56" s="3">
        <v>39.505261900000001</v>
      </c>
      <c r="F56" s="3"/>
      <c r="G56">
        <f>AVERAGE(F56:F58)</f>
        <v>32.827066649999999</v>
      </c>
      <c r="H56">
        <f>STDEV(F56:F58)</f>
        <v>7.1411420938846141E-3</v>
      </c>
      <c r="I56">
        <v>30.122309749999999</v>
      </c>
      <c r="J56">
        <v>15.937404466666701</v>
      </c>
      <c r="K56">
        <f t="shared" si="36"/>
        <v>2.7047568999999996</v>
      </c>
      <c r="L56">
        <f t="shared" si="37"/>
        <v>16.8896621833333</v>
      </c>
    </row>
    <row r="57" spans="1:12" x14ac:dyDescent="0.2">
      <c r="A57" t="s">
        <v>148</v>
      </c>
      <c r="B57" t="s">
        <v>104</v>
      </c>
      <c r="C57">
        <v>107</v>
      </c>
      <c r="D57" t="s">
        <v>14</v>
      </c>
      <c r="E57" s="3">
        <v>32.822017099999997</v>
      </c>
      <c r="F57" s="3">
        <v>32.822017099999997</v>
      </c>
      <c r="G57">
        <f t="shared" ref="G57:H57" si="40">G56</f>
        <v>32.827066649999999</v>
      </c>
      <c r="H57">
        <f t="shared" si="40"/>
        <v>7.1411420938846141E-3</v>
      </c>
      <c r="I57">
        <v>30.122309749999999</v>
      </c>
      <c r="J57">
        <v>15.937404466666701</v>
      </c>
      <c r="K57">
        <f t="shared" si="36"/>
        <v>2.7047568999999996</v>
      </c>
      <c r="L57">
        <f t="shared" si="37"/>
        <v>16.8896621833333</v>
      </c>
    </row>
    <row r="58" spans="1:12" x14ac:dyDescent="0.2">
      <c r="A58" t="s">
        <v>148</v>
      </c>
      <c r="B58" t="s">
        <v>105</v>
      </c>
      <c r="C58">
        <v>107</v>
      </c>
      <c r="D58" t="s">
        <v>14</v>
      </c>
      <c r="E58" s="3">
        <v>32.832116200000002</v>
      </c>
      <c r="F58" s="3">
        <v>32.832116200000002</v>
      </c>
      <c r="G58">
        <f t="shared" ref="G58:H58" si="41">G56</f>
        <v>32.827066649999999</v>
      </c>
      <c r="H58">
        <f t="shared" si="41"/>
        <v>7.1411420938846141E-3</v>
      </c>
      <c r="I58">
        <v>30.122309749999999</v>
      </c>
      <c r="J58">
        <v>15.937404466666701</v>
      </c>
      <c r="K58">
        <f t="shared" si="36"/>
        <v>2.7047568999999996</v>
      </c>
      <c r="L58">
        <f t="shared" si="37"/>
        <v>16.8896621833333</v>
      </c>
    </row>
    <row r="59" spans="1:12" s="1" customFormat="1" x14ac:dyDescent="0.2">
      <c r="A59" s="1" t="s">
        <v>148</v>
      </c>
      <c r="B59" s="1" t="s">
        <v>106</v>
      </c>
      <c r="C59" s="1">
        <v>107</v>
      </c>
      <c r="D59" s="1" t="s">
        <v>10</v>
      </c>
      <c r="E59" s="1">
        <v>39.966056999999999</v>
      </c>
      <c r="G59" s="1" t="e">
        <f>AVERAGE(F59:F61)</f>
        <v>#DIV/0!</v>
      </c>
      <c r="H59" s="1" t="e">
        <f>STDEV(F59:F61)</f>
        <v>#DIV/0!</v>
      </c>
      <c r="I59" s="1">
        <v>30.122309749999999</v>
      </c>
      <c r="J59" s="1">
        <v>15.937404466666701</v>
      </c>
      <c r="K59" s="1" t="e">
        <f t="shared" si="36"/>
        <v>#DIV/0!</v>
      </c>
      <c r="L59" s="1" t="e">
        <f t="shared" si="37"/>
        <v>#DIV/0!</v>
      </c>
    </row>
    <row r="60" spans="1:12" s="1" customFormat="1" x14ac:dyDescent="0.2">
      <c r="A60" s="1" t="s">
        <v>148</v>
      </c>
      <c r="B60" s="1" t="s">
        <v>107</v>
      </c>
      <c r="C60" s="1">
        <v>107</v>
      </c>
      <c r="D60" s="1" t="s">
        <v>10</v>
      </c>
      <c r="E60" s="1">
        <v>32.217708000000002</v>
      </c>
      <c r="G60" s="1" t="e">
        <f t="shared" ref="G60:H61" si="42">G59</f>
        <v>#DIV/0!</v>
      </c>
      <c r="H60" s="1" t="e">
        <f t="shared" si="42"/>
        <v>#DIV/0!</v>
      </c>
      <c r="I60" s="1">
        <v>30.122309749999999</v>
      </c>
      <c r="J60" s="1">
        <v>15.937404466666701</v>
      </c>
      <c r="K60" s="1" t="e">
        <f t="shared" si="36"/>
        <v>#DIV/0!</v>
      </c>
      <c r="L60" s="1" t="e">
        <f t="shared" si="37"/>
        <v>#DIV/0!</v>
      </c>
    </row>
    <row r="61" spans="1:12" s="1" customFormat="1" x14ac:dyDescent="0.2">
      <c r="A61" s="1" t="s">
        <v>148</v>
      </c>
      <c r="B61" s="1" t="s">
        <v>108</v>
      </c>
      <c r="C61" s="1">
        <v>107</v>
      </c>
      <c r="D61" s="1" t="s">
        <v>10</v>
      </c>
      <c r="E61" s="1">
        <v>33.733552899999999</v>
      </c>
      <c r="G61" s="1" t="e">
        <f t="shared" si="42"/>
        <v>#DIV/0!</v>
      </c>
      <c r="H61" s="1" t="e">
        <f t="shared" ref="H61" si="43">H59</f>
        <v>#DIV/0!</v>
      </c>
      <c r="I61" s="1">
        <v>30.122309749999999</v>
      </c>
      <c r="J61" s="1">
        <v>15.937404466666701</v>
      </c>
      <c r="K61" s="1" t="e">
        <f t="shared" si="36"/>
        <v>#DIV/0!</v>
      </c>
      <c r="L61" s="1" t="e">
        <f t="shared" si="37"/>
        <v>#DIV/0!</v>
      </c>
    </row>
    <row r="62" spans="1:12" x14ac:dyDescent="0.2">
      <c r="A62" t="s">
        <v>148</v>
      </c>
      <c r="B62" t="s">
        <v>109</v>
      </c>
      <c r="C62">
        <v>107</v>
      </c>
      <c r="D62" t="s">
        <v>4</v>
      </c>
      <c r="E62" s="3">
        <v>33.134017100000001</v>
      </c>
      <c r="F62" s="3">
        <v>33.134017100000001</v>
      </c>
      <c r="G62">
        <f>AVERAGE(F62:F64)</f>
        <v>33.194512750000001</v>
      </c>
      <c r="H62">
        <f>STDEV(F62:F64)</f>
        <v>8.5553768694575941E-2</v>
      </c>
      <c r="I62">
        <v>30.122309749999999</v>
      </c>
      <c r="J62">
        <v>15.937404466666701</v>
      </c>
      <c r="K62">
        <f t="shared" si="36"/>
        <v>3.0722030000000018</v>
      </c>
      <c r="L62">
        <f t="shared" si="37"/>
        <v>17.257108283333302</v>
      </c>
    </row>
    <row r="63" spans="1:12" x14ac:dyDescent="0.2">
      <c r="A63" t="s">
        <v>148</v>
      </c>
      <c r="B63" t="s">
        <v>110</v>
      </c>
      <c r="C63">
        <v>107</v>
      </c>
      <c r="D63" t="s">
        <v>4</v>
      </c>
      <c r="E63" s="3">
        <v>33.255008400000001</v>
      </c>
      <c r="F63" s="3">
        <v>33.255008400000001</v>
      </c>
      <c r="G63">
        <f t="shared" ref="G63:H63" si="44">G62</f>
        <v>33.194512750000001</v>
      </c>
      <c r="H63">
        <f t="shared" si="44"/>
        <v>8.5553768694575941E-2</v>
      </c>
      <c r="I63">
        <v>30.122309749999999</v>
      </c>
      <c r="J63">
        <v>15.937404466666701</v>
      </c>
      <c r="K63">
        <f t="shared" si="36"/>
        <v>3.0722030000000018</v>
      </c>
      <c r="L63">
        <f t="shared" si="37"/>
        <v>17.257108283333302</v>
      </c>
    </row>
    <row r="64" spans="1:12" x14ac:dyDescent="0.2">
      <c r="A64" t="s">
        <v>148</v>
      </c>
      <c r="B64" t="s">
        <v>111</v>
      </c>
      <c r="C64">
        <v>107</v>
      </c>
      <c r="D64" t="s">
        <v>4</v>
      </c>
      <c r="E64" s="3">
        <v>32.421776700000002</v>
      </c>
      <c r="F64" s="3"/>
      <c r="G64">
        <f t="shared" ref="G64:H64" si="45">G62</f>
        <v>33.194512750000001</v>
      </c>
      <c r="H64">
        <f t="shared" si="45"/>
        <v>8.5553768694575941E-2</v>
      </c>
      <c r="I64">
        <v>30.122309749999999</v>
      </c>
      <c r="J64">
        <v>15.937404466666701</v>
      </c>
      <c r="K64">
        <f t="shared" si="36"/>
        <v>3.0722030000000018</v>
      </c>
      <c r="L64">
        <f t="shared" si="37"/>
        <v>17.257108283333302</v>
      </c>
    </row>
    <row r="65" spans="1:12" x14ac:dyDescent="0.2">
      <c r="A65" t="s">
        <v>148</v>
      </c>
      <c r="B65" t="s">
        <v>112</v>
      </c>
      <c r="C65">
        <v>107</v>
      </c>
      <c r="D65" t="s">
        <v>3</v>
      </c>
      <c r="E65" s="3">
        <v>29.083302199999999</v>
      </c>
      <c r="F65" s="3"/>
      <c r="G65">
        <f>AVERAGE(F65:F67)</f>
        <v>31.330009050000001</v>
      </c>
      <c r="H65">
        <f>STDEV(F65:F67)</f>
        <v>3.8081306411479506E-2</v>
      </c>
      <c r="I65">
        <v>30.122309749999999</v>
      </c>
      <c r="J65">
        <v>15.937404466666701</v>
      </c>
      <c r="K65">
        <f t="shared" si="36"/>
        <v>1.2076993000000016</v>
      </c>
      <c r="L65">
        <f t="shared" si="37"/>
        <v>15.3926045833333</v>
      </c>
    </row>
    <row r="66" spans="1:12" x14ac:dyDescent="0.2">
      <c r="A66" t="s">
        <v>148</v>
      </c>
      <c r="B66" t="s">
        <v>113</v>
      </c>
      <c r="C66">
        <v>107</v>
      </c>
      <c r="D66" t="s">
        <v>3</v>
      </c>
      <c r="E66" s="3">
        <v>31.356936600000001</v>
      </c>
      <c r="F66" s="3">
        <v>31.356936600000001</v>
      </c>
      <c r="G66">
        <f t="shared" ref="G66:H67" si="46">G65</f>
        <v>31.330009050000001</v>
      </c>
      <c r="H66">
        <f t="shared" si="46"/>
        <v>3.8081306411479506E-2</v>
      </c>
      <c r="I66">
        <v>30.122309749999999</v>
      </c>
      <c r="J66">
        <v>15.937404466666701</v>
      </c>
      <c r="K66">
        <f t="shared" si="36"/>
        <v>1.2076993000000016</v>
      </c>
      <c r="L66">
        <f t="shared" si="37"/>
        <v>15.3926045833333</v>
      </c>
    </row>
    <row r="67" spans="1:12" x14ac:dyDescent="0.2">
      <c r="A67" t="s">
        <v>148</v>
      </c>
      <c r="B67" t="s">
        <v>114</v>
      </c>
      <c r="C67">
        <v>107</v>
      </c>
      <c r="D67" t="s">
        <v>3</v>
      </c>
      <c r="E67" s="3">
        <v>31.303081500000001</v>
      </c>
      <c r="F67" s="3">
        <v>31.303081500000001</v>
      </c>
      <c r="G67">
        <f t="shared" si="46"/>
        <v>31.330009050000001</v>
      </c>
      <c r="H67">
        <f t="shared" ref="H67" si="47">H65</f>
        <v>3.8081306411479506E-2</v>
      </c>
      <c r="I67">
        <v>30.122309749999999</v>
      </c>
      <c r="J67">
        <v>15.937404466666701</v>
      </c>
      <c r="K67">
        <f t="shared" si="36"/>
        <v>1.2076993000000016</v>
      </c>
      <c r="L67">
        <f t="shared" si="37"/>
        <v>15.3926045833333</v>
      </c>
    </row>
    <row r="68" spans="1:12" x14ac:dyDescent="0.2">
      <c r="A68" t="s">
        <v>148</v>
      </c>
      <c r="B68" t="s">
        <v>115</v>
      </c>
      <c r="C68">
        <v>107</v>
      </c>
      <c r="D68" t="s">
        <v>8</v>
      </c>
      <c r="E68" s="3">
        <v>33.296622399999997</v>
      </c>
      <c r="F68" s="3">
        <v>33.296622399999997</v>
      </c>
      <c r="G68">
        <f>AVERAGE(F68:F70)</f>
        <v>33.399560749999999</v>
      </c>
      <c r="H68">
        <f>STDEV(F68:F70)</f>
        <v>0.14557681065831174</v>
      </c>
      <c r="I68">
        <v>30.122309749999999</v>
      </c>
      <c r="J68">
        <v>15.937404466666701</v>
      </c>
      <c r="K68">
        <f t="shared" si="36"/>
        <v>3.2772509999999997</v>
      </c>
      <c r="L68">
        <f t="shared" si="37"/>
        <v>17.4621562833333</v>
      </c>
    </row>
    <row r="69" spans="1:12" x14ac:dyDescent="0.2">
      <c r="A69" t="s">
        <v>148</v>
      </c>
      <c r="B69" t="s">
        <v>116</v>
      </c>
      <c r="C69">
        <v>107</v>
      </c>
      <c r="D69" t="s">
        <v>8</v>
      </c>
      <c r="E69" s="3">
        <v>33.502499100000001</v>
      </c>
      <c r="F69" s="3">
        <v>33.502499100000001</v>
      </c>
      <c r="G69">
        <f t="shared" ref="G69:H69" si="48">G68</f>
        <v>33.399560749999999</v>
      </c>
      <c r="H69">
        <f t="shared" si="48"/>
        <v>0.14557681065831174</v>
      </c>
      <c r="I69">
        <v>30.122309749999999</v>
      </c>
      <c r="J69">
        <v>15.937404466666701</v>
      </c>
      <c r="K69">
        <f t="shared" si="36"/>
        <v>3.2772509999999997</v>
      </c>
      <c r="L69">
        <f t="shared" si="37"/>
        <v>17.4621562833333</v>
      </c>
    </row>
    <row r="70" spans="1:12" x14ac:dyDescent="0.2">
      <c r="A70" t="s">
        <v>148</v>
      </c>
      <c r="B70" t="s">
        <v>117</v>
      </c>
      <c r="C70">
        <v>107</v>
      </c>
      <c r="D70" t="s">
        <v>8</v>
      </c>
      <c r="E70" s="3">
        <v>34.024875000000002</v>
      </c>
      <c r="F70" s="3"/>
      <c r="G70">
        <f t="shared" ref="G70:H70" si="49">G68</f>
        <v>33.399560749999999</v>
      </c>
      <c r="H70">
        <f t="shared" si="49"/>
        <v>0.14557681065831174</v>
      </c>
      <c r="I70">
        <v>30.122309749999999</v>
      </c>
      <c r="J70">
        <v>15.937404466666701</v>
      </c>
      <c r="K70">
        <f t="shared" si="36"/>
        <v>3.2772509999999997</v>
      </c>
      <c r="L70">
        <f t="shared" si="37"/>
        <v>17.4621562833333</v>
      </c>
    </row>
    <row r="71" spans="1:12" x14ac:dyDescent="0.2">
      <c r="A71" t="s">
        <v>148</v>
      </c>
      <c r="B71" t="s">
        <v>118</v>
      </c>
      <c r="C71">
        <v>111</v>
      </c>
      <c r="D71" t="s">
        <v>1</v>
      </c>
      <c r="E71" s="3">
        <v>30.553120400000001</v>
      </c>
      <c r="F71" s="3"/>
      <c r="G71">
        <f>AVERAGE(F71:F73)</f>
        <v>29.708819900000002</v>
      </c>
      <c r="H71">
        <f>STDEV(F71:F73)</f>
        <v>0.37700670831166905</v>
      </c>
      <c r="I71">
        <f>G71</f>
        <v>29.708819900000002</v>
      </c>
      <c r="J71">
        <f>G74</f>
        <v>16.080916833333333</v>
      </c>
      <c r="K71">
        <f t="shared" si="36"/>
        <v>0</v>
      </c>
      <c r="L71">
        <f t="shared" si="37"/>
        <v>13.627903066666669</v>
      </c>
    </row>
    <row r="72" spans="1:12" x14ac:dyDescent="0.2">
      <c r="A72" t="s">
        <v>148</v>
      </c>
      <c r="B72" t="s">
        <v>119</v>
      </c>
      <c r="C72">
        <v>111</v>
      </c>
      <c r="D72" t="s">
        <v>1</v>
      </c>
      <c r="E72" s="3">
        <v>29.9754039</v>
      </c>
      <c r="F72" s="3">
        <v>29.9754039</v>
      </c>
      <c r="G72">
        <f t="shared" ref="G72:H73" si="50">G71</f>
        <v>29.708819900000002</v>
      </c>
      <c r="H72">
        <f t="shared" si="50"/>
        <v>0.37700670831166905</v>
      </c>
      <c r="I72">
        <v>29.708819900000002</v>
      </c>
      <c r="J72">
        <v>16.080916833333333</v>
      </c>
      <c r="K72">
        <f t="shared" si="36"/>
        <v>0</v>
      </c>
      <c r="L72">
        <f t="shared" si="37"/>
        <v>13.627903066666669</v>
      </c>
    </row>
    <row r="73" spans="1:12" x14ac:dyDescent="0.2">
      <c r="A73" t="s">
        <v>148</v>
      </c>
      <c r="B73" t="s">
        <v>120</v>
      </c>
      <c r="C73">
        <v>111</v>
      </c>
      <c r="D73" t="s">
        <v>1</v>
      </c>
      <c r="E73" s="3">
        <v>29.4422359</v>
      </c>
      <c r="F73" s="3">
        <v>29.4422359</v>
      </c>
      <c r="G73">
        <f t="shared" si="50"/>
        <v>29.708819900000002</v>
      </c>
      <c r="H73">
        <f t="shared" ref="H73" si="51">H71</f>
        <v>0.37700670831166905</v>
      </c>
      <c r="I73">
        <v>29.708819900000002</v>
      </c>
      <c r="J73">
        <v>16.080916833333333</v>
      </c>
      <c r="K73">
        <f t="shared" si="36"/>
        <v>0</v>
      </c>
      <c r="L73">
        <f t="shared" si="37"/>
        <v>13.627903066666669</v>
      </c>
    </row>
    <row r="74" spans="1:12" x14ac:dyDescent="0.2">
      <c r="A74" t="s">
        <v>148</v>
      </c>
      <c r="B74" t="s">
        <v>121</v>
      </c>
      <c r="C74">
        <v>111</v>
      </c>
      <c r="D74" t="s">
        <v>2</v>
      </c>
      <c r="E74" s="3">
        <v>16.431330899999999</v>
      </c>
      <c r="F74" s="3">
        <v>16.431330899999999</v>
      </c>
      <c r="G74">
        <f>AVERAGE(F74:F76)</f>
        <v>16.080916833333333</v>
      </c>
      <c r="H74">
        <f>STDEV(F74:F76)</f>
        <v>0.30370983692459347</v>
      </c>
      <c r="I74">
        <v>29.708819900000002</v>
      </c>
      <c r="J74">
        <v>16.080916833333301</v>
      </c>
      <c r="K74">
        <f t="shared" si="36"/>
        <v>-13.627903066666669</v>
      </c>
      <c r="L74">
        <f t="shared" si="37"/>
        <v>3.1974423109204508E-14</v>
      </c>
    </row>
    <row r="75" spans="1:12" x14ac:dyDescent="0.2">
      <c r="A75" t="s">
        <v>148</v>
      </c>
      <c r="B75" t="s">
        <v>122</v>
      </c>
      <c r="C75">
        <v>111</v>
      </c>
      <c r="D75" t="s">
        <v>2</v>
      </c>
      <c r="E75" s="3">
        <v>15.8935792</v>
      </c>
      <c r="F75" s="3">
        <v>15.8935792</v>
      </c>
      <c r="G75">
        <f t="shared" ref="G75:H75" si="52">G74</f>
        <v>16.080916833333333</v>
      </c>
      <c r="H75">
        <f t="shared" si="52"/>
        <v>0.30370983692459347</v>
      </c>
      <c r="I75">
        <v>29.708819900000002</v>
      </c>
      <c r="J75">
        <v>16.080916833333301</v>
      </c>
      <c r="K75">
        <f t="shared" si="36"/>
        <v>-13.627903066666669</v>
      </c>
      <c r="L75">
        <f t="shared" si="37"/>
        <v>3.1974423109204508E-14</v>
      </c>
    </row>
    <row r="76" spans="1:12" x14ac:dyDescent="0.2">
      <c r="A76" t="s">
        <v>148</v>
      </c>
      <c r="B76" t="s">
        <v>123</v>
      </c>
      <c r="C76">
        <v>111</v>
      </c>
      <c r="D76" t="s">
        <v>2</v>
      </c>
      <c r="E76" s="3">
        <v>15.917840399999999</v>
      </c>
      <c r="F76" s="3">
        <v>15.917840399999999</v>
      </c>
      <c r="G76">
        <f t="shared" ref="G76:H76" si="53">G74</f>
        <v>16.080916833333333</v>
      </c>
      <c r="H76">
        <f t="shared" si="53"/>
        <v>0.30370983692459347</v>
      </c>
      <c r="I76">
        <v>29.708819900000002</v>
      </c>
      <c r="J76">
        <v>16.080916833333301</v>
      </c>
      <c r="K76">
        <f t="shared" si="36"/>
        <v>-13.627903066666669</v>
      </c>
      <c r="L76">
        <f t="shared" si="37"/>
        <v>3.1974423109204508E-14</v>
      </c>
    </row>
    <row r="77" spans="1:12" x14ac:dyDescent="0.2">
      <c r="A77" t="s">
        <v>148</v>
      </c>
      <c r="B77" t="s">
        <v>124</v>
      </c>
      <c r="C77">
        <v>111</v>
      </c>
      <c r="D77" t="s">
        <v>14</v>
      </c>
      <c r="E77" s="3">
        <v>32.511588699999997</v>
      </c>
      <c r="F77" s="3"/>
      <c r="G77">
        <f>AVERAGE(F77:F79)</f>
        <v>33.663650849999996</v>
      </c>
      <c r="H77">
        <f>STDEV(F77:F79)</f>
        <v>8.6286755583953254E-2</v>
      </c>
      <c r="I77">
        <v>29.708819900000002</v>
      </c>
      <c r="J77">
        <v>16.080916833333301</v>
      </c>
      <c r="K77">
        <f t="shared" si="36"/>
        <v>3.9548309499999945</v>
      </c>
      <c r="L77">
        <f t="shared" si="37"/>
        <v>17.582734016666695</v>
      </c>
    </row>
    <row r="78" spans="1:12" x14ac:dyDescent="0.2">
      <c r="A78" t="s">
        <v>148</v>
      </c>
      <c r="B78" t="s">
        <v>125</v>
      </c>
      <c r="C78">
        <v>111</v>
      </c>
      <c r="D78" t="s">
        <v>14</v>
      </c>
      <c r="E78" s="3">
        <v>33.724664799999999</v>
      </c>
      <c r="F78" s="3">
        <v>33.724664799999999</v>
      </c>
      <c r="G78">
        <f t="shared" ref="G78:H79" si="54">G77</f>
        <v>33.663650849999996</v>
      </c>
      <c r="H78">
        <f t="shared" si="54"/>
        <v>8.6286755583953254E-2</v>
      </c>
      <c r="I78">
        <v>29.708819900000002</v>
      </c>
      <c r="J78">
        <v>16.080916833333301</v>
      </c>
      <c r="K78">
        <f t="shared" si="36"/>
        <v>3.9548309499999945</v>
      </c>
      <c r="L78">
        <f t="shared" si="37"/>
        <v>17.582734016666695</v>
      </c>
    </row>
    <row r="79" spans="1:12" x14ac:dyDescent="0.2">
      <c r="A79" t="s">
        <v>148</v>
      </c>
      <c r="B79" t="s">
        <v>126</v>
      </c>
      <c r="C79">
        <v>111</v>
      </c>
      <c r="D79" t="s">
        <v>14</v>
      </c>
      <c r="E79" s="3">
        <v>33.6026369</v>
      </c>
      <c r="F79" s="3">
        <v>33.6026369</v>
      </c>
      <c r="G79">
        <f t="shared" si="54"/>
        <v>33.663650849999996</v>
      </c>
      <c r="H79">
        <f t="shared" ref="H79" si="55">H77</f>
        <v>8.6286755583953254E-2</v>
      </c>
      <c r="I79">
        <v>29.708819900000002</v>
      </c>
      <c r="J79">
        <v>16.080916833333301</v>
      </c>
      <c r="K79">
        <f t="shared" si="36"/>
        <v>3.9548309499999945</v>
      </c>
      <c r="L79">
        <f t="shared" si="37"/>
        <v>17.582734016666695</v>
      </c>
    </row>
    <row r="80" spans="1:12" x14ac:dyDescent="0.2">
      <c r="A80" t="s">
        <v>148</v>
      </c>
      <c r="B80" t="s">
        <v>127</v>
      </c>
      <c r="C80">
        <v>111</v>
      </c>
      <c r="D80" t="s">
        <v>10</v>
      </c>
      <c r="E80" s="3">
        <v>32.032632700000001</v>
      </c>
      <c r="F80" s="3">
        <v>32.032632700000001</v>
      </c>
      <c r="G80">
        <f>AVERAGE(F80:F82)</f>
        <v>32.127104150000001</v>
      </c>
      <c r="H80">
        <f>STDEV(F80:F82)</f>
        <v>0.13360280584705223</v>
      </c>
      <c r="I80">
        <v>29.708819900000002</v>
      </c>
      <c r="J80">
        <v>16.080916833333301</v>
      </c>
      <c r="K80">
        <f t="shared" si="36"/>
        <v>2.4182842499999992</v>
      </c>
      <c r="L80">
        <f t="shared" si="37"/>
        <v>16.0461873166667</v>
      </c>
    </row>
    <row r="81" spans="1:12" x14ac:dyDescent="0.2">
      <c r="A81" t="s">
        <v>148</v>
      </c>
      <c r="B81" t="s">
        <v>128</v>
      </c>
      <c r="C81">
        <v>111</v>
      </c>
      <c r="D81" t="s">
        <v>10</v>
      </c>
      <c r="E81" s="3">
        <v>32.221575600000001</v>
      </c>
      <c r="F81" s="3">
        <v>32.221575600000001</v>
      </c>
      <c r="G81">
        <f t="shared" ref="G81:H81" si="56">G80</f>
        <v>32.127104150000001</v>
      </c>
      <c r="H81">
        <f t="shared" si="56"/>
        <v>0.13360280584705223</v>
      </c>
      <c r="I81">
        <v>29.708819900000002</v>
      </c>
      <c r="J81">
        <v>16.080916833333301</v>
      </c>
      <c r="K81">
        <f t="shared" si="36"/>
        <v>2.4182842499999992</v>
      </c>
      <c r="L81">
        <f t="shared" si="37"/>
        <v>16.0461873166667</v>
      </c>
    </row>
    <row r="82" spans="1:12" x14ac:dyDescent="0.2">
      <c r="A82" t="s">
        <v>148</v>
      </c>
      <c r="B82" t="s">
        <v>129</v>
      </c>
      <c r="C82">
        <v>111</v>
      </c>
      <c r="D82" t="s">
        <v>10</v>
      </c>
      <c r="E82" s="3">
        <v>34.132787700000002</v>
      </c>
      <c r="F82" s="3"/>
      <c r="G82">
        <f t="shared" ref="G82:H82" si="57">G80</f>
        <v>32.127104150000001</v>
      </c>
      <c r="H82">
        <f t="shared" si="57"/>
        <v>0.13360280584705223</v>
      </c>
      <c r="I82">
        <v>29.708819900000002</v>
      </c>
      <c r="J82">
        <v>16.080916833333301</v>
      </c>
      <c r="K82">
        <f t="shared" si="36"/>
        <v>2.4182842499999992</v>
      </c>
      <c r="L82">
        <f t="shared" si="37"/>
        <v>16.0461873166667</v>
      </c>
    </row>
    <row r="83" spans="1:12" x14ac:dyDescent="0.2">
      <c r="A83" t="s">
        <v>148</v>
      </c>
      <c r="B83" t="s">
        <v>130</v>
      </c>
      <c r="C83">
        <v>111</v>
      </c>
      <c r="D83" t="s">
        <v>4</v>
      </c>
      <c r="E83" s="3">
        <v>33.179892100000004</v>
      </c>
      <c r="F83" s="3">
        <v>33.179892100000004</v>
      </c>
      <c r="G83">
        <f>AVERAGE(F83:F85)</f>
        <v>33.1607135</v>
      </c>
      <c r="H83">
        <f>STDEV(F83:F85)</f>
        <v>0.18014580285346529</v>
      </c>
      <c r="I83">
        <v>29.708819900000002</v>
      </c>
      <c r="J83">
        <v>16.080916833333301</v>
      </c>
      <c r="K83">
        <f t="shared" si="36"/>
        <v>3.4518935999999982</v>
      </c>
      <c r="L83">
        <f t="shared" si="37"/>
        <v>17.079796666666699</v>
      </c>
    </row>
    <row r="84" spans="1:12" x14ac:dyDescent="0.2">
      <c r="A84" t="s">
        <v>148</v>
      </c>
      <c r="B84" t="s">
        <v>131</v>
      </c>
      <c r="C84">
        <v>111</v>
      </c>
      <c r="D84" t="s">
        <v>4</v>
      </c>
      <c r="E84" s="3">
        <v>32.9717457</v>
      </c>
      <c r="F84" s="3">
        <v>32.9717457</v>
      </c>
      <c r="G84">
        <f t="shared" ref="G84:H85" si="58">G83</f>
        <v>33.1607135</v>
      </c>
      <c r="H84">
        <f t="shared" si="58"/>
        <v>0.18014580285346529</v>
      </c>
      <c r="I84">
        <v>29.708819900000002</v>
      </c>
      <c r="J84">
        <v>16.080916833333301</v>
      </c>
      <c r="K84">
        <f t="shared" si="36"/>
        <v>3.4518935999999982</v>
      </c>
      <c r="L84">
        <f t="shared" si="37"/>
        <v>17.079796666666699</v>
      </c>
    </row>
    <row r="85" spans="1:12" x14ac:dyDescent="0.2">
      <c r="A85" t="s">
        <v>148</v>
      </c>
      <c r="B85" t="s">
        <v>132</v>
      </c>
      <c r="C85">
        <v>111</v>
      </c>
      <c r="D85" t="s">
        <v>4</v>
      </c>
      <c r="E85" s="3">
        <v>33.330502699999997</v>
      </c>
      <c r="F85" s="3">
        <v>33.330502699999997</v>
      </c>
      <c r="G85">
        <f t="shared" si="58"/>
        <v>33.1607135</v>
      </c>
      <c r="H85">
        <f t="shared" ref="H85" si="59">H83</f>
        <v>0.18014580285346529</v>
      </c>
      <c r="I85">
        <v>29.708819900000002</v>
      </c>
      <c r="J85">
        <v>16.080916833333301</v>
      </c>
      <c r="K85">
        <f t="shared" si="36"/>
        <v>3.4518935999999982</v>
      </c>
      <c r="L85">
        <f t="shared" si="37"/>
        <v>17.079796666666699</v>
      </c>
    </row>
    <row r="86" spans="1:12" x14ac:dyDescent="0.2">
      <c r="A86" t="s">
        <v>148</v>
      </c>
      <c r="B86" t="s">
        <v>133</v>
      </c>
      <c r="C86">
        <v>111</v>
      </c>
      <c r="D86" t="s">
        <v>3</v>
      </c>
      <c r="E86" s="3">
        <v>30.680061899999998</v>
      </c>
      <c r="F86" s="3"/>
      <c r="G86">
        <f>AVERAGE(F86:F88)</f>
        <v>31.860975</v>
      </c>
      <c r="H86">
        <f>STDEV(F86:F88)</f>
        <v>0.12801390455923026</v>
      </c>
      <c r="I86">
        <v>29.708819900000002</v>
      </c>
      <c r="J86">
        <v>16.080916833333301</v>
      </c>
      <c r="K86">
        <f t="shared" si="36"/>
        <v>2.1521550999999981</v>
      </c>
      <c r="L86">
        <f t="shared" si="37"/>
        <v>15.780058166666699</v>
      </c>
    </row>
    <row r="87" spans="1:12" x14ac:dyDescent="0.2">
      <c r="A87" t="s">
        <v>148</v>
      </c>
      <c r="B87" t="s">
        <v>134</v>
      </c>
      <c r="C87">
        <v>111</v>
      </c>
      <c r="D87" t="s">
        <v>3</v>
      </c>
      <c r="E87" s="3">
        <v>31.951494499999999</v>
      </c>
      <c r="F87" s="3">
        <v>31.951494499999999</v>
      </c>
      <c r="G87">
        <f t="shared" ref="G87:H87" si="60">G86</f>
        <v>31.860975</v>
      </c>
      <c r="H87">
        <f t="shared" si="60"/>
        <v>0.12801390455923026</v>
      </c>
      <c r="I87">
        <v>29.708819900000002</v>
      </c>
      <c r="J87">
        <v>16.080916833333301</v>
      </c>
      <c r="K87">
        <f t="shared" si="36"/>
        <v>2.1521550999999981</v>
      </c>
      <c r="L87">
        <f t="shared" si="37"/>
        <v>15.780058166666699</v>
      </c>
    </row>
    <row r="88" spans="1:12" x14ac:dyDescent="0.2">
      <c r="A88" t="s">
        <v>148</v>
      </c>
      <c r="B88" t="s">
        <v>135</v>
      </c>
      <c r="C88">
        <v>111</v>
      </c>
      <c r="D88" t="s">
        <v>3</v>
      </c>
      <c r="E88" s="3">
        <v>31.770455500000001</v>
      </c>
      <c r="F88" s="3">
        <v>31.770455500000001</v>
      </c>
      <c r="G88">
        <f t="shared" ref="G88:H88" si="61">G86</f>
        <v>31.860975</v>
      </c>
      <c r="H88">
        <f t="shared" si="61"/>
        <v>0.12801390455923026</v>
      </c>
      <c r="I88">
        <v>29.708819900000002</v>
      </c>
      <c r="J88">
        <v>16.080916833333301</v>
      </c>
      <c r="K88">
        <f t="shared" si="36"/>
        <v>2.1521550999999981</v>
      </c>
      <c r="L88">
        <f t="shared" si="37"/>
        <v>15.780058166666699</v>
      </c>
    </row>
    <row r="89" spans="1:12" x14ac:dyDescent="0.2">
      <c r="A89" t="s">
        <v>148</v>
      </c>
      <c r="B89" t="s">
        <v>136</v>
      </c>
      <c r="C89">
        <v>111</v>
      </c>
      <c r="D89" t="s">
        <v>5</v>
      </c>
      <c r="E89" s="3">
        <v>32.380467600000003</v>
      </c>
      <c r="F89" s="3">
        <v>32.380467600000003</v>
      </c>
      <c r="G89">
        <f>AVERAGE(F89:F91)</f>
        <v>32.325633250000003</v>
      </c>
      <c r="H89">
        <f>STDEV(F89:F91)</f>
        <v>7.7547481453913325E-2</v>
      </c>
      <c r="I89">
        <v>29.708819900000002</v>
      </c>
      <c r="J89">
        <v>16.080916833333301</v>
      </c>
      <c r="K89">
        <f t="shared" si="36"/>
        <v>2.616813350000001</v>
      </c>
      <c r="L89">
        <f t="shared" si="37"/>
        <v>16.244716416666702</v>
      </c>
    </row>
    <row r="90" spans="1:12" x14ac:dyDescent="0.2">
      <c r="A90" t="s">
        <v>148</v>
      </c>
      <c r="B90" t="s">
        <v>137</v>
      </c>
      <c r="C90">
        <v>111</v>
      </c>
      <c r="D90" t="s">
        <v>5</v>
      </c>
      <c r="E90" s="3">
        <v>32.270798900000003</v>
      </c>
      <c r="F90" s="3">
        <v>32.270798900000003</v>
      </c>
      <c r="G90">
        <f t="shared" ref="G90:H91" si="62">G89</f>
        <v>32.325633250000003</v>
      </c>
      <c r="H90">
        <f t="shared" si="62"/>
        <v>7.7547481453913325E-2</v>
      </c>
      <c r="I90">
        <v>29.708819900000002</v>
      </c>
      <c r="J90">
        <v>16.080916833333301</v>
      </c>
      <c r="K90">
        <f t="shared" si="36"/>
        <v>2.616813350000001</v>
      </c>
      <c r="L90">
        <f t="shared" si="37"/>
        <v>16.244716416666702</v>
      </c>
    </row>
    <row r="91" spans="1:12" x14ac:dyDescent="0.2">
      <c r="A91" t="s">
        <v>148</v>
      </c>
      <c r="B91" t="s">
        <v>138</v>
      </c>
      <c r="C91">
        <v>111</v>
      </c>
      <c r="D91" t="s">
        <v>5</v>
      </c>
      <c r="E91" s="3">
        <v>30.912230600000001</v>
      </c>
      <c r="F91" s="3"/>
      <c r="G91">
        <f t="shared" si="62"/>
        <v>32.325633250000003</v>
      </c>
      <c r="H91">
        <f t="shared" ref="H91" si="63">H89</f>
        <v>7.7547481453913325E-2</v>
      </c>
      <c r="I91">
        <v>29.708819900000002</v>
      </c>
      <c r="J91">
        <v>16.080916833333301</v>
      </c>
      <c r="K91">
        <f t="shared" si="36"/>
        <v>2.616813350000001</v>
      </c>
      <c r="L91">
        <f t="shared" si="37"/>
        <v>16.244716416666702</v>
      </c>
    </row>
    <row r="92" spans="1:12" x14ac:dyDescent="0.2">
      <c r="A92" t="s">
        <v>148</v>
      </c>
      <c r="B92" t="s">
        <v>139</v>
      </c>
      <c r="G92" t="e">
        <f>AVERAGE(F92:F94)</f>
        <v>#DIV/0!</v>
      </c>
      <c r="H92" t="e">
        <f>STDEV(F92:F94)</f>
        <v>#DIV/0!</v>
      </c>
      <c r="K92" t="e">
        <f t="shared" si="36"/>
        <v>#DIV/0!</v>
      </c>
      <c r="L92" t="e">
        <f t="shared" si="37"/>
        <v>#DIV/0!</v>
      </c>
    </row>
    <row r="93" spans="1:12" x14ac:dyDescent="0.2">
      <c r="A93" t="s">
        <v>148</v>
      </c>
      <c r="B93" t="s">
        <v>140</v>
      </c>
      <c r="G93" t="e">
        <f t="shared" ref="G93:H93" si="64">G92</f>
        <v>#DIV/0!</v>
      </c>
      <c r="H93" t="e">
        <f t="shared" si="64"/>
        <v>#DIV/0!</v>
      </c>
      <c r="K93" t="e">
        <f t="shared" si="36"/>
        <v>#DIV/0!</v>
      </c>
      <c r="L93" t="e">
        <f t="shared" si="37"/>
        <v>#DIV/0!</v>
      </c>
    </row>
    <row r="94" spans="1:12" x14ac:dyDescent="0.2">
      <c r="A94" t="s">
        <v>148</v>
      </c>
      <c r="B94" t="s">
        <v>141</v>
      </c>
      <c r="G94" t="e">
        <f t="shared" ref="G94:H94" si="65">G92</f>
        <v>#DIV/0!</v>
      </c>
      <c r="H94" t="e">
        <f t="shared" si="65"/>
        <v>#DIV/0!</v>
      </c>
      <c r="K94" t="e">
        <f t="shared" si="36"/>
        <v>#DIV/0!</v>
      </c>
      <c r="L94" t="e">
        <f t="shared" si="37"/>
        <v>#DIV/0!</v>
      </c>
    </row>
    <row r="95" spans="1:12" x14ac:dyDescent="0.2">
      <c r="A95" t="s">
        <v>148</v>
      </c>
      <c r="B95" t="s">
        <v>142</v>
      </c>
      <c r="G95" t="e">
        <f>AVERAGE(F95:F97)</f>
        <v>#DIV/0!</v>
      </c>
      <c r="H95" t="e">
        <f>STDEV(F95:F97)</f>
        <v>#DIV/0!</v>
      </c>
      <c r="K95" t="e">
        <f t="shared" si="36"/>
        <v>#DIV/0!</v>
      </c>
      <c r="L95" t="e">
        <f t="shared" si="37"/>
        <v>#DIV/0!</v>
      </c>
    </row>
    <row r="96" spans="1:12" x14ac:dyDescent="0.2">
      <c r="A96" t="s">
        <v>148</v>
      </c>
      <c r="B96" t="s">
        <v>143</v>
      </c>
      <c r="G96" t="e">
        <f t="shared" ref="G96:H97" si="66">G95</f>
        <v>#DIV/0!</v>
      </c>
      <c r="H96" t="e">
        <f t="shared" si="66"/>
        <v>#DIV/0!</v>
      </c>
      <c r="K96" t="e">
        <f t="shared" si="36"/>
        <v>#DIV/0!</v>
      </c>
      <c r="L96" t="e">
        <f t="shared" si="37"/>
        <v>#DIV/0!</v>
      </c>
    </row>
    <row r="97" spans="1:12" x14ac:dyDescent="0.2">
      <c r="A97" t="s">
        <v>148</v>
      </c>
      <c r="B97" t="s">
        <v>144</v>
      </c>
      <c r="G97" t="e">
        <f t="shared" si="66"/>
        <v>#DIV/0!</v>
      </c>
      <c r="H97" t="e">
        <f t="shared" ref="H97" si="67">H95</f>
        <v>#DIV/0!</v>
      </c>
      <c r="K97" t="e">
        <f t="shared" si="36"/>
        <v>#DIV/0!</v>
      </c>
      <c r="L97" t="e">
        <f t="shared" si="37"/>
        <v>#DIV/0!</v>
      </c>
    </row>
  </sheetData>
  <autoFilter ref="A1:D97" xr:uid="{38669B7A-41A4-3D4E-A528-B1550ADD6E92}"/>
  <phoneticPr fontId="2" type="noConversion"/>
  <conditionalFormatting sqref="H2:H97">
    <cfRule type="cellIs" dxfId="9" priority="1" operator="greaterThan">
      <formula>0.3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F0664-E6D9-3649-8F56-E28EA8486897}">
  <dimension ref="A1:L97"/>
  <sheetViews>
    <sheetView zoomScale="170" zoomScaleNormal="170" workbookViewId="0">
      <selection sqref="A1:XFD1"/>
    </sheetView>
  </sheetViews>
  <sheetFormatPr baseColWidth="10" defaultRowHeight="16" x14ac:dyDescent="0.2"/>
  <sheetData>
    <row r="1" spans="1:12" x14ac:dyDescent="0.2">
      <c r="A1" t="s">
        <v>147</v>
      </c>
      <c r="B1" t="s">
        <v>48</v>
      </c>
      <c r="C1" t="s">
        <v>0</v>
      </c>
      <c r="D1" t="s">
        <v>145</v>
      </c>
      <c r="E1" t="s">
        <v>154</v>
      </c>
      <c r="F1" t="s">
        <v>158</v>
      </c>
      <c r="G1" t="s">
        <v>156</v>
      </c>
      <c r="H1" t="s">
        <v>157</v>
      </c>
      <c r="I1" t="s">
        <v>1</v>
      </c>
      <c r="J1" t="s">
        <v>2</v>
      </c>
      <c r="K1" t="s">
        <v>159</v>
      </c>
      <c r="L1" t="s">
        <v>160</v>
      </c>
    </row>
    <row r="2" spans="1:12" x14ac:dyDescent="0.2">
      <c r="A2" t="s">
        <v>149</v>
      </c>
      <c r="B2" t="s">
        <v>49</v>
      </c>
      <c r="C2">
        <v>113</v>
      </c>
      <c r="D2" t="s">
        <v>1</v>
      </c>
      <c r="E2">
        <v>29.512037686453102</v>
      </c>
      <c r="F2">
        <v>29.512037686453102</v>
      </c>
      <c r="G2">
        <f>AVERAGE(E2:E4)</f>
        <v>29.557118953796351</v>
      </c>
      <c r="H2">
        <f>STDEV(E2:E4)</f>
        <v>6.3754539685790701E-2</v>
      </c>
      <c r="I2">
        <f>G2</f>
        <v>29.557118953796351</v>
      </c>
      <c r="J2">
        <f>E5</f>
        <v>15.3068969179548</v>
      </c>
      <c r="K2">
        <f>G2-I2</f>
        <v>0</v>
      </c>
      <c r="L2">
        <f>G2-J2</f>
        <v>14.250222035841551</v>
      </c>
    </row>
    <row r="3" spans="1:12" x14ac:dyDescent="0.2">
      <c r="A3" t="s">
        <v>149</v>
      </c>
      <c r="B3" t="s">
        <v>50</v>
      </c>
      <c r="C3">
        <v>113</v>
      </c>
      <c r="D3" t="s">
        <v>1</v>
      </c>
      <c r="F3">
        <v>27.762449354944501</v>
      </c>
      <c r="G3">
        <f>G2</f>
        <v>29.557118953796351</v>
      </c>
      <c r="H3">
        <f>H2</f>
        <v>6.3754539685790701E-2</v>
      </c>
      <c r="I3">
        <v>29.557118953796351</v>
      </c>
      <c r="J3">
        <v>15.3068969179548</v>
      </c>
      <c r="K3">
        <f t="shared" ref="K3:K66" si="0">G3-I3</f>
        <v>0</v>
      </c>
      <c r="L3">
        <f t="shared" ref="L3:L66" si="1">G3-J3</f>
        <v>14.250222035841551</v>
      </c>
    </row>
    <row r="4" spans="1:12" x14ac:dyDescent="0.2">
      <c r="A4" t="s">
        <v>149</v>
      </c>
      <c r="B4" t="s">
        <v>51</v>
      </c>
      <c r="C4">
        <v>113</v>
      </c>
      <c r="D4" t="s">
        <v>1</v>
      </c>
      <c r="E4">
        <v>29.602200221139601</v>
      </c>
      <c r="F4">
        <v>29.602200221139601</v>
      </c>
      <c r="G4">
        <f>G2</f>
        <v>29.557118953796351</v>
      </c>
      <c r="H4">
        <f>H2</f>
        <v>6.3754539685790701E-2</v>
      </c>
      <c r="I4">
        <v>29.557118953796351</v>
      </c>
      <c r="J4">
        <v>15.3068969179548</v>
      </c>
      <c r="K4">
        <f t="shared" si="0"/>
        <v>0</v>
      </c>
      <c r="L4">
        <f t="shared" si="1"/>
        <v>14.250222035841551</v>
      </c>
    </row>
    <row r="5" spans="1:12" x14ac:dyDescent="0.2">
      <c r="A5" t="s">
        <v>149</v>
      </c>
      <c r="B5" t="s">
        <v>52</v>
      </c>
      <c r="C5">
        <v>113</v>
      </c>
      <c r="D5" t="s">
        <v>2</v>
      </c>
      <c r="E5">
        <v>15.3068969179548</v>
      </c>
      <c r="F5">
        <v>15.3068969179548</v>
      </c>
      <c r="G5">
        <f>AVERAGE(E5:E7)</f>
        <v>15.419856135123666</v>
      </c>
      <c r="H5">
        <f>STDEV(E5:E7)</f>
        <v>0.10593435245174684</v>
      </c>
      <c r="I5">
        <v>29.557118953796401</v>
      </c>
      <c r="J5">
        <v>15.3068969179548</v>
      </c>
      <c r="K5">
        <f t="shared" si="0"/>
        <v>-14.137262818672735</v>
      </c>
      <c r="L5">
        <f t="shared" si="1"/>
        <v>0.11295921716886603</v>
      </c>
    </row>
    <row r="6" spans="1:12" x14ac:dyDescent="0.2">
      <c r="A6" t="s">
        <v>149</v>
      </c>
      <c r="B6" t="s">
        <v>53</v>
      </c>
      <c r="C6">
        <v>113</v>
      </c>
      <c r="D6" t="s">
        <v>2</v>
      </c>
      <c r="E6">
        <v>15.4356878843325</v>
      </c>
      <c r="F6">
        <v>15.4356878843325</v>
      </c>
      <c r="G6">
        <f>G5</f>
        <v>15.419856135123666</v>
      </c>
      <c r="H6">
        <f>H5</f>
        <v>0.10593435245174684</v>
      </c>
      <c r="I6">
        <v>29.557118953796401</v>
      </c>
      <c r="J6">
        <v>15.3068969179548</v>
      </c>
      <c r="K6">
        <f t="shared" si="0"/>
        <v>-14.137262818672735</v>
      </c>
      <c r="L6">
        <f t="shared" si="1"/>
        <v>0.11295921716886603</v>
      </c>
    </row>
    <row r="7" spans="1:12" x14ac:dyDescent="0.2">
      <c r="A7" t="s">
        <v>149</v>
      </c>
      <c r="B7" t="s">
        <v>54</v>
      </c>
      <c r="C7">
        <v>113</v>
      </c>
      <c r="D7" t="s">
        <v>2</v>
      </c>
      <c r="E7">
        <v>15.5169836030837</v>
      </c>
      <c r="F7">
        <v>15.5169836030837</v>
      </c>
      <c r="G7">
        <f>G6</f>
        <v>15.419856135123666</v>
      </c>
      <c r="H7">
        <f>H5</f>
        <v>0.10593435245174684</v>
      </c>
      <c r="I7">
        <v>29.557118953796401</v>
      </c>
      <c r="J7">
        <v>15.3068969179548</v>
      </c>
      <c r="K7">
        <f t="shared" si="0"/>
        <v>-14.137262818672735</v>
      </c>
      <c r="L7">
        <f t="shared" si="1"/>
        <v>0.11295921716886603</v>
      </c>
    </row>
    <row r="8" spans="1:12" s="1" customFormat="1" x14ac:dyDescent="0.2">
      <c r="A8" s="1" t="s">
        <v>149</v>
      </c>
      <c r="B8" s="1" t="s">
        <v>55</v>
      </c>
      <c r="C8" s="1">
        <v>113</v>
      </c>
      <c r="D8" s="1" t="s">
        <v>14</v>
      </c>
      <c r="F8" s="1" t="s">
        <v>155</v>
      </c>
      <c r="G8" s="1" t="e">
        <f>AVERAGE(E8:E10)</f>
        <v>#DIV/0!</v>
      </c>
      <c r="H8" s="1" t="e">
        <f>STDEV(E8:E10)</f>
        <v>#DIV/0!</v>
      </c>
      <c r="I8" s="1">
        <v>29.557118953796401</v>
      </c>
      <c r="J8" s="1">
        <v>15.3068969179548</v>
      </c>
      <c r="K8" s="1" t="e">
        <f t="shared" si="0"/>
        <v>#DIV/0!</v>
      </c>
      <c r="L8" s="1" t="e">
        <f t="shared" si="1"/>
        <v>#DIV/0!</v>
      </c>
    </row>
    <row r="9" spans="1:12" s="1" customFormat="1" x14ac:dyDescent="0.2">
      <c r="A9" s="1" t="s">
        <v>149</v>
      </c>
      <c r="B9" s="1" t="s">
        <v>56</v>
      </c>
      <c r="C9" s="1">
        <v>113</v>
      </c>
      <c r="D9" s="1" t="s">
        <v>14</v>
      </c>
      <c r="F9" s="1" t="s">
        <v>155</v>
      </c>
      <c r="G9" s="1" t="e">
        <f t="shared" ref="G9:H9" si="2">G8</f>
        <v>#DIV/0!</v>
      </c>
      <c r="H9" s="1" t="e">
        <f t="shared" si="2"/>
        <v>#DIV/0!</v>
      </c>
      <c r="I9" s="1">
        <v>29.557118953796401</v>
      </c>
      <c r="J9" s="1">
        <v>15.3068969179548</v>
      </c>
      <c r="K9" s="1" t="e">
        <f t="shared" si="0"/>
        <v>#DIV/0!</v>
      </c>
      <c r="L9" s="1" t="e">
        <f t="shared" si="1"/>
        <v>#DIV/0!</v>
      </c>
    </row>
    <row r="10" spans="1:12" s="1" customFormat="1" x14ac:dyDescent="0.2">
      <c r="A10" s="1" t="s">
        <v>149</v>
      </c>
      <c r="B10" s="1" t="s">
        <v>57</v>
      </c>
      <c r="C10" s="1">
        <v>113</v>
      </c>
      <c r="D10" s="1" t="s">
        <v>14</v>
      </c>
      <c r="F10" s="1">
        <v>34.5411359968531</v>
      </c>
      <c r="G10" s="1" t="e">
        <f t="shared" ref="G10:H10" si="3">G8</f>
        <v>#DIV/0!</v>
      </c>
      <c r="H10" s="1" t="e">
        <f t="shared" si="3"/>
        <v>#DIV/0!</v>
      </c>
      <c r="I10" s="1">
        <v>29.557118953796401</v>
      </c>
      <c r="J10" s="1">
        <v>15.3068969179548</v>
      </c>
      <c r="K10" s="1" t="e">
        <f t="shared" si="0"/>
        <v>#DIV/0!</v>
      </c>
      <c r="L10" s="1" t="e">
        <f t="shared" si="1"/>
        <v>#DIV/0!</v>
      </c>
    </row>
    <row r="11" spans="1:12" s="1" customFormat="1" x14ac:dyDescent="0.2">
      <c r="A11" s="1" t="s">
        <v>149</v>
      </c>
      <c r="B11" s="1" t="s">
        <v>58</v>
      </c>
      <c r="C11" s="1">
        <v>113</v>
      </c>
      <c r="D11" s="1" t="s">
        <v>10</v>
      </c>
      <c r="F11" s="1" t="s">
        <v>155</v>
      </c>
      <c r="G11" s="1" t="e">
        <f>AVERAGE(E11:E13)</f>
        <v>#DIV/0!</v>
      </c>
      <c r="H11" s="1" t="e">
        <f>STDEV(E11:E13)</f>
        <v>#DIV/0!</v>
      </c>
      <c r="I11" s="1">
        <v>29.557118953796401</v>
      </c>
      <c r="J11" s="1">
        <v>15.3068969179548</v>
      </c>
      <c r="K11" s="1" t="e">
        <f t="shared" si="0"/>
        <v>#DIV/0!</v>
      </c>
      <c r="L11" s="1" t="e">
        <f t="shared" si="1"/>
        <v>#DIV/0!</v>
      </c>
    </row>
    <row r="12" spans="1:12" s="1" customFormat="1" x14ac:dyDescent="0.2">
      <c r="A12" s="1" t="s">
        <v>149</v>
      </c>
      <c r="B12" s="1" t="s">
        <v>59</v>
      </c>
      <c r="C12" s="1">
        <v>113</v>
      </c>
      <c r="D12" s="1" t="s">
        <v>10</v>
      </c>
      <c r="F12" s="1">
        <v>36.045521560555599</v>
      </c>
      <c r="G12" s="1" t="e">
        <f t="shared" ref="G12:H13" si="4">G11</f>
        <v>#DIV/0!</v>
      </c>
      <c r="H12" s="1" t="e">
        <f t="shared" si="4"/>
        <v>#DIV/0!</v>
      </c>
      <c r="I12" s="1">
        <v>29.557118953796401</v>
      </c>
      <c r="J12" s="1">
        <v>15.3068969179548</v>
      </c>
      <c r="K12" s="1" t="e">
        <f t="shared" si="0"/>
        <v>#DIV/0!</v>
      </c>
      <c r="L12" s="1" t="e">
        <f t="shared" si="1"/>
        <v>#DIV/0!</v>
      </c>
    </row>
    <row r="13" spans="1:12" s="1" customFormat="1" x14ac:dyDescent="0.2">
      <c r="A13" s="1" t="s">
        <v>149</v>
      </c>
      <c r="B13" s="1" t="s">
        <v>60</v>
      </c>
      <c r="C13" s="1">
        <v>113</v>
      </c>
      <c r="D13" s="1" t="s">
        <v>10</v>
      </c>
      <c r="F13" s="1" t="s">
        <v>155</v>
      </c>
      <c r="G13" s="1" t="e">
        <f t="shared" si="4"/>
        <v>#DIV/0!</v>
      </c>
      <c r="H13" s="1" t="e">
        <f t="shared" ref="H13" si="5">H11</f>
        <v>#DIV/0!</v>
      </c>
      <c r="I13" s="1">
        <v>29.557118953796401</v>
      </c>
      <c r="J13" s="1">
        <v>15.3068969179548</v>
      </c>
      <c r="K13" s="1" t="e">
        <f t="shared" si="0"/>
        <v>#DIV/0!</v>
      </c>
      <c r="L13" s="1" t="e">
        <f t="shared" si="1"/>
        <v>#DIV/0!</v>
      </c>
    </row>
    <row r="14" spans="1:12" x14ac:dyDescent="0.2">
      <c r="A14" t="s">
        <v>149</v>
      </c>
      <c r="B14" t="s">
        <v>61</v>
      </c>
      <c r="C14">
        <v>113</v>
      </c>
      <c r="D14" t="s">
        <v>4</v>
      </c>
      <c r="E14">
        <v>33.358039088642997</v>
      </c>
      <c r="F14">
        <v>33.358039088642997</v>
      </c>
      <c r="G14">
        <f>AVERAGE(E14:E16)</f>
        <v>33.389450854064101</v>
      </c>
      <c r="H14">
        <f>STDEV(E14:E16)</f>
        <v>0.28260316526110579</v>
      </c>
      <c r="I14">
        <v>29.557118953796401</v>
      </c>
      <c r="J14">
        <v>15.3068969179548</v>
      </c>
      <c r="K14">
        <f t="shared" si="0"/>
        <v>3.8323319002677003</v>
      </c>
      <c r="L14">
        <f t="shared" si="1"/>
        <v>18.082553936109299</v>
      </c>
    </row>
    <row r="15" spans="1:12" x14ac:dyDescent="0.2">
      <c r="A15" t="s">
        <v>149</v>
      </c>
      <c r="B15" t="s">
        <v>62</v>
      </c>
      <c r="C15">
        <v>113</v>
      </c>
      <c r="D15" t="s">
        <v>4</v>
      </c>
      <c r="E15">
        <v>33.6864475556089</v>
      </c>
      <c r="F15">
        <v>33.6864475556089</v>
      </c>
      <c r="G15">
        <f t="shared" ref="G15:H15" si="6">G14</f>
        <v>33.389450854064101</v>
      </c>
      <c r="H15">
        <f t="shared" si="6"/>
        <v>0.28260316526110579</v>
      </c>
      <c r="I15">
        <v>29.557118953796401</v>
      </c>
      <c r="J15">
        <v>15.3068969179548</v>
      </c>
      <c r="K15">
        <f t="shared" si="0"/>
        <v>3.8323319002677003</v>
      </c>
      <c r="L15">
        <f t="shared" si="1"/>
        <v>18.082553936109299</v>
      </c>
    </row>
    <row r="16" spans="1:12" x14ac:dyDescent="0.2">
      <c r="A16" t="s">
        <v>149</v>
      </c>
      <c r="B16" t="s">
        <v>63</v>
      </c>
      <c r="C16">
        <v>113</v>
      </c>
      <c r="D16" t="s">
        <v>4</v>
      </c>
      <c r="E16">
        <v>33.1238659179404</v>
      </c>
      <c r="F16">
        <v>33.1238659179404</v>
      </c>
      <c r="G16">
        <f t="shared" ref="G16:H16" si="7">G14</f>
        <v>33.389450854064101</v>
      </c>
      <c r="H16">
        <f t="shared" si="7"/>
        <v>0.28260316526110579</v>
      </c>
      <c r="I16">
        <v>29.557118953796401</v>
      </c>
      <c r="J16">
        <v>15.3068969179548</v>
      </c>
      <c r="K16">
        <f t="shared" si="0"/>
        <v>3.8323319002677003</v>
      </c>
      <c r="L16">
        <f t="shared" si="1"/>
        <v>18.082553936109299</v>
      </c>
    </row>
    <row r="17" spans="1:12" x14ac:dyDescent="0.2">
      <c r="A17" t="s">
        <v>149</v>
      </c>
      <c r="B17" t="s">
        <v>64</v>
      </c>
      <c r="C17">
        <v>113</v>
      </c>
      <c r="D17" t="s">
        <v>3</v>
      </c>
      <c r="F17">
        <v>28.2993599838404</v>
      </c>
      <c r="G17">
        <f>AVERAGE(E17:E19)</f>
        <v>30.136626139691</v>
      </c>
      <c r="H17">
        <f>STDEV(E17:E19)</f>
        <v>0.43730767057050995</v>
      </c>
      <c r="I17">
        <v>29.557118953796401</v>
      </c>
      <c r="J17">
        <v>15.3068969179548</v>
      </c>
      <c r="K17">
        <f t="shared" si="0"/>
        <v>0.57950718589459882</v>
      </c>
      <c r="L17">
        <f t="shared" si="1"/>
        <v>14.8297292217362</v>
      </c>
    </row>
    <row r="18" spans="1:12" x14ac:dyDescent="0.2">
      <c r="A18" t="s">
        <v>149</v>
      </c>
      <c r="B18" t="s">
        <v>65</v>
      </c>
      <c r="C18">
        <v>113</v>
      </c>
      <c r="D18" t="s">
        <v>3</v>
      </c>
      <c r="E18">
        <v>29.827402920365699</v>
      </c>
      <c r="F18">
        <v>29.827402920365699</v>
      </c>
      <c r="G18">
        <f t="shared" ref="G18:H19" si="8">G17</f>
        <v>30.136626139691</v>
      </c>
      <c r="H18">
        <f t="shared" si="8"/>
        <v>0.43730767057050995</v>
      </c>
      <c r="I18">
        <v>29.557118953796401</v>
      </c>
      <c r="J18">
        <v>15.3068969179548</v>
      </c>
      <c r="K18">
        <f t="shared" si="0"/>
        <v>0.57950718589459882</v>
      </c>
      <c r="L18">
        <f t="shared" si="1"/>
        <v>14.8297292217362</v>
      </c>
    </row>
    <row r="19" spans="1:12" x14ac:dyDescent="0.2">
      <c r="A19" t="s">
        <v>149</v>
      </c>
      <c r="B19" t="s">
        <v>66</v>
      </c>
      <c r="C19">
        <v>113</v>
      </c>
      <c r="D19" t="s">
        <v>3</v>
      </c>
      <c r="E19">
        <v>30.4458493590163</v>
      </c>
      <c r="F19">
        <v>30.4458493590163</v>
      </c>
      <c r="G19">
        <f t="shared" si="8"/>
        <v>30.136626139691</v>
      </c>
      <c r="H19">
        <f t="shared" ref="H19" si="9">H17</f>
        <v>0.43730767057050995</v>
      </c>
      <c r="I19">
        <v>29.557118953796401</v>
      </c>
      <c r="J19">
        <v>15.3068969179548</v>
      </c>
      <c r="K19">
        <f t="shared" si="0"/>
        <v>0.57950718589459882</v>
      </c>
      <c r="L19">
        <f t="shared" si="1"/>
        <v>14.8297292217362</v>
      </c>
    </row>
    <row r="20" spans="1:12" s="1" customFormat="1" x14ac:dyDescent="0.2">
      <c r="A20" s="1" t="s">
        <v>149</v>
      </c>
      <c r="B20" s="1" t="s">
        <v>67</v>
      </c>
      <c r="C20" s="1">
        <v>113</v>
      </c>
      <c r="D20" s="1" t="s">
        <v>13</v>
      </c>
      <c r="F20" s="1">
        <v>34.312332310586001</v>
      </c>
      <c r="G20" s="1" t="e">
        <f>AVERAGE(E20:E22)</f>
        <v>#DIV/0!</v>
      </c>
      <c r="H20" s="1" t="e">
        <f>STDEV(E20:E22)</f>
        <v>#DIV/0!</v>
      </c>
      <c r="I20" s="1">
        <v>29.557118953796401</v>
      </c>
      <c r="J20" s="1">
        <v>15.3068969179548</v>
      </c>
      <c r="K20" s="1" t="e">
        <f t="shared" si="0"/>
        <v>#DIV/0!</v>
      </c>
      <c r="L20" s="1" t="e">
        <f t="shared" si="1"/>
        <v>#DIV/0!</v>
      </c>
    </row>
    <row r="21" spans="1:12" s="1" customFormat="1" x14ac:dyDescent="0.2">
      <c r="A21" s="1" t="s">
        <v>149</v>
      </c>
      <c r="B21" s="1" t="s">
        <v>68</v>
      </c>
      <c r="C21" s="1">
        <v>113</v>
      </c>
      <c r="D21" s="1" t="s">
        <v>13</v>
      </c>
      <c r="F21" s="1">
        <v>36.604808110141498</v>
      </c>
      <c r="G21" s="1" t="e">
        <f t="shared" ref="G21:H21" si="10">G20</f>
        <v>#DIV/0!</v>
      </c>
      <c r="H21" s="1" t="e">
        <f t="shared" si="10"/>
        <v>#DIV/0!</v>
      </c>
      <c r="I21" s="1">
        <v>29.557118953796401</v>
      </c>
      <c r="J21" s="1">
        <v>15.3068969179548</v>
      </c>
      <c r="K21" s="1" t="e">
        <f t="shared" si="0"/>
        <v>#DIV/0!</v>
      </c>
      <c r="L21" s="1" t="e">
        <f t="shared" si="1"/>
        <v>#DIV/0!</v>
      </c>
    </row>
    <row r="22" spans="1:12" s="1" customFormat="1" x14ac:dyDescent="0.2">
      <c r="A22" s="1" t="s">
        <v>149</v>
      </c>
      <c r="B22" s="1" t="s">
        <v>69</v>
      </c>
      <c r="C22" s="1">
        <v>113</v>
      </c>
      <c r="D22" s="1" t="s">
        <v>13</v>
      </c>
      <c r="F22" s="1">
        <v>38.548268745402602</v>
      </c>
      <c r="G22" s="1" t="e">
        <f t="shared" ref="G22:H22" si="11">G20</f>
        <v>#DIV/0!</v>
      </c>
      <c r="H22" s="1" t="e">
        <f t="shared" si="11"/>
        <v>#DIV/0!</v>
      </c>
      <c r="I22" s="1">
        <v>29.557118953796401</v>
      </c>
      <c r="J22" s="1">
        <v>15.3068969179548</v>
      </c>
      <c r="K22" s="1" t="e">
        <f t="shared" si="0"/>
        <v>#DIV/0!</v>
      </c>
      <c r="L22" s="1" t="e">
        <f t="shared" si="1"/>
        <v>#DIV/0!</v>
      </c>
    </row>
    <row r="23" spans="1:12" s="1" customFormat="1" x14ac:dyDescent="0.2">
      <c r="A23" s="1" t="s">
        <v>149</v>
      </c>
      <c r="B23" s="1" t="s">
        <v>70</v>
      </c>
      <c r="C23" s="1">
        <v>113</v>
      </c>
      <c r="D23" s="1" t="s">
        <v>7</v>
      </c>
      <c r="F23" s="1" t="s">
        <v>155</v>
      </c>
      <c r="G23" s="1" t="e">
        <f>AVERAGE(E23:E25)</f>
        <v>#DIV/0!</v>
      </c>
      <c r="H23" s="1" t="e">
        <f>STDEV(E23:E25)</f>
        <v>#DIV/0!</v>
      </c>
      <c r="I23" s="1">
        <v>29.557118953796401</v>
      </c>
      <c r="J23" s="1">
        <v>15.3068969179548</v>
      </c>
      <c r="K23" s="1" t="e">
        <f t="shared" si="0"/>
        <v>#DIV/0!</v>
      </c>
      <c r="L23" s="1" t="e">
        <f t="shared" si="1"/>
        <v>#DIV/0!</v>
      </c>
    </row>
    <row r="24" spans="1:12" s="1" customFormat="1" x14ac:dyDescent="0.2">
      <c r="A24" s="1" t="s">
        <v>149</v>
      </c>
      <c r="B24" s="1" t="s">
        <v>71</v>
      </c>
      <c r="C24" s="1">
        <v>113</v>
      </c>
      <c r="D24" s="1" t="s">
        <v>7</v>
      </c>
      <c r="F24" s="1">
        <v>33.7090032402837</v>
      </c>
      <c r="G24" s="1" t="e">
        <f t="shared" ref="G24:H25" si="12">G23</f>
        <v>#DIV/0!</v>
      </c>
      <c r="H24" s="1" t="e">
        <f t="shared" si="12"/>
        <v>#DIV/0!</v>
      </c>
      <c r="I24" s="1">
        <v>29.557118953796401</v>
      </c>
      <c r="J24" s="1">
        <v>15.3068969179548</v>
      </c>
      <c r="K24" s="1" t="e">
        <f t="shared" si="0"/>
        <v>#DIV/0!</v>
      </c>
      <c r="L24" s="1" t="e">
        <f t="shared" si="1"/>
        <v>#DIV/0!</v>
      </c>
    </row>
    <row r="25" spans="1:12" s="1" customFormat="1" x14ac:dyDescent="0.2">
      <c r="A25" s="1" t="s">
        <v>149</v>
      </c>
      <c r="B25" s="1" t="s">
        <v>72</v>
      </c>
      <c r="C25" s="1">
        <v>113</v>
      </c>
      <c r="D25" s="1" t="s">
        <v>7</v>
      </c>
      <c r="F25" s="1">
        <v>36.207719111364803</v>
      </c>
      <c r="G25" s="1" t="e">
        <f t="shared" si="12"/>
        <v>#DIV/0!</v>
      </c>
      <c r="H25" s="1" t="e">
        <f t="shared" ref="H25" si="13">H23</f>
        <v>#DIV/0!</v>
      </c>
      <c r="I25" s="1">
        <v>29.557118953796401</v>
      </c>
      <c r="J25" s="1">
        <v>15.3068969179548</v>
      </c>
      <c r="K25" s="1" t="e">
        <f t="shared" si="0"/>
        <v>#DIV/0!</v>
      </c>
      <c r="L25" s="1" t="e">
        <f t="shared" si="1"/>
        <v>#DIV/0!</v>
      </c>
    </row>
    <row r="26" spans="1:12" x14ac:dyDescent="0.2">
      <c r="A26" t="s">
        <v>149</v>
      </c>
      <c r="B26" t="s">
        <v>73</v>
      </c>
      <c r="C26">
        <v>115</v>
      </c>
      <c r="D26" t="s">
        <v>1</v>
      </c>
      <c r="E26">
        <v>29.914096663023798</v>
      </c>
      <c r="F26">
        <v>29.914096663023798</v>
      </c>
      <c r="G26">
        <f>AVERAGE(E26:E28)</f>
        <v>29.961497268393032</v>
      </c>
      <c r="H26">
        <f>STDEV(E26:E28)</f>
        <v>0.22294653852076413</v>
      </c>
      <c r="I26">
        <f>G26</f>
        <v>29.961497268393032</v>
      </c>
      <c r="J26">
        <f>G29</f>
        <v>17.65761131739637</v>
      </c>
      <c r="K26">
        <f t="shared" si="0"/>
        <v>0</v>
      </c>
      <c r="L26">
        <f t="shared" si="1"/>
        <v>12.303885950996662</v>
      </c>
    </row>
    <row r="27" spans="1:12" x14ac:dyDescent="0.2">
      <c r="A27" t="s">
        <v>149</v>
      </c>
      <c r="B27" t="s">
        <v>74</v>
      </c>
      <c r="C27">
        <v>115</v>
      </c>
      <c r="D27" t="s">
        <v>1</v>
      </c>
      <c r="E27">
        <v>30.204332337822599</v>
      </c>
      <c r="F27">
        <v>30.204332337822599</v>
      </c>
      <c r="G27">
        <f t="shared" ref="G27:H27" si="14">G26</f>
        <v>29.961497268393032</v>
      </c>
      <c r="H27">
        <f t="shared" si="14"/>
        <v>0.22294653852076413</v>
      </c>
      <c r="I27">
        <v>29.961497268393032</v>
      </c>
      <c r="J27">
        <v>17.65761131739637</v>
      </c>
      <c r="K27">
        <f t="shared" si="0"/>
        <v>0</v>
      </c>
      <c r="L27">
        <f t="shared" si="1"/>
        <v>12.303885950996662</v>
      </c>
    </row>
    <row r="28" spans="1:12" x14ac:dyDescent="0.2">
      <c r="A28" t="s">
        <v>149</v>
      </c>
      <c r="B28" t="s">
        <v>75</v>
      </c>
      <c r="C28">
        <v>115</v>
      </c>
      <c r="D28" t="s">
        <v>1</v>
      </c>
      <c r="E28">
        <v>29.766062804332702</v>
      </c>
      <c r="F28">
        <v>29.766062804332702</v>
      </c>
      <c r="G28">
        <f t="shared" ref="G28:H28" si="15">G26</f>
        <v>29.961497268393032</v>
      </c>
      <c r="H28">
        <f t="shared" si="15"/>
        <v>0.22294653852076413</v>
      </c>
      <c r="I28">
        <v>29.961497268393032</v>
      </c>
      <c r="J28">
        <v>17.65761131739637</v>
      </c>
      <c r="K28">
        <f t="shared" si="0"/>
        <v>0</v>
      </c>
      <c r="L28">
        <f t="shared" si="1"/>
        <v>12.303885950996662</v>
      </c>
    </row>
    <row r="29" spans="1:12" x14ac:dyDescent="0.2">
      <c r="A29" t="s">
        <v>149</v>
      </c>
      <c r="B29" t="s">
        <v>76</v>
      </c>
      <c r="C29">
        <v>115</v>
      </c>
      <c r="D29" t="s">
        <v>2</v>
      </c>
      <c r="E29">
        <v>17.527464809189301</v>
      </c>
      <c r="F29">
        <v>17.527464809189301</v>
      </c>
      <c r="G29">
        <f>AVERAGE(E29:E31)</f>
        <v>17.65761131739637</v>
      </c>
      <c r="H29">
        <f>STDEV(E29:E31)</f>
        <v>0.11278008639882929</v>
      </c>
      <c r="I29">
        <v>29.961497268393</v>
      </c>
      <c r="J29">
        <v>17.657611317396402</v>
      </c>
      <c r="K29">
        <f t="shared" si="0"/>
        <v>-12.30388595099663</v>
      </c>
      <c r="L29">
        <f t="shared" si="1"/>
        <v>-3.1974423109204508E-14</v>
      </c>
    </row>
    <row r="30" spans="1:12" x14ac:dyDescent="0.2">
      <c r="A30" t="s">
        <v>149</v>
      </c>
      <c r="B30" t="s">
        <v>77</v>
      </c>
      <c r="C30">
        <v>115</v>
      </c>
      <c r="D30" t="s">
        <v>2</v>
      </c>
      <c r="E30">
        <v>17.726654796840901</v>
      </c>
      <c r="F30">
        <v>17.726654796840901</v>
      </c>
      <c r="G30">
        <f t="shared" ref="G30:H31" si="16">G29</f>
        <v>17.65761131739637</v>
      </c>
      <c r="H30">
        <f t="shared" si="16"/>
        <v>0.11278008639882929</v>
      </c>
      <c r="I30">
        <v>29.961497268393</v>
      </c>
      <c r="J30">
        <v>17.657611317396402</v>
      </c>
      <c r="K30">
        <f t="shared" si="0"/>
        <v>-12.30388595099663</v>
      </c>
      <c r="L30">
        <f t="shared" si="1"/>
        <v>-3.1974423109204508E-14</v>
      </c>
    </row>
    <row r="31" spans="1:12" x14ac:dyDescent="0.2">
      <c r="A31" t="s">
        <v>149</v>
      </c>
      <c r="B31" t="s">
        <v>78</v>
      </c>
      <c r="C31">
        <v>115</v>
      </c>
      <c r="D31" t="s">
        <v>2</v>
      </c>
      <c r="E31">
        <v>17.718714346158901</v>
      </c>
      <c r="F31">
        <v>17.718714346158901</v>
      </c>
      <c r="G31">
        <f t="shared" si="16"/>
        <v>17.65761131739637</v>
      </c>
      <c r="H31">
        <f t="shared" ref="H31" si="17">H29</f>
        <v>0.11278008639882929</v>
      </c>
      <c r="I31">
        <v>29.961497268393</v>
      </c>
      <c r="J31">
        <v>17.657611317396402</v>
      </c>
      <c r="K31">
        <f t="shared" si="0"/>
        <v>-12.30388595099663</v>
      </c>
      <c r="L31">
        <f t="shared" si="1"/>
        <v>-3.1974423109204508E-14</v>
      </c>
    </row>
    <row r="32" spans="1:12" x14ac:dyDescent="0.2">
      <c r="A32" t="s">
        <v>149</v>
      </c>
      <c r="B32" t="s">
        <v>79</v>
      </c>
      <c r="C32">
        <v>115</v>
      </c>
      <c r="D32" t="s">
        <v>14</v>
      </c>
      <c r="F32">
        <v>36.407532284374</v>
      </c>
      <c r="G32">
        <f>AVERAGE(E32:E34)</f>
        <v>32.573094497590752</v>
      </c>
      <c r="H32">
        <f>STDEV(E32:E34)</f>
        <v>0.38614058146815455</v>
      </c>
      <c r="I32">
        <v>29.961497268393</v>
      </c>
      <c r="J32">
        <v>17.657611317396402</v>
      </c>
      <c r="K32">
        <f t="shared" si="0"/>
        <v>2.6115972291977521</v>
      </c>
      <c r="L32">
        <f t="shared" si="1"/>
        <v>14.91548318019435</v>
      </c>
    </row>
    <row r="33" spans="1:12" x14ac:dyDescent="0.2">
      <c r="A33" t="s">
        <v>149</v>
      </c>
      <c r="B33" t="s">
        <v>80</v>
      </c>
      <c r="C33">
        <v>115</v>
      </c>
      <c r="D33" t="s">
        <v>14</v>
      </c>
      <c r="E33">
        <v>32.846137121238201</v>
      </c>
      <c r="F33">
        <v>32.846137121238201</v>
      </c>
      <c r="G33">
        <f t="shared" ref="G33:H33" si="18">G32</f>
        <v>32.573094497590752</v>
      </c>
      <c r="H33">
        <f t="shared" si="18"/>
        <v>0.38614058146815455</v>
      </c>
      <c r="I33">
        <v>29.961497268393</v>
      </c>
      <c r="J33">
        <v>17.657611317396402</v>
      </c>
      <c r="K33">
        <f t="shared" si="0"/>
        <v>2.6115972291977521</v>
      </c>
      <c r="L33">
        <f t="shared" si="1"/>
        <v>14.91548318019435</v>
      </c>
    </row>
    <row r="34" spans="1:12" x14ac:dyDescent="0.2">
      <c r="A34" t="s">
        <v>149</v>
      </c>
      <c r="B34" t="s">
        <v>81</v>
      </c>
      <c r="C34">
        <v>115</v>
      </c>
      <c r="D34" t="s">
        <v>14</v>
      </c>
      <c r="E34">
        <v>32.300051873943303</v>
      </c>
      <c r="F34">
        <v>32.300051873943303</v>
      </c>
      <c r="G34">
        <f t="shared" ref="G34:H34" si="19">G32</f>
        <v>32.573094497590752</v>
      </c>
      <c r="H34">
        <f t="shared" si="19"/>
        <v>0.38614058146815455</v>
      </c>
      <c r="I34">
        <v>29.961497268393</v>
      </c>
      <c r="J34">
        <v>17.657611317396402</v>
      </c>
      <c r="K34">
        <f t="shared" si="0"/>
        <v>2.6115972291977521</v>
      </c>
      <c r="L34">
        <f t="shared" si="1"/>
        <v>14.91548318019435</v>
      </c>
    </row>
    <row r="35" spans="1:12" x14ac:dyDescent="0.2">
      <c r="A35" t="s">
        <v>149</v>
      </c>
      <c r="B35" t="s">
        <v>82</v>
      </c>
      <c r="C35">
        <v>122</v>
      </c>
      <c r="D35" t="s">
        <v>1</v>
      </c>
      <c r="F35" t="s">
        <v>155</v>
      </c>
      <c r="G35">
        <f>AVERAGE(E35:E37)</f>
        <v>30.0601988492967</v>
      </c>
      <c r="H35">
        <f>STDEV(E35:E37)</f>
        <v>1.388606424086124</v>
      </c>
      <c r="I35">
        <f>G35</f>
        <v>30.0601988492967</v>
      </c>
      <c r="J35">
        <f>G38</f>
        <v>16.082131715863699</v>
      </c>
      <c r="K35">
        <f t="shared" si="0"/>
        <v>0</v>
      </c>
      <c r="L35">
        <f t="shared" si="1"/>
        <v>13.978067133433001</v>
      </c>
    </row>
    <row r="36" spans="1:12" x14ac:dyDescent="0.2">
      <c r="A36" t="s">
        <v>149</v>
      </c>
      <c r="B36" t="s">
        <v>83</v>
      </c>
      <c r="C36">
        <v>122</v>
      </c>
      <c r="D36" t="s">
        <v>1</v>
      </c>
      <c r="E36">
        <v>31.042091868167201</v>
      </c>
      <c r="F36">
        <v>31.042091868167201</v>
      </c>
      <c r="G36">
        <f>G35</f>
        <v>30.0601988492967</v>
      </c>
      <c r="H36">
        <f t="shared" ref="H36" si="20">H35</f>
        <v>1.388606424086124</v>
      </c>
      <c r="I36">
        <v>30.0601988492967</v>
      </c>
      <c r="J36">
        <v>16.082131715863699</v>
      </c>
      <c r="K36">
        <f t="shared" si="0"/>
        <v>0</v>
      </c>
      <c r="L36">
        <f t="shared" si="1"/>
        <v>13.978067133433001</v>
      </c>
    </row>
    <row r="37" spans="1:12" x14ac:dyDescent="0.2">
      <c r="A37" t="s">
        <v>149</v>
      </c>
      <c r="B37" t="s">
        <v>84</v>
      </c>
      <c r="C37">
        <v>122</v>
      </c>
      <c r="D37" t="s">
        <v>1</v>
      </c>
      <c r="E37">
        <v>29.078305830426199</v>
      </c>
      <c r="F37">
        <v>29.078305830426199</v>
      </c>
      <c r="G37">
        <f>G35</f>
        <v>30.0601988492967</v>
      </c>
      <c r="H37">
        <f t="shared" ref="H37" si="21">H35</f>
        <v>1.388606424086124</v>
      </c>
      <c r="I37">
        <v>30.0601988492967</v>
      </c>
      <c r="J37">
        <v>16.082131715863699</v>
      </c>
      <c r="K37">
        <f t="shared" si="0"/>
        <v>0</v>
      </c>
      <c r="L37">
        <f t="shared" si="1"/>
        <v>13.978067133433001</v>
      </c>
    </row>
    <row r="38" spans="1:12" x14ac:dyDescent="0.2">
      <c r="A38" t="s">
        <v>149</v>
      </c>
      <c r="B38" t="s">
        <v>85</v>
      </c>
      <c r="C38">
        <v>122</v>
      </c>
      <c r="D38" t="s">
        <v>2</v>
      </c>
      <c r="E38">
        <v>16.181917576135699</v>
      </c>
      <c r="F38">
        <v>16.181917576135699</v>
      </c>
      <c r="G38">
        <f>AVERAGE(E38:E40)</f>
        <v>16.082131715863699</v>
      </c>
      <c r="H38">
        <f>STDEV(E38:E40)</f>
        <v>8.6762911637315351E-2</v>
      </c>
      <c r="I38">
        <v>30.0601988492967</v>
      </c>
      <c r="J38">
        <v>16.082131715863699</v>
      </c>
      <c r="K38">
        <f t="shared" si="0"/>
        <v>-13.978067133433001</v>
      </c>
      <c r="L38">
        <f t="shared" si="1"/>
        <v>0</v>
      </c>
    </row>
    <row r="39" spans="1:12" x14ac:dyDescent="0.2">
      <c r="A39" t="s">
        <v>149</v>
      </c>
      <c r="B39" t="s">
        <v>86</v>
      </c>
      <c r="C39">
        <v>122</v>
      </c>
      <c r="D39" t="s">
        <v>2</v>
      </c>
      <c r="E39">
        <v>16.0244999613262</v>
      </c>
      <c r="F39">
        <v>16.0244999613262</v>
      </c>
      <c r="G39">
        <f t="shared" ref="G39:H39" si="22">G38</f>
        <v>16.082131715863699</v>
      </c>
      <c r="H39">
        <f t="shared" si="22"/>
        <v>8.6762911637315351E-2</v>
      </c>
      <c r="I39">
        <v>30.0601988492967</v>
      </c>
      <c r="J39">
        <v>16.082131715863699</v>
      </c>
      <c r="K39">
        <f t="shared" si="0"/>
        <v>-13.978067133433001</v>
      </c>
      <c r="L39">
        <f t="shared" si="1"/>
        <v>0</v>
      </c>
    </row>
    <row r="40" spans="1:12" x14ac:dyDescent="0.2">
      <c r="A40" t="s">
        <v>149</v>
      </c>
      <c r="B40" t="s">
        <v>87</v>
      </c>
      <c r="C40">
        <v>122</v>
      </c>
      <c r="D40" t="s">
        <v>2</v>
      </c>
      <c r="E40">
        <v>16.039977610129199</v>
      </c>
      <c r="F40">
        <v>16.039977610129199</v>
      </c>
      <c r="G40">
        <f t="shared" ref="G40:H40" si="23">G38</f>
        <v>16.082131715863699</v>
      </c>
      <c r="H40">
        <f t="shared" si="23"/>
        <v>8.6762911637315351E-2</v>
      </c>
      <c r="I40">
        <v>30.0601988492967</v>
      </c>
      <c r="J40">
        <v>16.082131715863699</v>
      </c>
      <c r="K40">
        <f t="shared" si="0"/>
        <v>-13.978067133433001</v>
      </c>
      <c r="L40">
        <f t="shared" si="1"/>
        <v>0</v>
      </c>
    </row>
    <row r="41" spans="1:12" s="1" customFormat="1" x14ac:dyDescent="0.2">
      <c r="A41" s="1" t="s">
        <v>149</v>
      </c>
      <c r="B41" s="1" t="s">
        <v>88</v>
      </c>
      <c r="C41" s="1">
        <v>122</v>
      </c>
      <c r="D41" s="1" t="s">
        <v>14</v>
      </c>
      <c r="F41" s="1" t="s">
        <v>155</v>
      </c>
      <c r="G41" s="1" t="e">
        <f>AVERAGE(E41:E43)</f>
        <v>#DIV/0!</v>
      </c>
      <c r="H41" s="1" t="e">
        <f>STDEV(E41:E43)</f>
        <v>#DIV/0!</v>
      </c>
      <c r="I41" s="1">
        <v>30.0601988492967</v>
      </c>
      <c r="J41" s="1">
        <v>16.082131715863699</v>
      </c>
      <c r="K41" s="1" t="e">
        <f t="shared" si="0"/>
        <v>#DIV/0!</v>
      </c>
      <c r="L41" s="1" t="e">
        <f t="shared" si="1"/>
        <v>#DIV/0!</v>
      </c>
    </row>
    <row r="42" spans="1:12" s="1" customFormat="1" x14ac:dyDescent="0.2">
      <c r="A42" s="1" t="s">
        <v>149</v>
      </c>
      <c r="B42" s="1" t="s">
        <v>89</v>
      </c>
      <c r="C42" s="1">
        <v>122</v>
      </c>
      <c r="D42" s="1" t="s">
        <v>14</v>
      </c>
      <c r="F42" s="1" t="s">
        <v>155</v>
      </c>
      <c r="G42" s="1" t="e">
        <f t="shared" ref="G42:H43" si="24">G41</f>
        <v>#DIV/0!</v>
      </c>
      <c r="H42" s="1" t="e">
        <f t="shared" si="24"/>
        <v>#DIV/0!</v>
      </c>
      <c r="I42" s="1">
        <v>30.0601988492967</v>
      </c>
      <c r="J42" s="1">
        <v>16.082131715863699</v>
      </c>
      <c r="K42" s="1" t="e">
        <f t="shared" si="0"/>
        <v>#DIV/0!</v>
      </c>
      <c r="L42" s="1" t="e">
        <f t="shared" si="1"/>
        <v>#DIV/0!</v>
      </c>
    </row>
    <row r="43" spans="1:12" s="1" customFormat="1" x14ac:dyDescent="0.2">
      <c r="A43" s="1" t="s">
        <v>149</v>
      </c>
      <c r="B43" s="1" t="s">
        <v>90</v>
      </c>
      <c r="C43" s="1">
        <v>122</v>
      </c>
      <c r="D43" s="1" t="s">
        <v>14</v>
      </c>
      <c r="F43" s="1" t="s">
        <v>155</v>
      </c>
      <c r="G43" s="1" t="e">
        <f t="shared" si="24"/>
        <v>#DIV/0!</v>
      </c>
      <c r="H43" s="1" t="e">
        <f t="shared" ref="H43" si="25">H41</f>
        <v>#DIV/0!</v>
      </c>
      <c r="I43" s="1">
        <v>30.0601988492967</v>
      </c>
      <c r="J43" s="1">
        <v>16.082131715863699</v>
      </c>
      <c r="K43" s="1" t="e">
        <f t="shared" si="0"/>
        <v>#DIV/0!</v>
      </c>
      <c r="L43" s="1" t="e">
        <f t="shared" si="1"/>
        <v>#DIV/0!</v>
      </c>
    </row>
    <row r="44" spans="1:12" x14ac:dyDescent="0.2">
      <c r="A44" t="s">
        <v>149</v>
      </c>
      <c r="B44" t="s">
        <v>91</v>
      </c>
      <c r="C44">
        <v>122</v>
      </c>
      <c r="D44" t="s">
        <v>10</v>
      </c>
      <c r="E44">
        <v>37.065287879515502</v>
      </c>
      <c r="F44">
        <v>37.065287879515502</v>
      </c>
      <c r="G44">
        <f>AVERAGE(E44:E46)</f>
        <v>37.427087775779498</v>
      </c>
      <c r="H44">
        <f>STDEV(E44:E46)</f>
        <v>0.51166232016172697</v>
      </c>
      <c r="I44">
        <v>30.0601988492967</v>
      </c>
      <c r="J44">
        <v>16.082131715863699</v>
      </c>
      <c r="K44">
        <f t="shared" si="0"/>
        <v>7.3668889264827975</v>
      </c>
      <c r="L44">
        <f t="shared" si="1"/>
        <v>21.344956059915798</v>
      </c>
    </row>
    <row r="45" spans="1:12" x14ac:dyDescent="0.2">
      <c r="A45" t="s">
        <v>149</v>
      </c>
      <c r="B45" t="s">
        <v>92</v>
      </c>
      <c r="C45">
        <v>122</v>
      </c>
      <c r="D45" t="s">
        <v>10</v>
      </c>
      <c r="F45">
        <v>39.439525178985697</v>
      </c>
      <c r="G45">
        <f t="shared" ref="G45:H45" si="26">G44</f>
        <v>37.427087775779498</v>
      </c>
      <c r="H45">
        <f t="shared" si="26"/>
        <v>0.51166232016172697</v>
      </c>
      <c r="I45">
        <v>30.0601988492967</v>
      </c>
      <c r="J45">
        <v>16.082131715863699</v>
      </c>
      <c r="K45">
        <f t="shared" si="0"/>
        <v>7.3668889264827975</v>
      </c>
      <c r="L45">
        <f t="shared" si="1"/>
        <v>21.344956059915798</v>
      </c>
    </row>
    <row r="46" spans="1:12" x14ac:dyDescent="0.2">
      <c r="A46" t="s">
        <v>149</v>
      </c>
      <c r="B46" t="s">
        <v>93</v>
      </c>
      <c r="C46">
        <v>122</v>
      </c>
      <c r="D46" t="s">
        <v>10</v>
      </c>
      <c r="E46">
        <v>37.788887672043501</v>
      </c>
      <c r="F46">
        <v>37.788887672043501</v>
      </c>
      <c r="G46">
        <f t="shared" ref="G46:H46" si="27">G44</f>
        <v>37.427087775779498</v>
      </c>
      <c r="H46">
        <f t="shared" si="27"/>
        <v>0.51166232016172697</v>
      </c>
      <c r="I46">
        <v>30.0601988492967</v>
      </c>
      <c r="J46">
        <v>16.082131715863699</v>
      </c>
      <c r="K46">
        <f t="shared" si="0"/>
        <v>7.3668889264827975</v>
      </c>
      <c r="L46">
        <f t="shared" si="1"/>
        <v>21.344956059915798</v>
      </c>
    </row>
    <row r="47" spans="1:12" s="1" customFormat="1" x14ac:dyDescent="0.2">
      <c r="A47" s="1" t="s">
        <v>149</v>
      </c>
      <c r="B47" s="1" t="s">
        <v>94</v>
      </c>
      <c r="C47" s="1">
        <v>122</v>
      </c>
      <c r="D47" s="1" t="s">
        <v>13</v>
      </c>
      <c r="F47" s="1" t="s">
        <v>155</v>
      </c>
      <c r="G47" s="1" t="e">
        <f>AVERAGE(E47:E49)</f>
        <v>#DIV/0!</v>
      </c>
      <c r="H47" s="1" t="e">
        <f>STDEV(E47:E49)</f>
        <v>#DIV/0!</v>
      </c>
      <c r="I47" s="1">
        <v>30.0601988492967</v>
      </c>
      <c r="J47" s="1">
        <v>16.082131715863699</v>
      </c>
      <c r="K47" s="1" t="e">
        <f t="shared" si="0"/>
        <v>#DIV/0!</v>
      </c>
      <c r="L47" s="1" t="e">
        <f t="shared" si="1"/>
        <v>#DIV/0!</v>
      </c>
    </row>
    <row r="48" spans="1:12" s="1" customFormat="1" x14ac:dyDescent="0.2">
      <c r="A48" s="1" t="s">
        <v>149</v>
      </c>
      <c r="B48" s="1" t="s">
        <v>95</v>
      </c>
      <c r="C48" s="1">
        <v>122</v>
      </c>
      <c r="D48" s="1" t="s">
        <v>13</v>
      </c>
      <c r="F48" s="1" t="s">
        <v>155</v>
      </c>
      <c r="G48" s="1" t="e">
        <f t="shared" ref="G48:H49" si="28">G47</f>
        <v>#DIV/0!</v>
      </c>
      <c r="H48" s="1" t="e">
        <f t="shared" si="28"/>
        <v>#DIV/0!</v>
      </c>
      <c r="I48" s="1">
        <v>30.0601988492967</v>
      </c>
      <c r="J48" s="1">
        <v>16.082131715863699</v>
      </c>
      <c r="K48" s="1" t="e">
        <f t="shared" si="0"/>
        <v>#DIV/0!</v>
      </c>
      <c r="L48" s="1" t="e">
        <f t="shared" si="1"/>
        <v>#DIV/0!</v>
      </c>
    </row>
    <row r="49" spans="1:12" s="1" customFormat="1" x14ac:dyDescent="0.2">
      <c r="A49" s="1" t="s">
        <v>149</v>
      </c>
      <c r="B49" s="1" t="s">
        <v>96</v>
      </c>
      <c r="C49" s="1">
        <v>122</v>
      </c>
      <c r="D49" s="1" t="s">
        <v>13</v>
      </c>
      <c r="F49" s="1" t="s">
        <v>155</v>
      </c>
      <c r="G49" s="1" t="e">
        <f t="shared" si="28"/>
        <v>#DIV/0!</v>
      </c>
      <c r="H49" s="1" t="e">
        <f t="shared" ref="H49" si="29">H47</f>
        <v>#DIV/0!</v>
      </c>
      <c r="I49" s="1">
        <v>30.0601988492967</v>
      </c>
      <c r="J49" s="1">
        <v>16.082131715863699</v>
      </c>
      <c r="K49" s="1" t="e">
        <f t="shared" si="0"/>
        <v>#DIV/0!</v>
      </c>
      <c r="L49" s="1" t="e">
        <f t="shared" si="1"/>
        <v>#DIV/0!</v>
      </c>
    </row>
    <row r="50" spans="1:12" x14ac:dyDescent="0.2">
      <c r="A50" t="s">
        <v>149</v>
      </c>
      <c r="B50" t="s">
        <v>97</v>
      </c>
      <c r="C50">
        <v>122</v>
      </c>
      <c r="D50" t="s">
        <v>5</v>
      </c>
      <c r="E50">
        <v>31.232239173405201</v>
      </c>
      <c r="F50">
        <v>31.232239173405201</v>
      </c>
      <c r="G50">
        <f>AVERAGE(E50:E52)</f>
        <v>31.294246011930198</v>
      </c>
      <c r="H50">
        <f>STDEV(E50:E52)</f>
        <v>8.7690912001932103E-2</v>
      </c>
      <c r="I50">
        <v>30.0601988492967</v>
      </c>
      <c r="J50">
        <v>16.082131715863699</v>
      </c>
      <c r="K50">
        <f t="shared" si="0"/>
        <v>1.2340471626334981</v>
      </c>
      <c r="L50">
        <f t="shared" si="1"/>
        <v>15.212114296066499</v>
      </c>
    </row>
    <row r="51" spans="1:12" x14ac:dyDescent="0.2">
      <c r="A51" t="s">
        <v>149</v>
      </c>
      <c r="B51" t="s">
        <v>98</v>
      </c>
      <c r="C51">
        <v>122</v>
      </c>
      <c r="D51" t="s">
        <v>5</v>
      </c>
      <c r="F51">
        <v>32.989406932808102</v>
      </c>
      <c r="G51">
        <f t="shared" ref="G51:H51" si="30">G50</f>
        <v>31.294246011930198</v>
      </c>
      <c r="H51">
        <f t="shared" si="30"/>
        <v>8.7690912001932103E-2</v>
      </c>
      <c r="I51">
        <v>30.0601988492967</v>
      </c>
      <c r="J51">
        <v>16.082131715863699</v>
      </c>
      <c r="K51">
        <f t="shared" si="0"/>
        <v>1.2340471626334981</v>
      </c>
      <c r="L51">
        <f t="shared" si="1"/>
        <v>15.212114296066499</v>
      </c>
    </row>
    <row r="52" spans="1:12" x14ac:dyDescent="0.2">
      <c r="A52" t="s">
        <v>149</v>
      </c>
      <c r="B52" t="s">
        <v>99</v>
      </c>
      <c r="C52">
        <v>122</v>
      </c>
      <c r="D52" t="s">
        <v>5</v>
      </c>
      <c r="E52">
        <v>31.356252850455199</v>
      </c>
      <c r="F52">
        <v>31.356252850455199</v>
      </c>
      <c r="G52">
        <f t="shared" ref="G52:H52" si="31">G50</f>
        <v>31.294246011930198</v>
      </c>
      <c r="H52">
        <f t="shared" si="31"/>
        <v>8.7690912001932103E-2</v>
      </c>
      <c r="I52">
        <v>30.0601988492967</v>
      </c>
      <c r="J52">
        <v>16.082131715863699</v>
      </c>
      <c r="K52">
        <f t="shared" si="0"/>
        <v>1.2340471626334981</v>
      </c>
      <c r="L52">
        <f t="shared" si="1"/>
        <v>15.212114296066499</v>
      </c>
    </row>
    <row r="53" spans="1:12" x14ac:dyDescent="0.2">
      <c r="A53" t="s">
        <v>149</v>
      </c>
      <c r="B53" t="s">
        <v>100</v>
      </c>
      <c r="C53">
        <v>129</v>
      </c>
      <c r="D53" t="s">
        <v>1</v>
      </c>
      <c r="E53">
        <v>29.503676993696001</v>
      </c>
      <c r="F53">
        <v>29.503676993696001</v>
      </c>
      <c r="G53">
        <f>AVERAGE(E53:E55)</f>
        <v>29.607088113282252</v>
      </c>
      <c r="H53">
        <f>STDEV(E53:E55)</f>
        <v>0.14624540781906034</v>
      </c>
      <c r="I53">
        <f>G53</f>
        <v>29.607088113282252</v>
      </c>
      <c r="J53">
        <f>G56</f>
        <v>16.525333145340134</v>
      </c>
      <c r="K53">
        <f t="shared" si="0"/>
        <v>0</v>
      </c>
      <c r="L53">
        <f t="shared" si="1"/>
        <v>13.081754967942118</v>
      </c>
    </row>
    <row r="54" spans="1:12" x14ac:dyDescent="0.2">
      <c r="A54" t="s">
        <v>149</v>
      </c>
      <c r="B54" t="s">
        <v>101</v>
      </c>
      <c r="C54">
        <v>129</v>
      </c>
      <c r="D54" t="s">
        <v>1</v>
      </c>
      <c r="F54">
        <v>28.104029108854998</v>
      </c>
      <c r="G54">
        <f t="shared" ref="G54:H55" si="32">G53</f>
        <v>29.607088113282252</v>
      </c>
      <c r="H54">
        <f t="shared" si="32"/>
        <v>0.14624540781906034</v>
      </c>
      <c r="I54">
        <v>29.607088113282252</v>
      </c>
      <c r="J54">
        <v>16.525333145340134</v>
      </c>
      <c r="K54">
        <f t="shared" si="0"/>
        <v>0</v>
      </c>
      <c r="L54">
        <f t="shared" si="1"/>
        <v>13.081754967942118</v>
      </c>
    </row>
    <row r="55" spans="1:12" x14ac:dyDescent="0.2">
      <c r="A55" t="s">
        <v>149</v>
      </c>
      <c r="B55" t="s">
        <v>102</v>
      </c>
      <c r="C55">
        <v>129</v>
      </c>
      <c r="D55" t="s">
        <v>1</v>
      </c>
      <c r="E55">
        <v>29.7104992328685</v>
      </c>
      <c r="F55">
        <v>29.7104992328685</v>
      </c>
      <c r="G55">
        <f t="shared" si="32"/>
        <v>29.607088113282252</v>
      </c>
      <c r="H55">
        <f t="shared" ref="H55" si="33">H53</f>
        <v>0.14624540781906034</v>
      </c>
      <c r="I55">
        <v>29.607088113282252</v>
      </c>
      <c r="J55">
        <v>16.525333145340134</v>
      </c>
      <c r="K55">
        <f t="shared" si="0"/>
        <v>0</v>
      </c>
      <c r="L55">
        <f t="shared" si="1"/>
        <v>13.081754967942118</v>
      </c>
    </row>
    <row r="56" spans="1:12" x14ac:dyDescent="0.2">
      <c r="A56" t="s">
        <v>149</v>
      </c>
      <c r="B56" t="s">
        <v>103</v>
      </c>
      <c r="C56">
        <v>129</v>
      </c>
      <c r="D56" t="s">
        <v>2</v>
      </c>
      <c r="E56">
        <v>16.5380478144112</v>
      </c>
      <c r="F56">
        <v>16.5380478144112</v>
      </c>
      <c r="G56">
        <f>AVERAGE(E56:E58)</f>
        <v>16.525333145340134</v>
      </c>
      <c r="H56">
        <f>STDEV(E56:E58)</f>
        <v>1.8152962051176252E-2</v>
      </c>
      <c r="I56">
        <v>29.607088113282298</v>
      </c>
      <c r="J56">
        <v>16.525333145340099</v>
      </c>
      <c r="K56">
        <f t="shared" si="0"/>
        <v>-13.081754967942164</v>
      </c>
      <c r="L56">
        <f t="shared" si="1"/>
        <v>3.5527136788005009E-14</v>
      </c>
    </row>
    <row r="57" spans="1:12" x14ac:dyDescent="0.2">
      <c r="A57" t="s">
        <v>149</v>
      </c>
      <c r="B57" t="s">
        <v>104</v>
      </c>
      <c r="C57">
        <v>129</v>
      </c>
      <c r="D57" t="s">
        <v>2</v>
      </c>
      <c r="E57">
        <v>16.533407821199599</v>
      </c>
      <c r="F57">
        <v>16.533407821199599</v>
      </c>
      <c r="G57">
        <f t="shared" ref="G57:H57" si="34">G56</f>
        <v>16.525333145340134</v>
      </c>
      <c r="H57">
        <f t="shared" si="34"/>
        <v>1.8152962051176252E-2</v>
      </c>
      <c r="I57">
        <v>29.607088113282298</v>
      </c>
      <c r="J57">
        <v>16.525333145340099</v>
      </c>
      <c r="K57">
        <f t="shared" si="0"/>
        <v>-13.081754967942164</v>
      </c>
      <c r="L57">
        <f t="shared" si="1"/>
        <v>3.5527136788005009E-14</v>
      </c>
    </row>
    <row r="58" spans="1:12" x14ac:dyDescent="0.2">
      <c r="A58" t="s">
        <v>149</v>
      </c>
      <c r="B58" t="s">
        <v>105</v>
      </c>
      <c r="C58">
        <v>129</v>
      </c>
      <c r="D58" t="s">
        <v>2</v>
      </c>
      <c r="E58">
        <v>16.5045438004096</v>
      </c>
      <c r="F58">
        <v>16.5045438004096</v>
      </c>
      <c r="G58">
        <f t="shared" ref="G58:H58" si="35">G56</f>
        <v>16.525333145340134</v>
      </c>
      <c r="H58">
        <f t="shared" si="35"/>
        <v>1.8152962051176252E-2</v>
      </c>
      <c r="I58">
        <v>29.607088113282298</v>
      </c>
      <c r="J58">
        <v>16.525333145340099</v>
      </c>
      <c r="K58">
        <f t="shared" si="0"/>
        <v>-13.081754967942164</v>
      </c>
      <c r="L58">
        <f t="shared" si="1"/>
        <v>3.5527136788005009E-14</v>
      </c>
    </row>
    <row r="59" spans="1:12" s="1" customFormat="1" x14ac:dyDescent="0.2">
      <c r="A59" s="1" t="s">
        <v>149</v>
      </c>
      <c r="B59" s="1" t="s">
        <v>106</v>
      </c>
      <c r="C59" s="1">
        <v>129</v>
      </c>
      <c r="D59" s="1" t="s">
        <v>10</v>
      </c>
      <c r="F59" s="1">
        <v>38.332209482256701</v>
      </c>
      <c r="G59" s="1" t="e">
        <f>AVERAGE(E59:E61)</f>
        <v>#DIV/0!</v>
      </c>
      <c r="H59" s="1" t="e">
        <f>STDEV(E59:E61)</f>
        <v>#DIV/0!</v>
      </c>
      <c r="I59" s="1">
        <v>29.607088113282298</v>
      </c>
      <c r="J59" s="1">
        <v>16.525333145340099</v>
      </c>
      <c r="K59" s="1" t="e">
        <f t="shared" si="0"/>
        <v>#DIV/0!</v>
      </c>
      <c r="L59" s="1" t="e">
        <f t="shared" si="1"/>
        <v>#DIV/0!</v>
      </c>
    </row>
    <row r="60" spans="1:12" s="1" customFormat="1" x14ac:dyDescent="0.2">
      <c r="A60" s="1" t="s">
        <v>149</v>
      </c>
      <c r="B60" s="1" t="s">
        <v>107</v>
      </c>
      <c r="C60" s="1">
        <v>129</v>
      </c>
      <c r="D60" s="1" t="s">
        <v>10</v>
      </c>
      <c r="F60" s="1">
        <v>33.104388685696399</v>
      </c>
      <c r="G60" s="1" t="e">
        <f t="shared" ref="G60:H61" si="36">G59</f>
        <v>#DIV/0!</v>
      </c>
      <c r="H60" s="1" t="e">
        <f t="shared" si="36"/>
        <v>#DIV/0!</v>
      </c>
      <c r="I60" s="1">
        <v>29.607088113282298</v>
      </c>
      <c r="J60" s="1">
        <v>16.525333145340099</v>
      </c>
      <c r="K60" s="1" t="e">
        <f t="shared" si="0"/>
        <v>#DIV/0!</v>
      </c>
      <c r="L60" s="1" t="e">
        <f t="shared" si="1"/>
        <v>#DIV/0!</v>
      </c>
    </row>
    <row r="61" spans="1:12" s="1" customFormat="1" x14ac:dyDescent="0.2">
      <c r="A61" s="1" t="s">
        <v>149</v>
      </c>
      <c r="B61" s="1" t="s">
        <v>108</v>
      </c>
      <c r="C61" s="1">
        <v>129</v>
      </c>
      <c r="D61" s="1" t="s">
        <v>10</v>
      </c>
      <c r="F61" s="1">
        <v>35.037323471876299</v>
      </c>
      <c r="G61" s="1" t="e">
        <f t="shared" si="36"/>
        <v>#DIV/0!</v>
      </c>
      <c r="H61" s="1" t="e">
        <f t="shared" ref="H61" si="37">H59</f>
        <v>#DIV/0!</v>
      </c>
      <c r="I61" s="1">
        <v>29.607088113282298</v>
      </c>
      <c r="J61" s="1">
        <v>16.525333145340099</v>
      </c>
      <c r="K61" s="1" t="e">
        <f t="shared" si="0"/>
        <v>#DIV/0!</v>
      </c>
      <c r="L61" s="1" t="e">
        <f t="shared" si="1"/>
        <v>#DIV/0!</v>
      </c>
    </row>
    <row r="62" spans="1:12" s="1" customFormat="1" x14ac:dyDescent="0.2">
      <c r="A62" s="1" t="s">
        <v>149</v>
      </c>
      <c r="B62" s="1" t="s">
        <v>109</v>
      </c>
      <c r="C62" s="1">
        <v>129</v>
      </c>
      <c r="D62" s="1" t="s">
        <v>13</v>
      </c>
      <c r="F62" s="1">
        <v>39.438974186168501</v>
      </c>
      <c r="G62" s="1" t="e">
        <f>AVERAGE(E62:E64)</f>
        <v>#DIV/0!</v>
      </c>
      <c r="H62" s="1" t="e">
        <f>STDEV(E62:E64)</f>
        <v>#DIV/0!</v>
      </c>
      <c r="I62" s="1">
        <v>29.607088113282298</v>
      </c>
      <c r="J62" s="1">
        <v>16.525333145340099</v>
      </c>
      <c r="K62" s="1" t="e">
        <f t="shared" si="0"/>
        <v>#DIV/0!</v>
      </c>
      <c r="L62" s="1" t="e">
        <f t="shared" si="1"/>
        <v>#DIV/0!</v>
      </c>
    </row>
    <row r="63" spans="1:12" s="1" customFormat="1" x14ac:dyDescent="0.2">
      <c r="A63" s="1" t="s">
        <v>149</v>
      </c>
      <c r="B63" s="1" t="s">
        <v>110</v>
      </c>
      <c r="C63" s="1">
        <v>129</v>
      </c>
      <c r="D63" s="1" t="s">
        <v>13</v>
      </c>
      <c r="F63" s="1" t="s">
        <v>155</v>
      </c>
      <c r="G63" s="1" t="e">
        <f t="shared" ref="G63:H63" si="38">G62</f>
        <v>#DIV/0!</v>
      </c>
      <c r="H63" s="1" t="e">
        <f t="shared" si="38"/>
        <v>#DIV/0!</v>
      </c>
      <c r="I63" s="1">
        <v>29.607088113282298</v>
      </c>
      <c r="J63" s="1">
        <v>16.525333145340099</v>
      </c>
      <c r="K63" s="1" t="e">
        <f t="shared" si="0"/>
        <v>#DIV/0!</v>
      </c>
      <c r="L63" s="1" t="e">
        <f t="shared" si="1"/>
        <v>#DIV/0!</v>
      </c>
    </row>
    <row r="64" spans="1:12" s="1" customFormat="1" x14ac:dyDescent="0.2">
      <c r="A64" s="1" t="s">
        <v>149</v>
      </c>
      <c r="B64" s="1" t="s">
        <v>111</v>
      </c>
      <c r="C64" s="1">
        <v>129</v>
      </c>
      <c r="D64" s="1" t="s">
        <v>13</v>
      </c>
      <c r="F64" s="1">
        <v>34.333444670279398</v>
      </c>
      <c r="G64" s="1" t="e">
        <f t="shared" ref="G64:H64" si="39">G62</f>
        <v>#DIV/0!</v>
      </c>
      <c r="H64" s="1" t="e">
        <f t="shared" si="39"/>
        <v>#DIV/0!</v>
      </c>
      <c r="I64" s="1">
        <v>29.607088113282298</v>
      </c>
      <c r="J64" s="1">
        <v>16.525333145340099</v>
      </c>
      <c r="K64" s="1" t="e">
        <f t="shared" si="0"/>
        <v>#DIV/0!</v>
      </c>
      <c r="L64" s="1" t="e">
        <f t="shared" si="1"/>
        <v>#DIV/0!</v>
      </c>
    </row>
    <row r="65" spans="1:12" x14ac:dyDescent="0.2">
      <c r="A65" t="s">
        <v>149</v>
      </c>
      <c r="B65" t="s">
        <v>112</v>
      </c>
      <c r="C65">
        <v>129</v>
      </c>
      <c r="D65" t="s">
        <v>5</v>
      </c>
      <c r="E65">
        <v>32.364857238890103</v>
      </c>
      <c r="F65">
        <v>32.364857238890103</v>
      </c>
      <c r="G65">
        <f>AVERAGE(E65:E67)</f>
        <v>32.328180603283499</v>
      </c>
      <c r="H65">
        <f>STDEV(E65:E67)</f>
        <v>5.186859549706993E-2</v>
      </c>
      <c r="I65">
        <v>29.607088113282298</v>
      </c>
      <c r="J65">
        <v>16.525333145340099</v>
      </c>
      <c r="K65">
        <f t="shared" si="0"/>
        <v>2.721092490001201</v>
      </c>
      <c r="L65">
        <f t="shared" si="1"/>
        <v>15.8028474579434</v>
      </c>
    </row>
    <row r="66" spans="1:12" x14ac:dyDescent="0.2">
      <c r="A66" t="s">
        <v>149</v>
      </c>
      <c r="B66" t="s">
        <v>113</v>
      </c>
      <c r="C66">
        <v>129</v>
      </c>
      <c r="D66" t="s">
        <v>5</v>
      </c>
      <c r="F66">
        <v>31.1705435723458</v>
      </c>
      <c r="G66">
        <f t="shared" ref="G66:H67" si="40">G65</f>
        <v>32.328180603283499</v>
      </c>
      <c r="H66">
        <f t="shared" si="40"/>
        <v>5.186859549706993E-2</v>
      </c>
      <c r="I66">
        <v>29.607088113282298</v>
      </c>
      <c r="J66">
        <v>16.525333145340099</v>
      </c>
      <c r="K66">
        <f t="shared" si="0"/>
        <v>2.721092490001201</v>
      </c>
      <c r="L66">
        <f t="shared" si="1"/>
        <v>15.8028474579434</v>
      </c>
    </row>
    <row r="67" spans="1:12" x14ac:dyDescent="0.2">
      <c r="A67" t="s">
        <v>149</v>
      </c>
      <c r="B67" t="s">
        <v>114</v>
      </c>
      <c r="C67">
        <v>129</v>
      </c>
      <c r="D67" t="s">
        <v>5</v>
      </c>
      <c r="E67">
        <v>32.291503967676903</v>
      </c>
      <c r="F67">
        <v>32.291503967676903</v>
      </c>
      <c r="G67">
        <f t="shared" si="40"/>
        <v>32.328180603283499</v>
      </c>
      <c r="H67">
        <f t="shared" ref="H67" si="41">H65</f>
        <v>5.186859549706993E-2</v>
      </c>
      <c r="I67">
        <v>29.607088113282298</v>
      </c>
      <c r="J67">
        <v>16.525333145340099</v>
      </c>
      <c r="K67">
        <f t="shared" ref="K67:K97" si="42">G67-I67</f>
        <v>2.721092490001201</v>
      </c>
      <c r="L67">
        <f t="shared" ref="L67:L97" si="43">G67-J67</f>
        <v>15.8028474579434</v>
      </c>
    </row>
    <row r="68" spans="1:12" s="1" customFormat="1" x14ac:dyDescent="0.2">
      <c r="A68" s="1" t="s">
        <v>149</v>
      </c>
      <c r="B68" s="1" t="s">
        <v>115</v>
      </c>
      <c r="C68" s="1">
        <v>129</v>
      </c>
      <c r="D68" s="1" t="s">
        <v>4</v>
      </c>
      <c r="F68" s="1">
        <v>35.000408874379403</v>
      </c>
      <c r="G68" s="1" t="e">
        <f>AVERAGE(E68:E70)</f>
        <v>#DIV/0!</v>
      </c>
      <c r="H68" s="1" t="e">
        <f>STDEV(E68:E70)</f>
        <v>#DIV/0!</v>
      </c>
      <c r="I68" s="1">
        <v>29.607088113282298</v>
      </c>
      <c r="J68" s="1">
        <v>16.525333145340099</v>
      </c>
      <c r="K68" s="1" t="e">
        <f t="shared" si="42"/>
        <v>#DIV/0!</v>
      </c>
      <c r="L68" s="1" t="e">
        <f t="shared" si="43"/>
        <v>#DIV/0!</v>
      </c>
    </row>
    <row r="69" spans="1:12" s="1" customFormat="1" x14ac:dyDescent="0.2">
      <c r="A69" s="1" t="s">
        <v>149</v>
      </c>
      <c r="B69" s="1" t="s">
        <v>116</v>
      </c>
      <c r="C69" s="1">
        <v>129</v>
      </c>
      <c r="D69" s="1" t="s">
        <v>4</v>
      </c>
      <c r="F69" s="1" t="s">
        <v>155</v>
      </c>
      <c r="G69" s="1" t="e">
        <f t="shared" ref="G69:H69" si="44">G68</f>
        <v>#DIV/0!</v>
      </c>
      <c r="H69" s="1" t="e">
        <f t="shared" si="44"/>
        <v>#DIV/0!</v>
      </c>
      <c r="I69" s="1">
        <v>29.607088113282298</v>
      </c>
      <c r="J69" s="1">
        <v>16.525333145340099</v>
      </c>
      <c r="K69" s="1" t="e">
        <f t="shared" si="42"/>
        <v>#DIV/0!</v>
      </c>
      <c r="L69" s="1" t="e">
        <f t="shared" si="43"/>
        <v>#DIV/0!</v>
      </c>
    </row>
    <row r="70" spans="1:12" s="1" customFormat="1" x14ac:dyDescent="0.2">
      <c r="A70" s="1" t="s">
        <v>149</v>
      </c>
      <c r="B70" s="1" t="s">
        <v>117</v>
      </c>
      <c r="C70" s="1">
        <v>129</v>
      </c>
      <c r="D70" s="1" t="s">
        <v>4</v>
      </c>
      <c r="F70" s="1" t="s">
        <v>155</v>
      </c>
      <c r="G70" s="1" t="e">
        <f t="shared" ref="G70:H70" si="45">G68</f>
        <v>#DIV/0!</v>
      </c>
      <c r="H70" s="1" t="e">
        <f t="shared" si="45"/>
        <v>#DIV/0!</v>
      </c>
      <c r="I70" s="1">
        <v>29.607088113282298</v>
      </c>
      <c r="J70" s="1">
        <v>16.525333145340099</v>
      </c>
      <c r="K70" s="1" t="e">
        <f t="shared" si="42"/>
        <v>#DIV/0!</v>
      </c>
      <c r="L70" s="1" t="e">
        <f t="shared" si="43"/>
        <v>#DIV/0!</v>
      </c>
    </row>
    <row r="71" spans="1:12" x14ac:dyDescent="0.2">
      <c r="A71" t="s">
        <v>149</v>
      </c>
      <c r="B71" t="s">
        <v>118</v>
      </c>
      <c r="C71">
        <v>129</v>
      </c>
      <c r="D71" t="s">
        <v>3</v>
      </c>
      <c r="E71">
        <v>30.5965499302708</v>
      </c>
      <c r="F71">
        <v>30.5965499302708</v>
      </c>
      <c r="G71">
        <f>AVERAGE(E71:E73)</f>
        <v>30.74481752954317</v>
      </c>
      <c r="H71">
        <f>STDEV(E71:E73)</f>
        <v>0.19903947374715489</v>
      </c>
      <c r="I71">
        <v>29.607088113282298</v>
      </c>
      <c r="J71">
        <v>16.525333145340099</v>
      </c>
      <c r="K71">
        <f t="shared" si="42"/>
        <v>1.1377294162608713</v>
      </c>
      <c r="L71">
        <f t="shared" si="43"/>
        <v>14.219484384203071</v>
      </c>
    </row>
    <row r="72" spans="1:12" x14ac:dyDescent="0.2">
      <c r="A72" t="s">
        <v>149</v>
      </c>
      <c r="B72" t="s">
        <v>119</v>
      </c>
      <c r="C72">
        <v>129</v>
      </c>
      <c r="D72" t="s">
        <v>3</v>
      </c>
      <c r="E72">
        <v>30.971034370193301</v>
      </c>
      <c r="F72">
        <v>30.971034370193301</v>
      </c>
      <c r="G72">
        <f t="shared" ref="G72:H73" si="46">G71</f>
        <v>30.74481752954317</v>
      </c>
      <c r="H72">
        <f t="shared" si="46"/>
        <v>0.19903947374715489</v>
      </c>
      <c r="I72">
        <v>29.607088113282298</v>
      </c>
      <c r="J72">
        <v>16.525333145340099</v>
      </c>
      <c r="K72">
        <f t="shared" si="42"/>
        <v>1.1377294162608713</v>
      </c>
      <c r="L72">
        <f t="shared" si="43"/>
        <v>14.219484384203071</v>
      </c>
    </row>
    <row r="73" spans="1:12" x14ac:dyDescent="0.2">
      <c r="A73" t="s">
        <v>149</v>
      </c>
      <c r="B73" t="s">
        <v>120</v>
      </c>
      <c r="C73">
        <v>129</v>
      </c>
      <c r="D73" t="s">
        <v>3</v>
      </c>
      <c r="E73">
        <v>30.6668682881654</v>
      </c>
      <c r="F73">
        <v>30.6668682881654</v>
      </c>
      <c r="G73">
        <f t="shared" si="46"/>
        <v>30.74481752954317</v>
      </c>
      <c r="H73">
        <f t="shared" ref="H73" si="47">H71</f>
        <v>0.19903947374715489</v>
      </c>
      <c r="I73">
        <v>29.607088113282298</v>
      </c>
      <c r="J73">
        <v>16.525333145340099</v>
      </c>
      <c r="K73">
        <f t="shared" si="42"/>
        <v>1.1377294162608713</v>
      </c>
      <c r="L73">
        <f t="shared" si="43"/>
        <v>14.219484384203071</v>
      </c>
    </row>
    <row r="74" spans="1:12" s="1" customFormat="1" x14ac:dyDescent="0.2">
      <c r="A74" s="1" t="s">
        <v>149</v>
      </c>
      <c r="B74" s="1" t="s">
        <v>121</v>
      </c>
      <c r="C74" s="1">
        <v>129</v>
      </c>
      <c r="D74" s="1" t="s">
        <v>8</v>
      </c>
      <c r="F74" s="1">
        <v>34.1916245760303</v>
      </c>
      <c r="G74" s="1" t="e">
        <f>AVERAGE(E74:E76)</f>
        <v>#DIV/0!</v>
      </c>
      <c r="H74" s="1" t="e">
        <f>STDEV(E74:E76)</f>
        <v>#DIV/0!</v>
      </c>
      <c r="I74" s="1">
        <v>29.607088113282298</v>
      </c>
      <c r="J74" s="1">
        <v>16.525333145340099</v>
      </c>
      <c r="K74" s="1" t="e">
        <f t="shared" si="42"/>
        <v>#DIV/0!</v>
      </c>
      <c r="L74" s="1" t="e">
        <f t="shared" si="43"/>
        <v>#DIV/0!</v>
      </c>
    </row>
    <row r="75" spans="1:12" s="1" customFormat="1" x14ac:dyDescent="0.2">
      <c r="A75" s="1" t="s">
        <v>149</v>
      </c>
      <c r="B75" s="1" t="s">
        <v>122</v>
      </c>
      <c r="C75" s="1">
        <v>129</v>
      </c>
      <c r="D75" s="1" t="s">
        <v>8</v>
      </c>
      <c r="F75" s="1">
        <v>33.381145733859803</v>
      </c>
      <c r="G75" s="1" t="e">
        <f t="shared" ref="G75:H75" si="48">G74</f>
        <v>#DIV/0!</v>
      </c>
      <c r="H75" s="1" t="e">
        <f t="shared" si="48"/>
        <v>#DIV/0!</v>
      </c>
      <c r="I75" s="1">
        <v>29.607088113282298</v>
      </c>
      <c r="J75" s="1">
        <v>16.525333145340099</v>
      </c>
      <c r="K75" s="1" t="e">
        <f t="shared" si="42"/>
        <v>#DIV/0!</v>
      </c>
      <c r="L75" s="1" t="e">
        <f t="shared" si="43"/>
        <v>#DIV/0!</v>
      </c>
    </row>
    <row r="76" spans="1:12" s="1" customFormat="1" x14ac:dyDescent="0.2">
      <c r="A76" s="1" t="s">
        <v>149</v>
      </c>
      <c r="B76" s="1" t="s">
        <v>123</v>
      </c>
      <c r="C76" s="1">
        <v>129</v>
      </c>
      <c r="D76" s="1" t="s">
        <v>8</v>
      </c>
      <c r="F76" s="1" t="s">
        <v>155</v>
      </c>
      <c r="G76" s="1" t="e">
        <f t="shared" ref="G76:H76" si="49">G74</f>
        <v>#DIV/0!</v>
      </c>
      <c r="H76" s="1" t="e">
        <f t="shared" si="49"/>
        <v>#DIV/0!</v>
      </c>
      <c r="I76" s="1">
        <v>29.607088113282298</v>
      </c>
      <c r="J76" s="1">
        <v>16.525333145340099</v>
      </c>
      <c r="K76" s="1" t="e">
        <f t="shared" si="42"/>
        <v>#DIV/0!</v>
      </c>
      <c r="L76" s="1" t="e">
        <f t="shared" si="43"/>
        <v>#DIV/0!</v>
      </c>
    </row>
    <row r="77" spans="1:12" x14ac:dyDescent="0.2">
      <c r="A77" t="s">
        <v>149</v>
      </c>
      <c r="B77" t="s">
        <v>124</v>
      </c>
      <c r="C77">
        <v>142</v>
      </c>
      <c r="D77" t="s">
        <v>1</v>
      </c>
      <c r="F77">
        <v>30.500757192072498</v>
      </c>
      <c r="G77">
        <f>AVERAGE(E77:E79)</f>
        <v>31.164493599978897</v>
      </c>
      <c r="H77">
        <f>STDEV(E77:E79)</f>
        <v>0.10324204695745953</v>
      </c>
      <c r="I77">
        <f>G77</f>
        <v>31.164493599978897</v>
      </c>
      <c r="J77">
        <f>G80</f>
        <v>15.452266952383333</v>
      </c>
      <c r="K77">
        <f t="shared" si="42"/>
        <v>0</v>
      </c>
      <c r="L77">
        <f t="shared" si="43"/>
        <v>15.712226647595564</v>
      </c>
    </row>
    <row r="78" spans="1:12" x14ac:dyDescent="0.2">
      <c r="A78" t="s">
        <v>149</v>
      </c>
      <c r="B78" t="s">
        <v>125</v>
      </c>
      <c r="C78">
        <v>142</v>
      </c>
      <c r="D78" t="s">
        <v>1</v>
      </c>
      <c r="E78">
        <v>31.237496751486098</v>
      </c>
      <c r="F78">
        <v>31.237496751486098</v>
      </c>
      <c r="G78">
        <f t="shared" ref="G78:H79" si="50">G77</f>
        <v>31.164493599978897</v>
      </c>
      <c r="H78">
        <f t="shared" si="50"/>
        <v>0.10324204695745953</v>
      </c>
      <c r="I78">
        <v>31.164493599978897</v>
      </c>
      <c r="J78">
        <v>15.452266952383333</v>
      </c>
      <c r="K78">
        <f t="shared" si="42"/>
        <v>0</v>
      </c>
      <c r="L78">
        <f t="shared" si="43"/>
        <v>15.712226647595564</v>
      </c>
    </row>
    <row r="79" spans="1:12" x14ac:dyDescent="0.2">
      <c r="A79" t="s">
        <v>149</v>
      </c>
      <c r="B79" t="s">
        <v>126</v>
      </c>
      <c r="C79">
        <v>142</v>
      </c>
      <c r="D79" t="s">
        <v>1</v>
      </c>
      <c r="E79">
        <v>31.091490448471699</v>
      </c>
      <c r="F79">
        <v>31.091490448471699</v>
      </c>
      <c r="G79">
        <f t="shared" si="50"/>
        <v>31.164493599978897</v>
      </c>
      <c r="H79">
        <f t="shared" ref="H79" si="51">H77</f>
        <v>0.10324204695745953</v>
      </c>
      <c r="I79">
        <v>31.164493599978897</v>
      </c>
      <c r="J79">
        <v>15.452266952383333</v>
      </c>
      <c r="K79">
        <f t="shared" si="42"/>
        <v>0</v>
      </c>
      <c r="L79">
        <f t="shared" si="43"/>
        <v>15.712226647595564</v>
      </c>
    </row>
    <row r="80" spans="1:12" x14ac:dyDescent="0.2">
      <c r="A80" t="s">
        <v>149</v>
      </c>
      <c r="B80" t="s">
        <v>127</v>
      </c>
      <c r="C80">
        <v>142</v>
      </c>
      <c r="D80" t="s">
        <v>2</v>
      </c>
      <c r="E80">
        <v>15.546662929298201</v>
      </c>
      <c r="F80">
        <v>15.546662929298201</v>
      </c>
      <c r="G80">
        <f>AVERAGE(E80:E82)</f>
        <v>15.452266952383333</v>
      </c>
      <c r="H80">
        <f>STDEV(E80:E82)</f>
        <v>0.12456010141037553</v>
      </c>
      <c r="I80">
        <v>31.164493599978901</v>
      </c>
      <c r="J80">
        <v>15.452266952383299</v>
      </c>
      <c r="K80">
        <f t="shared" si="42"/>
        <v>-15.712226647595568</v>
      </c>
      <c r="L80">
        <f t="shared" si="43"/>
        <v>3.3750779948604759E-14</v>
      </c>
    </row>
    <row r="81" spans="1:12" x14ac:dyDescent="0.2">
      <c r="A81" t="s">
        <v>149</v>
      </c>
      <c r="B81" t="s">
        <v>128</v>
      </c>
      <c r="C81">
        <v>142</v>
      </c>
      <c r="D81" t="s">
        <v>2</v>
      </c>
      <c r="E81">
        <v>15.4990491135325</v>
      </c>
      <c r="F81">
        <v>15.4990491135325</v>
      </c>
      <c r="G81">
        <f t="shared" ref="G81:H81" si="52">G80</f>
        <v>15.452266952383333</v>
      </c>
      <c r="H81">
        <f t="shared" si="52"/>
        <v>0.12456010141037553</v>
      </c>
      <c r="I81">
        <v>31.164493599978901</v>
      </c>
      <c r="J81">
        <v>15.452266952383299</v>
      </c>
      <c r="K81">
        <f t="shared" si="42"/>
        <v>-15.712226647595568</v>
      </c>
      <c r="L81">
        <f t="shared" si="43"/>
        <v>3.3750779948604759E-14</v>
      </c>
    </row>
    <row r="82" spans="1:12" x14ac:dyDescent="0.2">
      <c r="A82" t="s">
        <v>149</v>
      </c>
      <c r="B82" t="s">
        <v>129</v>
      </c>
      <c r="C82">
        <v>142</v>
      </c>
      <c r="D82" t="s">
        <v>2</v>
      </c>
      <c r="E82">
        <v>15.3110888143193</v>
      </c>
      <c r="F82">
        <v>15.3110888143193</v>
      </c>
      <c r="G82">
        <f t="shared" ref="G82:H82" si="53">G80</f>
        <v>15.452266952383333</v>
      </c>
      <c r="H82">
        <f t="shared" si="53"/>
        <v>0.12456010141037553</v>
      </c>
      <c r="I82">
        <v>31.164493599978901</v>
      </c>
      <c r="J82">
        <v>15.452266952383299</v>
      </c>
      <c r="K82">
        <f t="shared" si="42"/>
        <v>-15.712226647595568</v>
      </c>
      <c r="L82">
        <f t="shared" si="43"/>
        <v>3.3750779948604759E-14</v>
      </c>
    </row>
    <row r="83" spans="1:12" s="1" customFormat="1" x14ac:dyDescent="0.2">
      <c r="A83" s="1" t="s">
        <v>149</v>
      </c>
      <c r="B83" s="1" t="s">
        <v>130</v>
      </c>
      <c r="C83" s="1">
        <v>142</v>
      </c>
      <c r="D83" s="1" t="s">
        <v>13</v>
      </c>
      <c r="F83" s="1">
        <v>38.569254733327497</v>
      </c>
      <c r="G83" s="1" t="e">
        <f>AVERAGE(E83:E85)</f>
        <v>#DIV/0!</v>
      </c>
      <c r="H83" s="1" t="e">
        <f>STDEV(E83:E85)</f>
        <v>#DIV/0!</v>
      </c>
      <c r="I83" s="1">
        <v>31.164493599978901</v>
      </c>
      <c r="J83" s="1">
        <v>15.452266952383299</v>
      </c>
      <c r="K83" s="1" t="e">
        <f t="shared" si="42"/>
        <v>#DIV/0!</v>
      </c>
      <c r="L83" s="1" t="e">
        <f t="shared" si="43"/>
        <v>#DIV/0!</v>
      </c>
    </row>
    <row r="84" spans="1:12" s="1" customFormat="1" x14ac:dyDescent="0.2">
      <c r="A84" s="1" t="s">
        <v>149</v>
      </c>
      <c r="B84" s="1" t="s">
        <v>131</v>
      </c>
      <c r="C84" s="1">
        <v>142</v>
      </c>
      <c r="D84" s="1" t="s">
        <v>13</v>
      </c>
      <c r="F84" s="1">
        <v>34.417290577626503</v>
      </c>
      <c r="G84" s="1" t="e">
        <f t="shared" ref="G84:H85" si="54">G83</f>
        <v>#DIV/0!</v>
      </c>
      <c r="H84" s="1" t="e">
        <f t="shared" si="54"/>
        <v>#DIV/0!</v>
      </c>
      <c r="I84" s="1">
        <v>31.164493599978901</v>
      </c>
      <c r="J84" s="1">
        <v>15.452266952383299</v>
      </c>
      <c r="K84" s="1" t="e">
        <f t="shared" si="42"/>
        <v>#DIV/0!</v>
      </c>
      <c r="L84" s="1" t="e">
        <f t="shared" si="43"/>
        <v>#DIV/0!</v>
      </c>
    </row>
    <row r="85" spans="1:12" s="1" customFormat="1" x14ac:dyDescent="0.2">
      <c r="A85" s="1" t="s">
        <v>149</v>
      </c>
      <c r="B85" s="1" t="s">
        <v>132</v>
      </c>
      <c r="C85" s="1">
        <v>142</v>
      </c>
      <c r="D85" s="1" t="s">
        <v>13</v>
      </c>
      <c r="F85" s="1">
        <v>37.150800559927902</v>
      </c>
      <c r="G85" s="1" t="e">
        <f t="shared" si="54"/>
        <v>#DIV/0!</v>
      </c>
      <c r="H85" s="1" t="e">
        <f t="shared" ref="H85" si="55">H83</f>
        <v>#DIV/0!</v>
      </c>
      <c r="I85" s="1">
        <v>31.164493599978901</v>
      </c>
      <c r="J85" s="1">
        <v>15.452266952383299</v>
      </c>
      <c r="K85" s="1" t="e">
        <f t="shared" si="42"/>
        <v>#DIV/0!</v>
      </c>
      <c r="L85" s="1" t="e">
        <f t="shared" si="43"/>
        <v>#DIV/0!</v>
      </c>
    </row>
    <row r="86" spans="1:12" x14ac:dyDescent="0.2">
      <c r="A86" t="s">
        <v>149</v>
      </c>
      <c r="B86" t="s">
        <v>133</v>
      </c>
      <c r="C86">
        <v>142</v>
      </c>
      <c r="D86" t="s">
        <v>8</v>
      </c>
      <c r="F86">
        <v>34.690615988510501</v>
      </c>
      <c r="G86">
        <f>AVERAGE(E86:E88)</f>
        <v>32.868982380499801</v>
      </c>
      <c r="H86">
        <f>STDEV(E86:E88)</f>
        <v>0.54012510600508523</v>
      </c>
      <c r="I86">
        <v>31.164493599978901</v>
      </c>
      <c r="J86">
        <v>15.452266952383299</v>
      </c>
      <c r="K86">
        <f t="shared" si="42"/>
        <v>1.7044887805209008</v>
      </c>
      <c r="L86">
        <f t="shared" si="43"/>
        <v>17.416715428116504</v>
      </c>
    </row>
    <row r="87" spans="1:12" x14ac:dyDescent="0.2">
      <c r="A87" t="s">
        <v>149</v>
      </c>
      <c r="B87" t="s">
        <v>134</v>
      </c>
      <c r="C87">
        <v>142</v>
      </c>
      <c r="D87" t="s">
        <v>8</v>
      </c>
      <c r="E87">
        <v>33.2509085056451</v>
      </c>
      <c r="F87">
        <v>33.2509085056451</v>
      </c>
      <c r="G87">
        <f t="shared" ref="G87:H87" si="56">G86</f>
        <v>32.868982380499801</v>
      </c>
      <c r="H87">
        <f t="shared" si="56"/>
        <v>0.54012510600508523</v>
      </c>
      <c r="I87">
        <v>31.164493599978901</v>
      </c>
      <c r="J87">
        <v>15.452266952383299</v>
      </c>
      <c r="K87">
        <f t="shared" si="42"/>
        <v>1.7044887805209008</v>
      </c>
      <c r="L87">
        <f t="shared" si="43"/>
        <v>17.416715428116504</v>
      </c>
    </row>
    <row r="88" spans="1:12" x14ac:dyDescent="0.2">
      <c r="A88" t="s">
        <v>149</v>
      </c>
      <c r="B88" t="s">
        <v>135</v>
      </c>
      <c r="C88">
        <v>142</v>
      </c>
      <c r="D88" t="s">
        <v>8</v>
      </c>
      <c r="E88">
        <v>32.487056255354503</v>
      </c>
      <c r="F88">
        <v>32.487056255354503</v>
      </c>
      <c r="G88">
        <f t="shared" ref="G88:H88" si="57">G86</f>
        <v>32.868982380499801</v>
      </c>
      <c r="H88">
        <f t="shared" si="57"/>
        <v>0.54012510600508523</v>
      </c>
      <c r="I88">
        <v>31.164493599978901</v>
      </c>
      <c r="J88">
        <v>15.452266952383299</v>
      </c>
      <c r="K88">
        <f t="shared" si="42"/>
        <v>1.7044887805209008</v>
      </c>
      <c r="L88">
        <f t="shared" si="43"/>
        <v>17.416715428116504</v>
      </c>
    </row>
    <row r="89" spans="1:12" x14ac:dyDescent="0.2">
      <c r="A89" t="s">
        <v>149</v>
      </c>
      <c r="B89" t="s">
        <v>136</v>
      </c>
      <c r="C89">
        <v>144</v>
      </c>
      <c r="D89" t="s">
        <v>1</v>
      </c>
      <c r="E89">
        <v>27.828280342085101</v>
      </c>
      <c r="F89">
        <v>27.828280342085101</v>
      </c>
      <c r="G89">
        <f>AVERAGE(E89:E91)</f>
        <v>27.771519619346304</v>
      </c>
      <c r="H89">
        <f>STDEV(E89:E91)</f>
        <v>0.20632600648115032</v>
      </c>
      <c r="I89">
        <f>G89</f>
        <v>27.771519619346304</v>
      </c>
      <c r="J89">
        <f>G92</f>
        <v>16.378430559484197</v>
      </c>
      <c r="K89">
        <f t="shared" si="42"/>
        <v>0</v>
      </c>
      <c r="L89">
        <f t="shared" si="43"/>
        <v>11.393089059862106</v>
      </c>
    </row>
    <row r="90" spans="1:12" x14ac:dyDescent="0.2">
      <c r="A90" t="s">
        <v>149</v>
      </c>
      <c r="B90" t="s">
        <v>137</v>
      </c>
      <c r="C90">
        <v>144</v>
      </c>
      <c r="D90" t="s">
        <v>1</v>
      </c>
      <c r="E90">
        <v>27.542754412701399</v>
      </c>
      <c r="F90">
        <v>27.542754412701399</v>
      </c>
      <c r="G90">
        <f t="shared" ref="G90:H91" si="58">G89</f>
        <v>27.771519619346304</v>
      </c>
      <c r="H90">
        <f t="shared" si="58"/>
        <v>0.20632600648115032</v>
      </c>
      <c r="I90">
        <v>27.771519619346304</v>
      </c>
      <c r="J90">
        <v>16.378430559484197</v>
      </c>
      <c r="K90">
        <f t="shared" si="42"/>
        <v>0</v>
      </c>
      <c r="L90">
        <f t="shared" si="43"/>
        <v>11.393089059862106</v>
      </c>
    </row>
    <row r="91" spans="1:12" x14ac:dyDescent="0.2">
      <c r="A91" t="s">
        <v>149</v>
      </c>
      <c r="B91" t="s">
        <v>138</v>
      </c>
      <c r="C91">
        <v>144</v>
      </c>
      <c r="D91" t="s">
        <v>1</v>
      </c>
      <c r="E91">
        <v>27.9435241032524</v>
      </c>
      <c r="F91">
        <v>27.9435241032524</v>
      </c>
      <c r="G91">
        <f t="shared" si="58"/>
        <v>27.771519619346304</v>
      </c>
      <c r="H91">
        <f t="shared" ref="H91" si="59">H89</f>
        <v>0.20632600648115032</v>
      </c>
      <c r="I91">
        <v>27.771519619346304</v>
      </c>
      <c r="J91">
        <v>16.378430559484197</v>
      </c>
      <c r="K91">
        <f t="shared" si="42"/>
        <v>0</v>
      </c>
      <c r="L91">
        <f t="shared" si="43"/>
        <v>11.393089059862106</v>
      </c>
    </row>
    <row r="92" spans="1:12" x14ac:dyDescent="0.2">
      <c r="A92" t="s">
        <v>149</v>
      </c>
      <c r="B92" t="s">
        <v>139</v>
      </c>
      <c r="C92">
        <v>144</v>
      </c>
      <c r="D92" t="s">
        <v>2</v>
      </c>
      <c r="E92">
        <v>16.3563706719716</v>
      </c>
      <c r="F92">
        <v>16.3563706719716</v>
      </c>
      <c r="G92">
        <f>AVERAGE(E92:E94)</f>
        <v>16.378430559484197</v>
      </c>
      <c r="H92">
        <f>STDEV(E92:E94)</f>
        <v>3.3552273984643097E-2</v>
      </c>
      <c r="I92">
        <v>27.7715196193463</v>
      </c>
      <c r="J92">
        <v>16.378430559484201</v>
      </c>
      <c r="K92">
        <f t="shared" si="42"/>
        <v>-11.393089059862103</v>
      </c>
      <c r="L92">
        <f t="shared" si="43"/>
        <v>0</v>
      </c>
    </row>
    <row r="93" spans="1:12" x14ac:dyDescent="0.2">
      <c r="A93" t="s">
        <v>149</v>
      </c>
      <c r="B93" t="s">
        <v>140</v>
      </c>
      <c r="C93">
        <v>144</v>
      </c>
      <c r="D93" t="s">
        <v>2</v>
      </c>
      <c r="E93">
        <v>16.417042673418699</v>
      </c>
      <c r="F93">
        <v>16.417042673418699</v>
      </c>
      <c r="G93">
        <f t="shared" ref="G93:H93" si="60">G92</f>
        <v>16.378430559484197</v>
      </c>
      <c r="H93">
        <f t="shared" si="60"/>
        <v>3.3552273984643097E-2</v>
      </c>
      <c r="I93">
        <v>27.7715196193463</v>
      </c>
      <c r="J93">
        <v>16.378430559484201</v>
      </c>
      <c r="K93">
        <f t="shared" si="42"/>
        <v>-11.393089059862103</v>
      </c>
      <c r="L93">
        <f t="shared" si="43"/>
        <v>0</v>
      </c>
    </row>
    <row r="94" spans="1:12" x14ac:dyDescent="0.2">
      <c r="A94" t="s">
        <v>149</v>
      </c>
      <c r="B94" t="s">
        <v>141</v>
      </c>
      <c r="C94">
        <v>144</v>
      </c>
      <c r="D94" t="s">
        <v>2</v>
      </c>
      <c r="E94">
        <v>16.3618783330623</v>
      </c>
      <c r="F94">
        <v>16.3618783330623</v>
      </c>
      <c r="G94">
        <f t="shared" ref="G94:H94" si="61">G92</f>
        <v>16.378430559484197</v>
      </c>
      <c r="H94">
        <f t="shared" si="61"/>
        <v>3.3552273984643097E-2</v>
      </c>
      <c r="I94">
        <v>27.7715196193463</v>
      </c>
      <c r="J94">
        <v>16.378430559484201</v>
      </c>
      <c r="K94">
        <f t="shared" si="42"/>
        <v>-11.393089059862103</v>
      </c>
      <c r="L94">
        <f t="shared" si="43"/>
        <v>0</v>
      </c>
    </row>
    <row r="95" spans="1:12" x14ac:dyDescent="0.2">
      <c r="A95" t="s">
        <v>149</v>
      </c>
      <c r="B95" t="s">
        <v>142</v>
      </c>
      <c r="C95">
        <v>144</v>
      </c>
      <c r="D95" t="s">
        <v>3</v>
      </c>
      <c r="E95">
        <v>27.3382906613475</v>
      </c>
      <c r="F95">
        <v>27.3382906613475</v>
      </c>
      <c r="G95">
        <f>AVERAGE(E95:E97)</f>
        <v>27.526768243367503</v>
      </c>
      <c r="H95">
        <f>STDEV(E95:E97)</f>
        <v>0.24070115609472317</v>
      </c>
      <c r="I95">
        <v>27.7715196193463</v>
      </c>
      <c r="J95">
        <v>16.378430559484201</v>
      </c>
      <c r="K95">
        <f t="shared" si="42"/>
        <v>-0.24475137597879737</v>
      </c>
      <c r="L95">
        <f t="shared" si="43"/>
        <v>11.148337683883302</v>
      </c>
    </row>
    <row r="96" spans="1:12" x14ac:dyDescent="0.2">
      <c r="A96" t="s">
        <v>149</v>
      </c>
      <c r="B96" t="s">
        <v>143</v>
      </c>
      <c r="C96">
        <v>144</v>
      </c>
      <c r="D96" t="s">
        <v>3</v>
      </c>
      <c r="E96">
        <v>27.4441053742602</v>
      </c>
      <c r="F96">
        <v>27.4441053742602</v>
      </c>
      <c r="G96">
        <f t="shared" ref="G96:H97" si="62">G95</f>
        <v>27.526768243367503</v>
      </c>
      <c r="H96">
        <f t="shared" si="62"/>
        <v>0.24070115609472317</v>
      </c>
      <c r="I96">
        <v>27.7715196193463</v>
      </c>
      <c r="J96">
        <v>16.378430559484201</v>
      </c>
      <c r="K96">
        <f t="shared" si="42"/>
        <v>-0.24475137597879737</v>
      </c>
      <c r="L96">
        <f t="shared" si="43"/>
        <v>11.148337683883302</v>
      </c>
    </row>
    <row r="97" spans="1:12" x14ac:dyDescent="0.2">
      <c r="A97" t="s">
        <v>149</v>
      </c>
      <c r="B97" t="s">
        <v>144</v>
      </c>
      <c r="C97">
        <v>144</v>
      </c>
      <c r="D97" t="s">
        <v>3</v>
      </c>
      <c r="E97">
        <v>27.797908694494801</v>
      </c>
      <c r="F97">
        <v>27.797908694494801</v>
      </c>
      <c r="G97">
        <f t="shared" si="62"/>
        <v>27.526768243367503</v>
      </c>
      <c r="H97">
        <f t="shared" ref="H97" si="63">H95</f>
        <v>0.24070115609472317</v>
      </c>
      <c r="I97">
        <v>27.7715196193463</v>
      </c>
      <c r="J97">
        <v>16.378430559484201</v>
      </c>
      <c r="K97">
        <f t="shared" si="42"/>
        <v>-0.24475137597879737</v>
      </c>
      <c r="L97">
        <f t="shared" si="43"/>
        <v>11.148337683883302</v>
      </c>
    </row>
  </sheetData>
  <phoneticPr fontId="2" type="noConversion"/>
  <conditionalFormatting sqref="H2:H97">
    <cfRule type="cellIs" dxfId="8" priority="1" operator="greaterThan">
      <formula>0.3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E9C4D-BB5C-5447-ACCF-E3052D1E768C}">
  <dimension ref="A1:L97"/>
  <sheetViews>
    <sheetView zoomScale="150" zoomScaleNormal="150" workbookViewId="0">
      <selection sqref="A1:XFD1"/>
    </sheetView>
  </sheetViews>
  <sheetFormatPr baseColWidth="10" defaultRowHeight="16" x14ac:dyDescent="0.2"/>
  <sheetData>
    <row r="1" spans="1:12" x14ac:dyDescent="0.2">
      <c r="A1" t="s">
        <v>147</v>
      </c>
      <c r="B1" t="s">
        <v>48</v>
      </c>
      <c r="C1" t="s">
        <v>0</v>
      </c>
      <c r="D1" t="s">
        <v>145</v>
      </c>
      <c r="E1" t="s">
        <v>154</v>
      </c>
      <c r="F1" t="s">
        <v>158</v>
      </c>
      <c r="G1" t="s">
        <v>156</v>
      </c>
      <c r="H1" t="s">
        <v>157</v>
      </c>
      <c r="I1" t="s">
        <v>1</v>
      </c>
      <c r="J1" t="s">
        <v>2</v>
      </c>
      <c r="K1" t="s">
        <v>159</v>
      </c>
      <c r="L1" t="s">
        <v>160</v>
      </c>
    </row>
    <row r="2" spans="1:12" x14ac:dyDescent="0.2">
      <c r="A2" t="s">
        <v>150</v>
      </c>
      <c r="B2" s="3" t="s">
        <v>49</v>
      </c>
      <c r="C2">
        <v>143</v>
      </c>
      <c r="D2" t="s">
        <v>1</v>
      </c>
      <c r="E2">
        <v>32.869668302691203</v>
      </c>
      <c r="F2">
        <v>32.869668302691203</v>
      </c>
      <c r="G2">
        <f>AVERAGE(F2:F4)</f>
        <v>32.678868526924703</v>
      </c>
      <c r="H2">
        <f>STDEV(F2:F4)</f>
        <v>0.2221263516680895</v>
      </c>
      <c r="I2">
        <f>G2</f>
        <v>32.678868526924703</v>
      </c>
      <c r="J2">
        <f>G5</f>
        <v>20.352400995828464</v>
      </c>
      <c r="K2">
        <f>G2-I2</f>
        <v>0</v>
      </c>
      <c r="L2">
        <f>G2-J2</f>
        <v>12.326467531096238</v>
      </c>
    </row>
    <row r="3" spans="1:12" x14ac:dyDescent="0.2">
      <c r="A3" t="s">
        <v>150</v>
      </c>
      <c r="B3" s="3" t="s">
        <v>50</v>
      </c>
      <c r="C3">
        <v>143</v>
      </c>
      <c r="D3" t="s">
        <v>1</v>
      </c>
      <c r="E3">
        <v>32.731916273852399</v>
      </c>
      <c r="F3">
        <v>32.731916273852399</v>
      </c>
      <c r="G3">
        <f>G2</f>
        <v>32.678868526924703</v>
      </c>
      <c r="H3">
        <f>H2</f>
        <v>0.2221263516680895</v>
      </c>
      <c r="I3">
        <v>32.678868526924703</v>
      </c>
      <c r="J3">
        <v>20.352400995828464</v>
      </c>
      <c r="K3">
        <f t="shared" ref="K3:K66" si="0">G3-I3</f>
        <v>0</v>
      </c>
      <c r="L3">
        <f t="shared" ref="L3:L66" si="1">G3-J3</f>
        <v>12.326467531096238</v>
      </c>
    </row>
    <row r="4" spans="1:12" x14ac:dyDescent="0.2">
      <c r="A4" t="s">
        <v>150</v>
      </c>
      <c r="B4" s="3" t="s">
        <v>51</v>
      </c>
      <c r="C4">
        <v>143</v>
      </c>
      <c r="D4" t="s">
        <v>1</v>
      </c>
      <c r="E4">
        <v>32.435021004230499</v>
      </c>
      <c r="F4">
        <v>32.435021004230499</v>
      </c>
      <c r="G4">
        <f>G2</f>
        <v>32.678868526924703</v>
      </c>
      <c r="H4">
        <f>H2</f>
        <v>0.2221263516680895</v>
      </c>
      <c r="I4">
        <v>32.678868526924703</v>
      </c>
      <c r="J4">
        <v>20.352400995828464</v>
      </c>
      <c r="K4">
        <f t="shared" si="0"/>
        <v>0</v>
      </c>
      <c r="L4">
        <f t="shared" si="1"/>
        <v>12.326467531096238</v>
      </c>
    </row>
    <row r="5" spans="1:12" x14ac:dyDescent="0.2">
      <c r="A5" t="s">
        <v>150</v>
      </c>
      <c r="B5" s="3" t="s">
        <v>52</v>
      </c>
      <c r="C5">
        <v>143</v>
      </c>
      <c r="D5" t="s">
        <v>2</v>
      </c>
      <c r="E5">
        <v>20.4321411156895</v>
      </c>
      <c r="F5">
        <v>20.4321411156895</v>
      </c>
      <c r="G5">
        <f>AVERAGE(F5:F7)</f>
        <v>20.352400995828464</v>
      </c>
      <c r="H5">
        <f>STDEV(F5:F7)</f>
        <v>6.9082915236292314E-2</v>
      </c>
      <c r="I5">
        <v>32.678868526924703</v>
      </c>
      <c r="J5">
        <v>20.3524009958285</v>
      </c>
      <c r="K5">
        <f t="shared" si="0"/>
        <v>-12.326467531096238</v>
      </c>
      <c r="L5">
        <f t="shared" si="1"/>
        <v>-3.5527136788005009E-14</v>
      </c>
    </row>
    <row r="6" spans="1:12" x14ac:dyDescent="0.2">
      <c r="A6" t="s">
        <v>150</v>
      </c>
      <c r="B6" s="3" t="s">
        <v>53</v>
      </c>
      <c r="C6">
        <v>143</v>
      </c>
      <c r="D6" t="s">
        <v>2</v>
      </c>
      <c r="E6">
        <v>20.314424118656099</v>
      </c>
      <c r="F6">
        <v>20.314424118656099</v>
      </c>
      <c r="G6">
        <f>G5</f>
        <v>20.352400995828464</v>
      </c>
      <c r="H6">
        <f>H5</f>
        <v>6.9082915236292314E-2</v>
      </c>
      <c r="I6">
        <v>32.678868526924703</v>
      </c>
      <c r="J6">
        <v>20.3524009958285</v>
      </c>
      <c r="K6">
        <f t="shared" si="0"/>
        <v>-12.326467531096238</v>
      </c>
      <c r="L6">
        <f t="shared" si="1"/>
        <v>-3.5527136788005009E-14</v>
      </c>
    </row>
    <row r="7" spans="1:12" x14ac:dyDescent="0.2">
      <c r="A7" t="s">
        <v>150</v>
      </c>
      <c r="B7" s="3" t="s">
        <v>54</v>
      </c>
      <c r="C7">
        <v>143</v>
      </c>
      <c r="D7" t="s">
        <v>2</v>
      </c>
      <c r="E7">
        <v>20.310637753139801</v>
      </c>
      <c r="F7">
        <v>20.310637753139801</v>
      </c>
      <c r="G7">
        <f>G6</f>
        <v>20.352400995828464</v>
      </c>
      <c r="H7">
        <f>H5</f>
        <v>6.9082915236292314E-2</v>
      </c>
      <c r="I7">
        <v>32.678868526924703</v>
      </c>
      <c r="J7">
        <v>20.3524009958285</v>
      </c>
      <c r="K7">
        <f t="shared" si="0"/>
        <v>-12.326467531096238</v>
      </c>
      <c r="L7">
        <f t="shared" si="1"/>
        <v>-3.5527136788005009E-14</v>
      </c>
    </row>
    <row r="8" spans="1:12" x14ac:dyDescent="0.2">
      <c r="A8" t="s">
        <v>150</v>
      </c>
      <c r="B8" s="3" t="s">
        <v>55</v>
      </c>
      <c r="C8">
        <v>143</v>
      </c>
      <c r="D8" t="s">
        <v>13</v>
      </c>
      <c r="E8">
        <v>39.775563764028803</v>
      </c>
      <c r="F8">
        <v>39.775563764028803</v>
      </c>
      <c r="G8">
        <f>AVERAGE(F8:F10)</f>
        <v>39.548269836733702</v>
      </c>
      <c r="H8">
        <f>STDEV(F8:F10)</f>
        <v>0.32144215462577558</v>
      </c>
      <c r="I8">
        <v>32.678868526924703</v>
      </c>
      <c r="J8">
        <v>20.3524009958285</v>
      </c>
      <c r="K8">
        <f t="shared" si="0"/>
        <v>6.8694013098089997</v>
      </c>
      <c r="L8">
        <f t="shared" si="1"/>
        <v>19.195868840905202</v>
      </c>
    </row>
    <row r="9" spans="1:12" x14ac:dyDescent="0.2">
      <c r="A9" t="s">
        <v>150</v>
      </c>
      <c r="B9" s="3" t="s">
        <v>56</v>
      </c>
      <c r="C9">
        <v>143</v>
      </c>
      <c r="D9" t="s">
        <v>13</v>
      </c>
      <c r="E9">
        <v>39.320975909438602</v>
      </c>
      <c r="F9">
        <v>39.320975909438602</v>
      </c>
      <c r="G9">
        <f t="shared" ref="G9:H9" si="2">G8</f>
        <v>39.548269836733702</v>
      </c>
      <c r="H9">
        <f t="shared" si="2"/>
        <v>0.32144215462577558</v>
      </c>
      <c r="I9">
        <v>32.678868526924703</v>
      </c>
      <c r="J9">
        <v>20.3524009958285</v>
      </c>
      <c r="K9">
        <f t="shared" si="0"/>
        <v>6.8694013098089997</v>
      </c>
      <c r="L9">
        <f t="shared" si="1"/>
        <v>19.195868840905202</v>
      </c>
    </row>
    <row r="10" spans="1:12" x14ac:dyDescent="0.2">
      <c r="A10" t="s">
        <v>150</v>
      </c>
      <c r="B10" s="3" t="s">
        <v>57</v>
      </c>
      <c r="C10">
        <v>143</v>
      </c>
      <c r="D10" t="s">
        <v>13</v>
      </c>
      <c r="E10">
        <v>35.6241151182344</v>
      </c>
      <c r="G10">
        <f t="shared" ref="G10:H10" si="3">G8</f>
        <v>39.548269836733702</v>
      </c>
      <c r="H10">
        <f t="shared" si="3"/>
        <v>0.32144215462577558</v>
      </c>
      <c r="I10">
        <v>32.678868526924703</v>
      </c>
      <c r="J10">
        <v>20.3524009958285</v>
      </c>
      <c r="K10">
        <f t="shared" si="0"/>
        <v>6.8694013098089997</v>
      </c>
      <c r="L10">
        <f t="shared" si="1"/>
        <v>19.195868840905202</v>
      </c>
    </row>
    <row r="11" spans="1:12" s="1" customFormat="1" x14ac:dyDescent="0.2">
      <c r="A11" s="1" t="s">
        <v>150</v>
      </c>
      <c r="B11" s="1" t="s">
        <v>58</v>
      </c>
      <c r="C11" s="1">
        <v>143</v>
      </c>
      <c r="D11" s="1" t="s">
        <v>8</v>
      </c>
      <c r="E11" s="1">
        <v>35.366466539822603</v>
      </c>
      <c r="G11" s="1" t="e">
        <f>AVERAGE(F11:F13)</f>
        <v>#DIV/0!</v>
      </c>
      <c r="H11" s="1" t="e">
        <f>STDEV(F11:F13)</f>
        <v>#DIV/0!</v>
      </c>
      <c r="I11" s="1">
        <v>32.678868526924703</v>
      </c>
      <c r="J11" s="1">
        <v>20.3524009958285</v>
      </c>
      <c r="K11" s="1" t="e">
        <f t="shared" si="0"/>
        <v>#DIV/0!</v>
      </c>
      <c r="L11" s="1" t="e">
        <f t="shared" si="1"/>
        <v>#DIV/0!</v>
      </c>
    </row>
    <row r="12" spans="1:12" s="1" customFormat="1" x14ac:dyDescent="0.2">
      <c r="A12" s="1" t="s">
        <v>150</v>
      </c>
      <c r="B12" s="1" t="s">
        <v>59</v>
      </c>
      <c r="C12" s="1">
        <v>143</v>
      </c>
      <c r="D12" s="1" t="s">
        <v>8</v>
      </c>
      <c r="E12" s="1">
        <v>36.4722887945968</v>
      </c>
      <c r="G12" s="1" t="e">
        <f t="shared" ref="G12:H13" si="4">G11</f>
        <v>#DIV/0!</v>
      </c>
      <c r="H12" s="1" t="e">
        <f t="shared" si="4"/>
        <v>#DIV/0!</v>
      </c>
      <c r="I12" s="1">
        <v>32.678868526924703</v>
      </c>
      <c r="J12" s="1">
        <v>20.3524009958285</v>
      </c>
      <c r="K12" s="1" t="e">
        <f t="shared" si="0"/>
        <v>#DIV/0!</v>
      </c>
      <c r="L12" s="1" t="e">
        <f t="shared" si="1"/>
        <v>#DIV/0!</v>
      </c>
    </row>
    <row r="13" spans="1:12" s="1" customFormat="1" x14ac:dyDescent="0.2">
      <c r="A13" s="1" t="s">
        <v>150</v>
      </c>
      <c r="B13" s="1" t="s">
        <v>60</v>
      </c>
      <c r="C13" s="1">
        <v>143</v>
      </c>
      <c r="D13" s="1" t="s">
        <v>8</v>
      </c>
      <c r="E13" s="1">
        <v>39.802024155917202</v>
      </c>
      <c r="G13" s="1" t="e">
        <f t="shared" si="4"/>
        <v>#DIV/0!</v>
      </c>
      <c r="H13" s="1" t="e">
        <f t="shared" ref="H13" si="5">H11</f>
        <v>#DIV/0!</v>
      </c>
      <c r="I13" s="1">
        <v>32.678868526924703</v>
      </c>
      <c r="J13" s="1">
        <v>20.3524009958285</v>
      </c>
      <c r="K13" s="1" t="e">
        <f t="shared" si="0"/>
        <v>#DIV/0!</v>
      </c>
      <c r="L13" s="1" t="e">
        <f t="shared" si="1"/>
        <v>#DIV/0!</v>
      </c>
    </row>
    <row r="14" spans="1:12" x14ac:dyDescent="0.2">
      <c r="A14" t="s">
        <v>150</v>
      </c>
      <c r="B14" s="3" t="s">
        <v>61</v>
      </c>
      <c r="C14">
        <v>143</v>
      </c>
      <c r="D14" t="s">
        <v>5</v>
      </c>
      <c r="E14">
        <v>36.544452556735401</v>
      </c>
      <c r="F14">
        <v>36.544452556735401</v>
      </c>
      <c r="G14">
        <f>AVERAGE(F14:F16)</f>
        <v>36.334202206007951</v>
      </c>
      <c r="H14">
        <f>STDEV(F14:F16)</f>
        <v>0.29733889749245851</v>
      </c>
      <c r="I14">
        <v>32.678868526924703</v>
      </c>
      <c r="J14">
        <v>20.3524009958285</v>
      </c>
      <c r="K14">
        <f t="shared" si="0"/>
        <v>3.6553336790832489</v>
      </c>
      <c r="L14">
        <f t="shared" si="1"/>
        <v>15.981801210179452</v>
      </c>
    </row>
    <row r="15" spans="1:12" x14ac:dyDescent="0.2">
      <c r="A15" t="s">
        <v>150</v>
      </c>
      <c r="B15" s="3" t="s">
        <v>62</v>
      </c>
      <c r="C15">
        <v>143</v>
      </c>
      <c r="D15" t="s">
        <v>5</v>
      </c>
      <c r="E15">
        <v>36.123951855280502</v>
      </c>
      <c r="F15">
        <v>36.123951855280502</v>
      </c>
      <c r="G15">
        <f t="shared" ref="G15:H15" si="6">G14</f>
        <v>36.334202206007951</v>
      </c>
      <c r="H15">
        <f t="shared" si="6"/>
        <v>0.29733889749245851</v>
      </c>
      <c r="I15">
        <v>32.678868526924703</v>
      </c>
      <c r="J15">
        <v>20.3524009958285</v>
      </c>
      <c r="K15">
        <f t="shared" si="0"/>
        <v>3.6553336790832489</v>
      </c>
      <c r="L15">
        <f t="shared" si="1"/>
        <v>15.981801210179452</v>
      </c>
    </row>
    <row r="16" spans="1:12" x14ac:dyDescent="0.2">
      <c r="A16" t="s">
        <v>150</v>
      </c>
      <c r="B16" s="3" t="s">
        <v>63</v>
      </c>
      <c r="C16">
        <v>143</v>
      </c>
      <c r="D16" t="s">
        <v>5</v>
      </c>
      <c r="E16">
        <v>37.495096196231401</v>
      </c>
      <c r="G16">
        <f t="shared" ref="G16:H16" si="7">G14</f>
        <v>36.334202206007951</v>
      </c>
      <c r="H16">
        <f t="shared" si="7"/>
        <v>0.29733889749245851</v>
      </c>
      <c r="I16">
        <v>32.678868526924703</v>
      </c>
      <c r="J16">
        <v>20.3524009958285</v>
      </c>
      <c r="K16">
        <f t="shared" si="0"/>
        <v>3.6553336790832489</v>
      </c>
      <c r="L16">
        <f t="shared" si="1"/>
        <v>15.981801210179452</v>
      </c>
    </row>
    <row r="17" spans="1:12" s="1" customFormat="1" x14ac:dyDescent="0.2">
      <c r="A17" s="1" t="s">
        <v>150</v>
      </c>
      <c r="B17" s="1" t="s">
        <v>64</v>
      </c>
      <c r="C17" s="1">
        <v>143</v>
      </c>
      <c r="D17" s="1" t="s">
        <v>3</v>
      </c>
      <c r="E17" s="1">
        <v>39.471748661862598</v>
      </c>
      <c r="G17" s="1" t="e">
        <f>AVERAGE(F17:F19)</f>
        <v>#DIV/0!</v>
      </c>
      <c r="H17" s="1" t="e">
        <f>STDEV(F17:F19)</f>
        <v>#DIV/0!</v>
      </c>
      <c r="I17" s="1">
        <v>32.678868526924703</v>
      </c>
      <c r="J17" s="1">
        <v>20.3524009958285</v>
      </c>
      <c r="K17" s="1" t="e">
        <f t="shared" si="0"/>
        <v>#DIV/0!</v>
      </c>
      <c r="L17" s="1" t="e">
        <f t="shared" si="1"/>
        <v>#DIV/0!</v>
      </c>
    </row>
    <row r="18" spans="1:12" s="1" customFormat="1" x14ac:dyDescent="0.2">
      <c r="A18" s="1" t="s">
        <v>150</v>
      </c>
      <c r="B18" s="1" t="s">
        <v>65</v>
      </c>
      <c r="C18" s="1">
        <v>143</v>
      </c>
      <c r="D18" s="1" t="s">
        <v>3</v>
      </c>
      <c r="E18" s="1">
        <v>37.582737752295998</v>
      </c>
      <c r="G18" s="1" t="e">
        <f t="shared" ref="G18:H19" si="8">G17</f>
        <v>#DIV/0!</v>
      </c>
      <c r="H18" s="1" t="e">
        <f t="shared" si="8"/>
        <v>#DIV/0!</v>
      </c>
      <c r="I18" s="1">
        <v>32.678868526924703</v>
      </c>
      <c r="J18" s="1">
        <v>20.3524009958285</v>
      </c>
      <c r="K18" s="1" t="e">
        <f t="shared" si="0"/>
        <v>#DIV/0!</v>
      </c>
      <c r="L18" s="1" t="e">
        <f t="shared" si="1"/>
        <v>#DIV/0!</v>
      </c>
    </row>
    <row r="19" spans="1:12" s="1" customFormat="1" x14ac:dyDescent="0.2">
      <c r="A19" s="1" t="s">
        <v>150</v>
      </c>
      <c r="B19" s="1" t="s">
        <v>66</v>
      </c>
      <c r="C19" s="1">
        <v>143</v>
      </c>
      <c r="D19" s="1" t="s">
        <v>3</v>
      </c>
      <c r="E19" s="1">
        <v>35.285919209058001</v>
      </c>
      <c r="G19" s="1" t="e">
        <f t="shared" si="8"/>
        <v>#DIV/0!</v>
      </c>
      <c r="H19" s="1" t="e">
        <f t="shared" ref="H19" si="9">H17</f>
        <v>#DIV/0!</v>
      </c>
      <c r="I19" s="1">
        <v>32.678868526924703</v>
      </c>
      <c r="J19" s="1">
        <v>20.3524009958285</v>
      </c>
      <c r="K19" s="1" t="e">
        <f t="shared" si="0"/>
        <v>#DIV/0!</v>
      </c>
      <c r="L19" s="1" t="e">
        <f t="shared" si="1"/>
        <v>#DIV/0!</v>
      </c>
    </row>
    <row r="20" spans="1:12" s="1" customFormat="1" x14ac:dyDescent="0.2">
      <c r="A20" s="1" t="s">
        <v>150</v>
      </c>
      <c r="B20" s="1" t="s">
        <v>67</v>
      </c>
      <c r="C20" s="1">
        <v>143</v>
      </c>
      <c r="D20" s="1" t="s">
        <v>14</v>
      </c>
      <c r="E20" s="1">
        <v>34.959436509136097</v>
      </c>
      <c r="G20" s="1" t="e">
        <f>AVERAGE(F20:F22)</f>
        <v>#DIV/0!</v>
      </c>
      <c r="H20" s="1" t="e">
        <f>STDEV(F20:F22)</f>
        <v>#DIV/0!</v>
      </c>
      <c r="I20" s="1">
        <v>32.678868526924703</v>
      </c>
      <c r="J20" s="1">
        <v>20.3524009958285</v>
      </c>
      <c r="K20" s="1" t="e">
        <f t="shared" si="0"/>
        <v>#DIV/0!</v>
      </c>
      <c r="L20" s="1" t="e">
        <f t="shared" si="1"/>
        <v>#DIV/0!</v>
      </c>
    </row>
    <row r="21" spans="1:12" s="1" customFormat="1" x14ac:dyDescent="0.2">
      <c r="A21" s="1" t="s">
        <v>150</v>
      </c>
      <c r="B21" s="1" t="s">
        <v>68</v>
      </c>
      <c r="C21" s="1">
        <v>143</v>
      </c>
      <c r="D21" s="1" t="s">
        <v>14</v>
      </c>
      <c r="E21" s="1">
        <v>38.345266044219997</v>
      </c>
      <c r="G21" s="1" t="e">
        <f t="shared" ref="G21:H21" si="10">G20</f>
        <v>#DIV/0!</v>
      </c>
      <c r="H21" s="1" t="e">
        <f t="shared" si="10"/>
        <v>#DIV/0!</v>
      </c>
      <c r="I21" s="1">
        <v>32.678868526924703</v>
      </c>
      <c r="J21" s="1">
        <v>20.3524009958285</v>
      </c>
      <c r="K21" s="1" t="e">
        <f t="shared" si="0"/>
        <v>#DIV/0!</v>
      </c>
      <c r="L21" s="1" t="e">
        <f t="shared" si="1"/>
        <v>#DIV/0!</v>
      </c>
    </row>
    <row r="22" spans="1:12" s="1" customFormat="1" x14ac:dyDescent="0.2">
      <c r="A22" s="1" t="s">
        <v>150</v>
      </c>
      <c r="B22" s="1" t="s">
        <v>69</v>
      </c>
      <c r="C22" s="1">
        <v>143</v>
      </c>
      <c r="D22" s="1" t="s">
        <v>14</v>
      </c>
      <c r="E22" s="1" t="s">
        <v>155</v>
      </c>
      <c r="G22" s="1" t="e">
        <f t="shared" ref="G22:H22" si="11">G20</f>
        <v>#DIV/0!</v>
      </c>
      <c r="H22" s="1" t="e">
        <f t="shared" si="11"/>
        <v>#DIV/0!</v>
      </c>
      <c r="I22" s="1">
        <v>32.678868526924703</v>
      </c>
      <c r="J22" s="1">
        <v>20.3524009958285</v>
      </c>
      <c r="K22" s="1" t="e">
        <f t="shared" si="0"/>
        <v>#DIV/0!</v>
      </c>
      <c r="L22" s="1" t="e">
        <f t="shared" si="1"/>
        <v>#DIV/0!</v>
      </c>
    </row>
    <row r="23" spans="1:12" x14ac:dyDescent="0.2">
      <c r="A23" t="s">
        <v>150</v>
      </c>
      <c r="B23" s="3" t="s">
        <v>70</v>
      </c>
      <c r="C23">
        <v>143</v>
      </c>
      <c r="D23" t="s">
        <v>7</v>
      </c>
      <c r="E23">
        <v>34.688658087779302</v>
      </c>
      <c r="G23">
        <f>AVERAGE(F23:F25)</f>
        <v>35.782561817978049</v>
      </c>
      <c r="H23">
        <f>STDEV(F23:F25)</f>
        <v>0.35574927181724597</v>
      </c>
      <c r="I23">
        <v>32.678868526924703</v>
      </c>
      <c r="J23">
        <v>20.3524009958285</v>
      </c>
      <c r="K23">
        <f t="shared" si="0"/>
        <v>3.1036932910533466</v>
      </c>
      <c r="L23">
        <f t="shared" si="1"/>
        <v>15.430160822149549</v>
      </c>
    </row>
    <row r="24" spans="1:12" x14ac:dyDescent="0.2">
      <c r="A24" t="s">
        <v>150</v>
      </c>
      <c r="B24" s="3" t="s">
        <v>71</v>
      </c>
      <c r="C24">
        <v>143</v>
      </c>
      <c r="D24" t="s">
        <v>7</v>
      </c>
      <c r="E24">
        <v>35.531009095473898</v>
      </c>
      <c r="F24">
        <v>35.531009095473898</v>
      </c>
      <c r="G24">
        <f t="shared" ref="G24:H25" si="12">G23</f>
        <v>35.782561817978049</v>
      </c>
      <c r="H24">
        <f t="shared" si="12"/>
        <v>0.35574927181724597</v>
      </c>
      <c r="I24">
        <v>32.678868526924703</v>
      </c>
      <c r="J24">
        <v>20.3524009958285</v>
      </c>
      <c r="K24">
        <f t="shared" si="0"/>
        <v>3.1036932910533466</v>
      </c>
      <c r="L24">
        <f t="shared" si="1"/>
        <v>15.430160822149549</v>
      </c>
    </row>
    <row r="25" spans="1:12" x14ac:dyDescent="0.2">
      <c r="A25" t="s">
        <v>150</v>
      </c>
      <c r="B25" s="3" t="s">
        <v>72</v>
      </c>
      <c r="C25">
        <v>143</v>
      </c>
      <c r="D25" t="s">
        <v>7</v>
      </c>
      <c r="E25">
        <v>36.0341145404822</v>
      </c>
      <c r="F25">
        <v>36.0341145404822</v>
      </c>
      <c r="G25">
        <f t="shared" si="12"/>
        <v>35.782561817978049</v>
      </c>
      <c r="H25">
        <f t="shared" ref="H25" si="13">H23</f>
        <v>0.35574927181724597</v>
      </c>
      <c r="I25">
        <v>32.678868526924703</v>
      </c>
      <c r="J25">
        <v>20.3524009958285</v>
      </c>
      <c r="K25">
        <f t="shared" si="0"/>
        <v>3.1036932910533466</v>
      </c>
      <c r="L25">
        <f t="shared" si="1"/>
        <v>15.430160822149549</v>
      </c>
    </row>
    <row r="26" spans="1:12" x14ac:dyDescent="0.2">
      <c r="A26" t="s">
        <v>150</v>
      </c>
      <c r="B26" s="3" t="s">
        <v>73</v>
      </c>
      <c r="C26">
        <v>146</v>
      </c>
      <c r="D26" t="s">
        <v>1</v>
      </c>
      <c r="E26">
        <v>33.014467025413403</v>
      </c>
      <c r="F26">
        <v>33.014467025413403</v>
      </c>
      <c r="G26">
        <f>AVERAGE(F26:F28)</f>
        <v>32.7503685162891</v>
      </c>
      <c r="H26">
        <f>STDEV(F26:F28)</f>
        <v>0.37349169340610311</v>
      </c>
      <c r="I26">
        <f>G26</f>
        <v>32.7503685162891</v>
      </c>
      <c r="J26">
        <f>G29</f>
        <v>17.209622540525253</v>
      </c>
      <c r="K26">
        <f t="shared" si="0"/>
        <v>0</v>
      </c>
      <c r="L26">
        <f t="shared" si="1"/>
        <v>15.540745975763848</v>
      </c>
    </row>
    <row r="27" spans="1:12" x14ac:dyDescent="0.2">
      <c r="A27" t="s">
        <v>150</v>
      </c>
      <c r="B27" s="3" t="s">
        <v>74</v>
      </c>
      <c r="C27">
        <v>146</v>
      </c>
      <c r="D27" t="s">
        <v>1</v>
      </c>
      <c r="E27">
        <v>32.486270007164798</v>
      </c>
      <c r="F27">
        <v>32.486270007164798</v>
      </c>
      <c r="G27">
        <f t="shared" ref="G27:H27" si="14">G26</f>
        <v>32.7503685162891</v>
      </c>
      <c r="H27">
        <f t="shared" si="14"/>
        <v>0.37349169340610311</v>
      </c>
      <c r="I27">
        <v>32.7503685162891</v>
      </c>
      <c r="J27">
        <v>17.209622540525253</v>
      </c>
      <c r="K27">
        <f t="shared" si="0"/>
        <v>0</v>
      </c>
      <c r="L27">
        <f t="shared" si="1"/>
        <v>15.540745975763848</v>
      </c>
    </row>
    <row r="28" spans="1:12" x14ac:dyDescent="0.2">
      <c r="A28" t="s">
        <v>150</v>
      </c>
      <c r="B28" s="3" t="s">
        <v>75</v>
      </c>
      <c r="C28">
        <v>146</v>
      </c>
      <c r="D28" t="s">
        <v>1</v>
      </c>
      <c r="E28">
        <v>33.708913035704299</v>
      </c>
      <c r="G28">
        <f t="shared" ref="G28:H28" si="15">G26</f>
        <v>32.7503685162891</v>
      </c>
      <c r="H28">
        <f t="shared" si="15"/>
        <v>0.37349169340610311</v>
      </c>
      <c r="I28">
        <v>32.7503685162891</v>
      </c>
      <c r="J28">
        <v>17.209622540525253</v>
      </c>
      <c r="K28">
        <f t="shared" si="0"/>
        <v>0</v>
      </c>
      <c r="L28">
        <f t="shared" si="1"/>
        <v>15.540745975763848</v>
      </c>
    </row>
    <row r="29" spans="1:12" x14ac:dyDescent="0.2">
      <c r="A29" t="s">
        <v>150</v>
      </c>
      <c r="B29" s="3" t="s">
        <v>76</v>
      </c>
      <c r="C29">
        <v>146</v>
      </c>
      <c r="D29" t="s">
        <v>2</v>
      </c>
      <c r="E29">
        <v>18.204251663170801</v>
      </c>
      <c r="G29">
        <f>AVERAGE(F29:F31)</f>
        <v>17.209622540525253</v>
      </c>
      <c r="H29">
        <f>STDEV(F29:F31)</f>
        <v>1.3113346520718471E-2</v>
      </c>
      <c r="I29">
        <v>32.7503685162891</v>
      </c>
      <c r="J29">
        <v>17.209622540525299</v>
      </c>
      <c r="K29">
        <f t="shared" si="0"/>
        <v>-15.540745975763848</v>
      </c>
      <c r="L29">
        <f t="shared" si="1"/>
        <v>-4.6185277824406512E-14</v>
      </c>
    </row>
    <row r="30" spans="1:12" x14ac:dyDescent="0.2">
      <c r="A30" t="s">
        <v>150</v>
      </c>
      <c r="B30" s="3" t="s">
        <v>77</v>
      </c>
      <c r="C30">
        <v>146</v>
      </c>
      <c r="D30" t="s">
        <v>2</v>
      </c>
      <c r="E30">
        <v>17.2188950767741</v>
      </c>
      <c r="F30">
        <v>17.2188950767741</v>
      </c>
      <c r="G30">
        <f t="shared" ref="G30:H31" si="16">G29</f>
        <v>17.209622540525253</v>
      </c>
      <c r="H30">
        <f t="shared" si="16"/>
        <v>1.3113346520718471E-2</v>
      </c>
      <c r="I30">
        <v>32.7503685162891</v>
      </c>
      <c r="J30">
        <v>17.209622540525299</v>
      </c>
      <c r="K30">
        <f t="shared" si="0"/>
        <v>-15.540745975763848</v>
      </c>
      <c r="L30">
        <f t="shared" si="1"/>
        <v>-4.6185277824406512E-14</v>
      </c>
    </row>
    <row r="31" spans="1:12" x14ac:dyDescent="0.2">
      <c r="A31" t="s">
        <v>150</v>
      </c>
      <c r="B31" s="3" t="s">
        <v>78</v>
      </c>
      <c r="C31">
        <v>146</v>
      </c>
      <c r="D31" t="s">
        <v>2</v>
      </c>
      <c r="E31">
        <v>17.200350004276402</v>
      </c>
      <c r="F31">
        <v>17.200350004276402</v>
      </c>
      <c r="G31">
        <f t="shared" si="16"/>
        <v>17.209622540525253</v>
      </c>
      <c r="H31">
        <f t="shared" ref="H31" si="17">H29</f>
        <v>1.3113346520718471E-2</v>
      </c>
      <c r="I31">
        <v>32.7503685162891</v>
      </c>
      <c r="J31">
        <v>17.209622540525299</v>
      </c>
      <c r="K31">
        <f t="shared" si="0"/>
        <v>-15.540745975763848</v>
      </c>
      <c r="L31">
        <f t="shared" si="1"/>
        <v>-4.6185277824406512E-14</v>
      </c>
    </row>
    <row r="32" spans="1:12" s="1" customFormat="1" x14ac:dyDescent="0.2">
      <c r="A32" s="1" t="s">
        <v>150</v>
      </c>
      <c r="B32" s="1" t="s">
        <v>79</v>
      </c>
      <c r="C32" s="1">
        <v>146</v>
      </c>
      <c r="D32" s="1" t="s">
        <v>8</v>
      </c>
      <c r="E32" s="1">
        <v>38.294189525510497</v>
      </c>
      <c r="G32" s="1" t="e">
        <f>AVERAGE(F32:F34)</f>
        <v>#DIV/0!</v>
      </c>
      <c r="H32" s="1" t="e">
        <f>STDEV(F32:F34)</f>
        <v>#DIV/0!</v>
      </c>
      <c r="I32" s="1">
        <v>32.7503685162891</v>
      </c>
      <c r="J32" s="1">
        <v>17.209622540525299</v>
      </c>
      <c r="K32" s="1" t="e">
        <f t="shared" si="0"/>
        <v>#DIV/0!</v>
      </c>
      <c r="L32" s="1" t="e">
        <f t="shared" si="1"/>
        <v>#DIV/0!</v>
      </c>
    </row>
    <row r="33" spans="1:12" s="1" customFormat="1" x14ac:dyDescent="0.2">
      <c r="A33" s="1" t="s">
        <v>150</v>
      </c>
      <c r="B33" s="1" t="s">
        <v>80</v>
      </c>
      <c r="C33" s="1">
        <v>146</v>
      </c>
      <c r="D33" s="1" t="s">
        <v>8</v>
      </c>
      <c r="E33" s="1">
        <v>35.324847847808101</v>
      </c>
      <c r="G33" s="1" t="e">
        <f t="shared" ref="G33:H33" si="18">G32</f>
        <v>#DIV/0!</v>
      </c>
      <c r="H33" s="1" t="e">
        <f t="shared" si="18"/>
        <v>#DIV/0!</v>
      </c>
      <c r="I33" s="1">
        <v>32.7503685162891</v>
      </c>
      <c r="J33" s="1">
        <v>17.209622540525299</v>
      </c>
      <c r="K33" s="1" t="e">
        <f t="shared" si="0"/>
        <v>#DIV/0!</v>
      </c>
      <c r="L33" s="1" t="e">
        <f t="shared" si="1"/>
        <v>#DIV/0!</v>
      </c>
    </row>
    <row r="34" spans="1:12" s="1" customFormat="1" x14ac:dyDescent="0.2">
      <c r="A34" s="1" t="s">
        <v>150</v>
      </c>
      <c r="B34" s="1" t="s">
        <v>81</v>
      </c>
      <c r="C34" s="1">
        <v>146</v>
      </c>
      <c r="D34" s="1" t="s">
        <v>8</v>
      </c>
      <c r="E34" s="1">
        <v>34.266507709454402</v>
      </c>
      <c r="G34" s="1" t="e">
        <f t="shared" ref="G34:H34" si="19">G32</f>
        <v>#DIV/0!</v>
      </c>
      <c r="H34" s="1" t="e">
        <f t="shared" si="19"/>
        <v>#DIV/0!</v>
      </c>
      <c r="I34" s="1">
        <v>32.7503685162891</v>
      </c>
      <c r="J34" s="1">
        <v>17.209622540525299</v>
      </c>
      <c r="K34" s="1" t="e">
        <f t="shared" si="0"/>
        <v>#DIV/0!</v>
      </c>
      <c r="L34" s="1" t="e">
        <f t="shared" si="1"/>
        <v>#DIV/0!</v>
      </c>
    </row>
    <row r="35" spans="1:12" s="1" customFormat="1" x14ac:dyDescent="0.2">
      <c r="A35" s="1" t="s">
        <v>150</v>
      </c>
      <c r="B35" s="1" t="s">
        <v>82</v>
      </c>
      <c r="C35" s="1">
        <v>146</v>
      </c>
      <c r="D35" s="1" t="s">
        <v>14</v>
      </c>
      <c r="E35" s="1" t="s">
        <v>155</v>
      </c>
      <c r="F35" s="1" t="s">
        <v>155</v>
      </c>
      <c r="G35" s="1" t="e">
        <f>AVERAGE(F35:F37)</f>
        <v>#DIV/0!</v>
      </c>
      <c r="H35" s="1" t="e">
        <f>STDEV(F35:F37)</f>
        <v>#DIV/0!</v>
      </c>
      <c r="I35" s="1">
        <v>32.7503685162891</v>
      </c>
      <c r="J35" s="1">
        <v>17.209622540525299</v>
      </c>
      <c r="K35" s="1" t="e">
        <f t="shared" si="0"/>
        <v>#DIV/0!</v>
      </c>
      <c r="L35" s="1" t="e">
        <f t="shared" si="1"/>
        <v>#DIV/0!</v>
      </c>
    </row>
    <row r="36" spans="1:12" s="1" customFormat="1" x14ac:dyDescent="0.2">
      <c r="A36" s="1" t="s">
        <v>150</v>
      </c>
      <c r="B36" s="1" t="s">
        <v>83</v>
      </c>
      <c r="C36" s="1">
        <v>146</v>
      </c>
      <c r="D36" s="1" t="s">
        <v>14</v>
      </c>
      <c r="E36" s="1" t="s">
        <v>155</v>
      </c>
      <c r="F36" s="1" t="s">
        <v>155</v>
      </c>
      <c r="G36" s="1" t="e">
        <f t="shared" ref="G36:H37" si="20">G35</f>
        <v>#DIV/0!</v>
      </c>
      <c r="H36" s="1" t="e">
        <f t="shared" si="20"/>
        <v>#DIV/0!</v>
      </c>
      <c r="I36" s="1">
        <v>32.7503685162891</v>
      </c>
      <c r="J36" s="1">
        <v>17.209622540525299</v>
      </c>
      <c r="K36" s="1" t="e">
        <f t="shared" si="0"/>
        <v>#DIV/0!</v>
      </c>
      <c r="L36" s="1" t="e">
        <f t="shared" si="1"/>
        <v>#DIV/0!</v>
      </c>
    </row>
    <row r="37" spans="1:12" s="1" customFormat="1" x14ac:dyDescent="0.2">
      <c r="A37" s="1" t="s">
        <v>150</v>
      </c>
      <c r="B37" s="1" t="s">
        <v>84</v>
      </c>
      <c r="C37" s="1">
        <v>146</v>
      </c>
      <c r="D37" s="1" t="s">
        <v>14</v>
      </c>
      <c r="E37" s="1" t="s">
        <v>155</v>
      </c>
      <c r="F37" s="1" t="s">
        <v>155</v>
      </c>
      <c r="G37" s="1" t="e">
        <f t="shared" si="20"/>
        <v>#DIV/0!</v>
      </c>
      <c r="H37" s="1" t="e">
        <f t="shared" ref="H37" si="21">H35</f>
        <v>#DIV/0!</v>
      </c>
      <c r="I37" s="1">
        <v>32.7503685162891</v>
      </c>
      <c r="J37" s="1">
        <v>17.209622540525299</v>
      </c>
      <c r="K37" s="1" t="e">
        <f t="shared" si="0"/>
        <v>#DIV/0!</v>
      </c>
      <c r="L37" s="1" t="e">
        <f t="shared" si="1"/>
        <v>#DIV/0!</v>
      </c>
    </row>
    <row r="38" spans="1:12" x14ac:dyDescent="0.2">
      <c r="A38" t="s">
        <v>150</v>
      </c>
      <c r="B38" s="3" t="s">
        <v>85</v>
      </c>
      <c r="C38">
        <v>146</v>
      </c>
      <c r="D38" t="s">
        <v>7</v>
      </c>
      <c r="E38">
        <v>34.5855906990382</v>
      </c>
      <c r="F38">
        <v>34.5855906990382</v>
      </c>
      <c r="G38">
        <f>AVERAGE(F38:F40)</f>
        <v>34.868394888512597</v>
      </c>
      <c r="H38">
        <f>STDEV(F38:F40)</f>
        <v>0.39994552025062852</v>
      </c>
      <c r="I38">
        <v>32.7503685162891</v>
      </c>
      <c r="J38">
        <v>17.209622540525299</v>
      </c>
      <c r="K38">
        <f t="shared" si="0"/>
        <v>2.1180263722234969</v>
      </c>
      <c r="L38">
        <f t="shared" si="1"/>
        <v>17.658772347987298</v>
      </c>
    </row>
    <row r="39" spans="1:12" x14ac:dyDescent="0.2">
      <c r="A39" t="s">
        <v>150</v>
      </c>
      <c r="B39" s="3" t="s">
        <v>86</v>
      </c>
      <c r="C39">
        <v>146</v>
      </c>
      <c r="D39" t="s">
        <v>7</v>
      </c>
      <c r="E39">
        <v>35.151199077987002</v>
      </c>
      <c r="F39">
        <v>35.151199077987002</v>
      </c>
      <c r="G39">
        <f t="shared" ref="G39:H39" si="22">G38</f>
        <v>34.868394888512597</v>
      </c>
      <c r="H39">
        <f t="shared" si="22"/>
        <v>0.39994552025062852</v>
      </c>
      <c r="I39">
        <v>32.7503685162891</v>
      </c>
      <c r="J39">
        <v>17.209622540525299</v>
      </c>
      <c r="K39">
        <f t="shared" si="0"/>
        <v>2.1180263722234969</v>
      </c>
      <c r="L39">
        <f t="shared" si="1"/>
        <v>17.658772347987298</v>
      </c>
    </row>
    <row r="40" spans="1:12" x14ac:dyDescent="0.2">
      <c r="A40" t="s">
        <v>150</v>
      </c>
      <c r="B40" s="3" t="s">
        <v>87</v>
      </c>
      <c r="C40">
        <v>146</v>
      </c>
      <c r="D40" t="s">
        <v>7</v>
      </c>
      <c r="E40">
        <v>35.932942762256097</v>
      </c>
      <c r="G40">
        <f t="shared" ref="G40:H40" si="23">G38</f>
        <v>34.868394888512597</v>
      </c>
      <c r="H40">
        <f t="shared" si="23"/>
        <v>0.39994552025062852</v>
      </c>
      <c r="I40">
        <v>32.7503685162891</v>
      </c>
      <c r="J40">
        <v>17.209622540525299</v>
      </c>
      <c r="K40">
        <f t="shared" si="0"/>
        <v>2.1180263722234969</v>
      </c>
      <c r="L40">
        <f t="shared" si="1"/>
        <v>17.658772347987298</v>
      </c>
    </row>
    <row r="41" spans="1:12" s="1" customFormat="1" x14ac:dyDescent="0.2">
      <c r="A41" s="1" t="s">
        <v>150</v>
      </c>
      <c r="B41" s="1" t="s">
        <v>88</v>
      </c>
      <c r="C41" s="1">
        <v>146</v>
      </c>
      <c r="D41" s="1" t="s">
        <v>10</v>
      </c>
      <c r="E41" s="1">
        <v>38.743220313806297</v>
      </c>
      <c r="G41" s="1" t="e">
        <f>AVERAGE(F41:F43)</f>
        <v>#DIV/0!</v>
      </c>
      <c r="H41" s="1" t="e">
        <f>STDEV(F41:F43)</f>
        <v>#DIV/0!</v>
      </c>
      <c r="I41" s="1">
        <v>32.7503685162891</v>
      </c>
      <c r="J41" s="1">
        <v>17.209622540525299</v>
      </c>
      <c r="K41" s="1" t="e">
        <f t="shared" si="0"/>
        <v>#DIV/0!</v>
      </c>
      <c r="L41" s="1" t="e">
        <f t="shared" si="1"/>
        <v>#DIV/0!</v>
      </c>
    </row>
    <row r="42" spans="1:12" s="1" customFormat="1" x14ac:dyDescent="0.2">
      <c r="A42" s="1" t="s">
        <v>150</v>
      </c>
      <c r="B42" s="1" t="s">
        <v>89</v>
      </c>
      <c r="C42" s="1">
        <v>146</v>
      </c>
      <c r="D42" s="1" t="s">
        <v>10</v>
      </c>
      <c r="E42" s="1">
        <v>33.237021358021899</v>
      </c>
      <c r="G42" s="1" t="e">
        <f t="shared" ref="G42:H43" si="24">G41</f>
        <v>#DIV/0!</v>
      </c>
      <c r="H42" s="1" t="e">
        <f t="shared" si="24"/>
        <v>#DIV/0!</v>
      </c>
      <c r="I42" s="1">
        <v>32.7503685162891</v>
      </c>
      <c r="J42" s="1">
        <v>17.209622540525299</v>
      </c>
      <c r="K42" s="1" t="e">
        <f t="shared" si="0"/>
        <v>#DIV/0!</v>
      </c>
      <c r="L42" s="1" t="e">
        <f t="shared" si="1"/>
        <v>#DIV/0!</v>
      </c>
    </row>
    <row r="43" spans="1:12" s="1" customFormat="1" x14ac:dyDescent="0.2">
      <c r="A43" s="1" t="s">
        <v>150</v>
      </c>
      <c r="B43" s="1" t="s">
        <v>90</v>
      </c>
      <c r="C43" s="1">
        <v>146</v>
      </c>
      <c r="D43" s="1" t="s">
        <v>10</v>
      </c>
      <c r="E43" s="1">
        <v>35.3199580768609</v>
      </c>
      <c r="G43" s="1" t="e">
        <f t="shared" si="24"/>
        <v>#DIV/0!</v>
      </c>
      <c r="H43" s="1" t="e">
        <f t="shared" ref="H43" si="25">H41</f>
        <v>#DIV/0!</v>
      </c>
      <c r="I43" s="1">
        <v>32.7503685162891</v>
      </c>
      <c r="J43" s="1">
        <v>17.209622540525299</v>
      </c>
      <c r="K43" s="1" t="e">
        <f t="shared" si="0"/>
        <v>#DIV/0!</v>
      </c>
      <c r="L43" s="1" t="e">
        <f t="shared" si="1"/>
        <v>#DIV/0!</v>
      </c>
    </row>
    <row r="44" spans="1:12" x14ac:dyDescent="0.2">
      <c r="A44" t="s">
        <v>150</v>
      </c>
      <c r="B44" s="3" t="s">
        <v>91</v>
      </c>
      <c r="C44">
        <v>149</v>
      </c>
      <c r="D44" t="s">
        <v>1</v>
      </c>
      <c r="E44">
        <v>32.856300775502</v>
      </c>
      <c r="G44">
        <f>AVERAGE(F44:F46)</f>
        <v>31.611786321191552</v>
      </c>
      <c r="H44">
        <f>STDEV(F44:F46)</f>
        <v>0.32131496868025244</v>
      </c>
      <c r="I44">
        <f>G44</f>
        <v>31.611786321191552</v>
      </c>
      <c r="J44">
        <f>G47</f>
        <v>19.019847640355501</v>
      </c>
      <c r="K44">
        <f t="shared" si="0"/>
        <v>0</v>
      </c>
      <c r="L44">
        <f t="shared" si="1"/>
        <v>12.591938680836051</v>
      </c>
    </row>
    <row r="45" spans="1:12" x14ac:dyDescent="0.2">
      <c r="A45" t="s">
        <v>150</v>
      </c>
      <c r="B45" s="3" t="s">
        <v>92</v>
      </c>
      <c r="C45">
        <v>149</v>
      </c>
      <c r="D45" t="s">
        <v>1</v>
      </c>
      <c r="E45">
        <v>31.8389903144421</v>
      </c>
      <c r="F45">
        <v>31.8389903144421</v>
      </c>
      <c r="G45">
        <f t="shared" ref="G45:H45" si="26">G44</f>
        <v>31.611786321191552</v>
      </c>
      <c r="H45">
        <f t="shared" si="26"/>
        <v>0.32131496868025244</v>
      </c>
      <c r="I45">
        <v>31.611786321191552</v>
      </c>
      <c r="J45">
        <v>19.019847640355501</v>
      </c>
      <c r="K45">
        <f t="shared" si="0"/>
        <v>0</v>
      </c>
      <c r="L45">
        <f t="shared" si="1"/>
        <v>12.591938680836051</v>
      </c>
    </row>
    <row r="46" spans="1:12" x14ac:dyDescent="0.2">
      <c r="A46" t="s">
        <v>150</v>
      </c>
      <c r="B46" s="3" t="s">
        <v>93</v>
      </c>
      <c r="C46">
        <v>149</v>
      </c>
      <c r="D46" t="s">
        <v>1</v>
      </c>
      <c r="E46">
        <v>31.384582327941001</v>
      </c>
      <c r="F46">
        <v>31.384582327941001</v>
      </c>
      <c r="G46">
        <f t="shared" ref="G46:H46" si="27">G44</f>
        <v>31.611786321191552</v>
      </c>
      <c r="H46">
        <f t="shared" si="27"/>
        <v>0.32131496868025244</v>
      </c>
      <c r="I46">
        <v>31.611786321191552</v>
      </c>
      <c r="J46">
        <v>19.019847640355501</v>
      </c>
      <c r="K46">
        <f t="shared" si="0"/>
        <v>0</v>
      </c>
      <c r="L46">
        <f t="shared" si="1"/>
        <v>12.591938680836051</v>
      </c>
    </row>
    <row r="47" spans="1:12" x14ac:dyDescent="0.2">
      <c r="A47" t="s">
        <v>150</v>
      </c>
      <c r="B47" s="3" t="s">
        <v>94</v>
      </c>
      <c r="C47">
        <v>149</v>
      </c>
      <c r="D47" t="s">
        <v>2</v>
      </c>
      <c r="E47">
        <v>19.035560444123501</v>
      </c>
      <c r="F47">
        <v>19.035560444123501</v>
      </c>
      <c r="G47">
        <f>AVERAGE(F47:F49)</f>
        <v>19.019847640355501</v>
      </c>
      <c r="H47">
        <f>STDEV(F47:F49)</f>
        <v>2.2221260191613135E-2</v>
      </c>
      <c r="I47">
        <v>31.611786321191602</v>
      </c>
      <c r="J47">
        <v>19.019847640355501</v>
      </c>
      <c r="K47">
        <f t="shared" si="0"/>
        <v>-12.591938680836101</v>
      </c>
      <c r="L47">
        <f t="shared" si="1"/>
        <v>0</v>
      </c>
    </row>
    <row r="48" spans="1:12" x14ac:dyDescent="0.2">
      <c r="A48" t="s">
        <v>150</v>
      </c>
      <c r="B48" s="3" t="s">
        <v>95</v>
      </c>
      <c r="C48">
        <v>149</v>
      </c>
      <c r="D48" t="s">
        <v>2</v>
      </c>
      <c r="E48">
        <v>19.0041348365875</v>
      </c>
      <c r="F48">
        <v>19.0041348365875</v>
      </c>
      <c r="G48">
        <f t="shared" ref="G48:H49" si="28">G47</f>
        <v>19.019847640355501</v>
      </c>
      <c r="H48">
        <f t="shared" si="28"/>
        <v>2.2221260191613135E-2</v>
      </c>
      <c r="I48">
        <v>31.611786321191602</v>
      </c>
      <c r="J48">
        <v>19.019847640355501</v>
      </c>
      <c r="K48">
        <f t="shared" si="0"/>
        <v>-12.591938680836101</v>
      </c>
      <c r="L48">
        <f t="shared" si="1"/>
        <v>0</v>
      </c>
    </row>
    <row r="49" spans="1:12" x14ac:dyDescent="0.2">
      <c r="A49" t="s">
        <v>150</v>
      </c>
      <c r="B49" s="3" t="s">
        <v>96</v>
      </c>
      <c r="C49">
        <v>149</v>
      </c>
      <c r="D49" t="s">
        <v>2</v>
      </c>
      <c r="E49">
        <v>20.049738812605302</v>
      </c>
      <c r="G49">
        <f t="shared" si="28"/>
        <v>19.019847640355501</v>
      </c>
      <c r="H49">
        <f t="shared" ref="H49" si="29">H47</f>
        <v>2.2221260191613135E-2</v>
      </c>
      <c r="I49">
        <v>31.611786321191602</v>
      </c>
      <c r="J49">
        <v>19.019847640355501</v>
      </c>
      <c r="K49">
        <f t="shared" si="0"/>
        <v>-12.591938680836101</v>
      </c>
      <c r="L49">
        <f t="shared" si="1"/>
        <v>0</v>
      </c>
    </row>
    <row r="50" spans="1:12" x14ac:dyDescent="0.2">
      <c r="A50" t="s">
        <v>150</v>
      </c>
      <c r="B50" s="3" t="s">
        <v>97</v>
      </c>
      <c r="C50">
        <v>149</v>
      </c>
      <c r="D50" t="s">
        <v>13</v>
      </c>
      <c r="E50">
        <v>34.699151958768603</v>
      </c>
      <c r="G50">
        <f>AVERAGE(F50:F52)</f>
        <v>33.344135350402851</v>
      </c>
      <c r="H50">
        <f>STDEV(F50:F52)</f>
        <v>0.12051496650683109</v>
      </c>
      <c r="I50">
        <v>31.611786321191602</v>
      </c>
      <c r="J50">
        <v>19.019847640355501</v>
      </c>
      <c r="K50">
        <f t="shared" si="0"/>
        <v>1.7323490292112496</v>
      </c>
      <c r="L50">
        <f t="shared" si="1"/>
        <v>14.324287710047351</v>
      </c>
    </row>
    <row r="51" spans="1:12" x14ac:dyDescent="0.2">
      <c r="A51" t="s">
        <v>150</v>
      </c>
      <c r="B51" s="3" t="s">
        <v>98</v>
      </c>
      <c r="C51">
        <v>149</v>
      </c>
      <c r="D51" t="s">
        <v>13</v>
      </c>
      <c r="E51">
        <v>33.429352300454298</v>
      </c>
      <c r="F51">
        <v>33.429352300454298</v>
      </c>
      <c r="G51">
        <f t="shared" ref="G51:H51" si="30">G50</f>
        <v>33.344135350402851</v>
      </c>
      <c r="H51">
        <f t="shared" si="30"/>
        <v>0.12051496650683109</v>
      </c>
      <c r="I51">
        <v>31.611786321191602</v>
      </c>
      <c r="J51">
        <v>19.019847640355501</v>
      </c>
      <c r="K51">
        <f t="shared" si="0"/>
        <v>1.7323490292112496</v>
      </c>
      <c r="L51">
        <f t="shared" si="1"/>
        <v>14.324287710047351</v>
      </c>
    </row>
    <row r="52" spans="1:12" x14ac:dyDescent="0.2">
      <c r="A52" t="s">
        <v>150</v>
      </c>
      <c r="B52" s="3" t="s">
        <v>99</v>
      </c>
      <c r="C52">
        <v>149</v>
      </c>
      <c r="D52" t="s">
        <v>13</v>
      </c>
      <c r="E52">
        <v>33.258918400351398</v>
      </c>
      <c r="F52">
        <v>33.258918400351398</v>
      </c>
      <c r="G52">
        <f t="shared" ref="G52:H52" si="31">G50</f>
        <v>33.344135350402851</v>
      </c>
      <c r="H52">
        <f t="shared" si="31"/>
        <v>0.12051496650683109</v>
      </c>
      <c r="I52">
        <v>31.611786321191602</v>
      </c>
      <c r="J52">
        <v>19.019847640355501</v>
      </c>
      <c r="K52">
        <f t="shared" si="0"/>
        <v>1.7323490292112496</v>
      </c>
      <c r="L52">
        <f t="shared" si="1"/>
        <v>14.324287710047351</v>
      </c>
    </row>
    <row r="53" spans="1:12" x14ac:dyDescent="0.2">
      <c r="A53" t="s">
        <v>150</v>
      </c>
      <c r="B53" s="3" t="s">
        <v>100</v>
      </c>
      <c r="C53">
        <v>149</v>
      </c>
      <c r="D53" t="s">
        <v>12</v>
      </c>
      <c r="E53">
        <v>33.269126503520702</v>
      </c>
      <c r="F53">
        <v>33.269126503520702</v>
      </c>
      <c r="G53">
        <f>AVERAGE(F53:F55)</f>
        <v>32.963544837974773</v>
      </c>
      <c r="H53">
        <f>STDEV(F53:F55)</f>
        <v>0.27546051999100873</v>
      </c>
      <c r="I53">
        <v>31.611786321191602</v>
      </c>
      <c r="J53">
        <v>19.019847640355501</v>
      </c>
      <c r="K53">
        <f t="shared" si="0"/>
        <v>1.3517585167831712</v>
      </c>
      <c r="L53">
        <f t="shared" si="1"/>
        <v>13.943697197619272</v>
      </c>
    </row>
    <row r="54" spans="1:12" x14ac:dyDescent="0.2">
      <c r="A54" t="s">
        <v>150</v>
      </c>
      <c r="B54" s="3" t="s">
        <v>101</v>
      </c>
      <c r="C54">
        <v>149</v>
      </c>
      <c r="D54" t="s">
        <v>12</v>
      </c>
      <c r="E54">
        <v>32.887196024637099</v>
      </c>
      <c r="F54">
        <v>32.887196024637099</v>
      </c>
      <c r="G54">
        <f t="shared" ref="G54:H55" si="32">G53</f>
        <v>32.963544837974773</v>
      </c>
      <c r="H54">
        <f t="shared" si="32"/>
        <v>0.27546051999100873</v>
      </c>
      <c r="I54">
        <v>31.611786321191602</v>
      </c>
      <c r="J54">
        <v>19.019847640355501</v>
      </c>
      <c r="K54">
        <f t="shared" si="0"/>
        <v>1.3517585167831712</v>
      </c>
      <c r="L54">
        <f t="shared" si="1"/>
        <v>13.943697197619272</v>
      </c>
    </row>
    <row r="55" spans="1:12" x14ac:dyDescent="0.2">
      <c r="A55" t="s">
        <v>150</v>
      </c>
      <c r="B55" s="3" t="s">
        <v>102</v>
      </c>
      <c r="C55">
        <v>149</v>
      </c>
      <c r="D55" t="s">
        <v>12</v>
      </c>
      <c r="E55">
        <v>32.734311985766503</v>
      </c>
      <c r="F55">
        <v>32.734311985766503</v>
      </c>
      <c r="G55">
        <f t="shared" si="32"/>
        <v>32.963544837974773</v>
      </c>
      <c r="H55">
        <f t="shared" ref="H55" si="33">H53</f>
        <v>0.27546051999100873</v>
      </c>
      <c r="I55">
        <v>31.611786321191602</v>
      </c>
      <c r="J55">
        <v>19.019847640355501</v>
      </c>
      <c r="K55">
        <f t="shared" si="0"/>
        <v>1.3517585167831712</v>
      </c>
      <c r="L55">
        <f t="shared" si="1"/>
        <v>13.943697197619272</v>
      </c>
    </row>
    <row r="56" spans="1:12" x14ac:dyDescent="0.2">
      <c r="A56" t="s">
        <v>150</v>
      </c>
      <c r="B56" s="3" t="s">
        <v>103</v>
      </c>
      <c r="C56">
        <v>152</v>
      </c>
      <c r="D56" t="s">
        <v>1</v>
      </c>
      <c r="E56">
        <v>33.375002625011</v>
      </c>
      <c r="F56">
        <v>33.375002625011</v>
      </c>
      <c r="G56">
        <f>AVERAGE(F56:F58)</f>
        <v>33.056488940250063</v>
      </c>
      <c r="H56">
        <f>STDEV(F56:F58)</f>
        <v>0.30731998415520539</v>
      </c>
      <c r="I56">
        <f>G56</f>
        <v>33.056488940250063</v>
      </c>
      <c r="J56">
        <f>G59</f>
        <v>17.248487896986102</v>
      </c>
      <c r="K56">
        <f t="shared" si="0"/>
        <v>0</v>
      </c>
      <c r="L56">
        <f t="shared" si="1"/>
        <v>15.80800104326396</v>
      </c>
    </row>
    <row r="57" spans="1:12" x14ac:dyDescent="0.2">
      <c r="A57" t="s">
        <v>150</v>
      </c>
      <c r="B57" s="3" t="s">
        <v>104</v>
      </c>
      <c r="C57">
        <v>152</v>
      </c>
      <c r="D57" t="s">
        <v>1</v>
      </c>
      <c r="E57">
        <v>32.761742810004598</v>
      </c>
      <c r="F57">
        <v>32.761742810004598</v>
      </c>
      <c r="G57">
        <f t="shared" ref="G57:H57" si="34">G56</f>
        <v>33.056488940250063</v>
      </c>
      <c r="H57">
        <f t="shared" si="34"/>
        <v>0.30731998415520539</v>
      </c>
      <c r="I57">
        <v>33.056488940250063</v>
      </c>
      <c r="J57">
        <v>17.248487896986102</v>
      </c>
      <c r="K57">
        <f t="shared" si="0"/>
        <v>0</v>
      </c>
      <c r="L57">
        <f t="shared" si="1"/>
        <v>15.80800104326396</v>
      </c>
    </row>
    <row r="58" spans="1:12" x14ac:dyDescent="0.2">
      <c r="A58" t="s">
        <v>150</v>
      </c>
      <c r="B58" s="3" t="s">
        <v>105</v>
      </c>
      <c r="C58">
        <v>152</v>
      </c>
      <c r="D58" t="s">
        <v>1</v>
      </c>
      <c r="E58">
        <v>33.032721385734597</v>
      </c>
      <c r="F58">
        <v>33.032721385734597</v>
      </c>
      <c r="G58">
        <f t="shared" ref="G58:H58" si="35">G56</f>
        <v>33.056488940250063</v>
      </c>
      <c r="H58">
        <f t="shared" si="35"/>
        <v>0.30731998415520539</v>
      </c>
      <c r="I58">
        <v>33.056488940250063</v>
      </c>
      <c r="J58">
        <v>17.248487896986102</v>
      </c>
      <c r="K58">
        <f t="shared" si="0"/>
        <v>0</v>
      </c>
      <c r="L58">
        <f t="shared" si="1"/>
        <v>15.80800104326396</v>
      </c>
    </row>
    <row r="59" spans="1:12" x14ac:dyDescent="0.2">
      <c r="A59" t="s">
        <v>150</v>
      </c>
      <c r="B59" s="3" t="s">
        <v>106</v>
      </c>
      <c r="C59">
        <v>152</v>
      </c>
      <c r="D59" t="s">
        <v>2</v>
      </c>
      <c r="E59">
        <v>17.156785919206701</v>
      </c>
      <c r="F59">
        <v>17.156785919206701</v>
      </c>
      <c r="G59">
        <f>AVERAGE(F59:F61)</f>
        <v>17.248487896986102</v>
      </c>
      <c r="H59">
        <f>STDEV(F59:F61)</f>
        <v>0.22950926755410969</v>
      </c>
      <c r="I59">
        <v>33.056488940250098</v>
      </c>
      <c r="J59">
        <v>17.248487896986099</v>
      </c>
      <c r="K59">
        <f t="shared" si="0"/>
        <v>-15.808001043263996</v>
      </c>
      <c r="L59">
        <f t="shared" si="1"/>
        <v>0</v>
      </c>
    </row>
    <row r="60" spans="1:12" x14ac:dyDescent="0.2">
      <c r="A60" t="s">
        <v>150</v>
      </c>
      <c r="B60" s="3" t="s">
        <v>107</v>
      </c>
      <c r="C60">
        <v>152</v>
      </c>
      <c r="D60" t="s">
        <v>2</v>
      </c>
      <c r="E60">
        <v>17.0790075961227</v>
      </c>
      <c r="F60">
        <v>17.0790075961227</v>
      </c>
      <c r="G60">
        <f t="shared" ref="G60:H61" si="36">G59</f>
        <v>17.248487896986102</v>
      </c>
      <c r="H60">
        <f t="shared" si="36"/>
        <v>0.22950926755410969</v>
      </c>
      <c r="I60">
        <v>33.056488940250098</v>
      </c>
      <c r="J60">
        <v>17.248487896986099</v>
      </c>
      <c r="K60">
        <f t="shared" si="0"/>
        <v>-15.808001043263996</v>
      </c>
      <c r="L60">
        <f t="shared" si="1"/>
        <v>0</v>
      </c>
    </row>
    <row r="61" spans="1:12" x14ac:dyDescent="0.2">
      <c r="A61" t="s">
        <v>150</v>
      </c>
      <c r="B61" s="3" t="s">
        <v>108</v>
      </c>
      <c r="C61">
        <v>152</v>
      </c>
      <c r="D61" t="s">
        <v>2</v>
      </c>
      <c r="E61">
        <v>17.509670175628901</v>
      </c>
      <c r="F61">
        <v>17.509670175628901</v>
      </c>
      <c r="G61">
        <f t="shared" si="36"/>
        <v>17.248487896986102</v>
      </c>
      <c r="H61">
        <f t="shared" ref="H61" si="37">H59</f>
        <v>0.22950926755410969</v>
      </c>
      <c r="I61">
        <v>33.056488940250098</v>
      </c>
      <c r="J61">
        <v>17.248487896986099</v>
      </c>
      <c r="K61">
        <f t="shared" si="0"/>
        <v>-15.808001043263996</v>
      </c>
      <c r="L61">
        <f t="shared" si="1"/>
        <v>0</v>
      </c>
    </row>
    <row r="62" spans="1:12" x14ac:dyDescent="0.2">
      <c r="A62" t="s">
        <v>150</v>
      </c>
      <c r="B62" s="3" t="s">
        <v>109</v>
      </c>
      <c r="C62">
        <v>152</v>
      </c>
      <c r="D62" t="s">
        <v>10</v>
      </c>
      <c r="E62">
        <v>35.869836507189902</v>
      </c>
      <c r="F62">
        <v>35.869836507189902</v>
      </c>
      <c r="G62">
        <f>AVERAGE(F62:F64)</f>
        <v>35.704250094110648</v>
      </c>
      <c r="H62">
        <f>STDEV(F62:F64)</f>
        <v>0.23417455112138921</v>
      </c>
      <c r="I62">
        <v>33.056488940250098</v>
      </c>
      <c r="J62">
        <v>17.248487896986099</v>
      </c>
      <c r="K62">
        <f t="shared" si="0"/>
        <v>2.6477611538605501</v>
      </c>
      <c r="L62">
        <f t="shared" si="1"/>
        <v>18.45576219712455</v>
      </c>
    </row>
    <row r="63" spans="1:12" x14ac:dyDescent="0.2">
      <c r="A63" t="s">
        <v>150</v>
      </c>
      <c r="B63" s="3" t="s">
        <v>110</v>
      </c>
      <c r="C63">
        <v>152</v>
      </c>
      <c r="D63" t="s">
        <v>10</v>
      </c>
      <c r="E63">
        <v>35.538663681031402</v>
      </c>
      <c r="F63">
        <v>35.538663681031402</v>
      </c>
      <c r="G63">
        <f t="shared" ref="G63:H63" si="38">G62</f>
        <v>35.704250094110648</v>
      </c>
      <c r="H63">
        <f t="shared" si="38"/>
        <v>0.23417455112138921</v>
      </c>
      <c r="I63">
        <v>33.056488940250098</v>
      </c>
      <c r="J63">
        <v>17.248487896986099</v>
      </c>
      <c r="K63">
        <f t="shared" si="0"/>
        <v>2.6477611538605501</v>
      </c>
      <c r="L63">
        <f t="shared" si="1"/>
        <v>18.45576219712455</v>
      </c>
    </row>
    <row r="64" spans="1:12" x14ac:dyDescent="0.2">
      <c r="A64" t="s">
        <v>150</v>
      </c>
      <c r="B64" s="3" t="s">
        <v>111</v>
      </c>
      <c r="C64">
        <v>152</v>
      </c>
      <c r="D64" t="s">
        <v>10</v>
      </c>
      <c r="E64">
        <v>37.474474485605903</v>
      </c>
      <c r="G64">
        <f t="shared" ref="G64:H64" si="39">G62</f>
        <v>35.704250094110648</v>
      </c>
      <c r="H64">
        <f t="shared" si="39"/>
        <v>0.23417455112138921</v>
      </c>
      <c r="I64">
        <v>33.056488940250098</v>
      </c>
      <c r="J64">
        <v>17.248487896986099</v>
      </c>
      <c r="K64">
        <f t="shared" si="0"/>
        <v>2.6477611538605501</v>
      </c>
      <c r="L64">
        <f t="shared" si="1"/>
        <v>18.45576219712455</v>
      </c>
    </row>
    <row r="65" spans="1:12" x14ac:dyDescent="0.2">
      <c r="A65" t="s">
        <v>150</v>
      </c>
      <c r="B65" s="3" t="s">
        <v>112</v>
      </c>
      <c r="C65">
        <v>153</v>
      </c>
      <c r="D65" t="s">
        <v>1</v>
      </c>
      <c r="E65">
        <v>32.307184420483303</v>
      </c>
      <c r="F65">
        <v>32.307184420483303</v>
      </c>
      <c r="G65">
        <f>AVERAGE(F65:F67)</f>
        <v>32.640996022666201</v>
      </c>
      <c r="H65">
        <f>STDEV(F65:F67)</f>
        <v>0.30688166731983962</v>
      </c>
      <c r="I65">
        <f>G65</f>
        <v>32.640996022666201</v>
      </c>
      <c r="J65">
        <f>G68</f>
        <v>18.347415863802937</v>
      </c>
      <c r="K65">
        <f t="shared" si="0"/>
        <v>0</v>
      </c>
      <c r="L65">
        <f t="shared" si="1"/>
        <v>14.293580158863264</v>
      </c>
    </row>
    <row r="66" spans="1:12" x14ac:dyDescent="0.2">
      <c r="A66" t="s">
        <v>150</v>
      </c>
      <c r="B66" s="3" t="s">
        <v>113</v>
      </c>
      <c r="C66">
        <v>153</v>
      </c>
      <c r="D66" t="s">
        <v>1</v>
      </c>
      <c r="E66">
        <v>32.704927465672398</v>
      </c>
      <c r="F66">
        <v>32.704927465672398</v>
      </c>
      <c r="G66">
        <f t="shared" ref="G66:H67" si="40">G65</f>
        <v>32.640996022666201</v>
      </c>
      <c r="H66">
        <f t="shared" si="40"/>
        <v>0.30688166731983962</v>
      </c>
      <c r="I66">
        <v>32.640996022666201</v>
      </c>
      <c r="J66">
        <v>18.347415863802937</v>
      </c>
      <c r="K66">
        <f t="shared" si="0"/>
        <v>0</v>
      </c>
      <c r="L66">
        <f t="shared" si="1"/>
        <v>14.293580158863264</v>
      </c>
    </row>
    <row r="67" spans="1:12" x14ac:dyDescent="0.2">
      <c r="A67" t="s">
        <v>150</v>
      </c>
      <c r="B67" s="3" t="s">
        <v>114</v>
      </c>
      <c r="C67">
        <v>153</v>
      </c>
      <c r="D67" t="s">
        <v>1</v>
      </c>
      <c r="E67">
        <v>32.910876181842902</v>
      </c>
      <c r="F67">
        <v>32.910876181842902</v>
      </c>
      <c r="G67">
        <f t="shared" si="40"/>
        <v>32.640996022666201</v>
      </c>
      <c r="H67">
        <f t="shared" ref="H67" si="41">H65</f>
        <v>0.30688166731983962</v>
      </c>
      <c r="I67">
        <v>32.640996022666201</v>
      </c>
      <c r="J67">
        <v>18.347415863802937</v>
      </c>
      <c r="K67">
        <f t="shared" ref="K67:K97" si="42">G67-I67</f>
        <v>0</v>
      </c>
      <c r="L67">
        <f t="shared" ref="L67:L97" si="43">G67-J67</f>
        <v>14.293580158863264</v>
      </c>
    </row>
    <row r="68" spans="1:12" x14ac:dyDescent="0.2">
      <c r="A68" t="s">
        <v>150</v>
      </c>
      <c r="B68" s="3" t="s">
        <v>115</v>
      </c>
      <c r="C68">
        <v>153</v>
      </c>
      <c r="D68" t="s">
        <v>2</v>
      </c>
      <c r="E68">
        <v>18.3292002646802</v>
      </c>
      <c r="F68">
        <v>18.3292002646802</v>
      </c>
      <c r="G68">
        <f>AVERAGE(F68:F70)</f>
        <v>18.347415863802937</v>
      </c>
      <c r="H68">
        <f>STDEV(F68:F70)</f>
        <v>3.2327589161383084E-2</v>
      </c>
      <c r="I68">
        <v>32.640996022666201</v>
      </c>
      <c r="J68">
        <v>18.347415863802901</v>
      </c>
      <c r="K68">
        <f t="shared" si="42"/>
        <v>-14.293580158863264</v>
      </c>
      <c r="L68">
        <f t="shared" si="43"/>
        <v>3.5527136788005009E-14</v>
      </c>
    </row>
    <row r="69" spans="1:12" x14ac:dyDescent="0.2">
      <c r="A69" t="s">
        <v>150</v>
      </c>
      <c r="B69" s="3" t="s">
        <v>116</v>
      </c>
      <c r="C69">
        <v>153</v>
      </c>
      <c r="D69" t="s">
        <v>2</v>
      </c>
      <c r="E69">
        <v>18.328306346297701</v>
      </c>
      <c r="F69">
        <v>18.328306346297701</v>
      </c>
      <c r="G69">
        <f t="shared" ref="G69:H69" si="44">G68</f>
        <v>18.347415863802937</v>
      </c>
      <c r="H69">
        <f t="shared" si="44"/>
        <v>3.2327589161383084E-2</v>
      </c>
      <c r="I69">
        <v>32.640996022666201</v>
      </c>
      <c r="J69">
        <v>18.347415863802901</v>
      </c>
      <c r="K69">
        <f t="shared" si="42"/>
        <v>-14.293580158863264</v>
      </c>
      <c r="L69">
        <f t="shared" si="43"/>
        <v>3.5527136788005009E-14</v>
      </c>
    </row>
    <row r="70" spans="1:12" x14ac:dyDescent="0.2">
      <c r="A70" t="s">
        <v>150</v>
      </c>
      <c r="B70" s="3" t="s">
        <v>117</v>
      </c>
      <c r="C70">
        <v>153</v>
      </c>
      <c r="D70" t="s">
        <v>2</v>
      </c>
      <c r="E70">
        <v>18.384740980430902</v>
      </c>
      <c r="F70">
        <v>18.384740980430902</v>
      </c>
      <c r="G70">
        <f t="shared" ref="G70:H70" si="45">G68</f>
        <v>18.347415863802937</v>
      </c>
      <c r="H70">
        <f t="shared" si="45"/>
        <v>3.2327589161383084E-2</v>
      </c>
      <c r="I70">
        <v>32.640996022666201</v>
      </c>
      <c r="J70">
        <v>18.347415863802901</v>
      </c>
      <c r="K70">
        <f t="shared" si="42"/>
        <v>-14.293580158863264</v>
      </c>
      <c r="L70">
        <f t="shared" si="43"/>
        <v>3.5527136788005009E-14</v>
      </c>
    </row>
    <row r="71" spans="1:12" x14ac:dyDescent="0.2">
      <c r="A71" t="s">
        <v>150</v>
      </c>
      <c r="B71" s="3" t="s">
        <v>118</v>
      </c>
      <c r="C71">
        <v>153</v>
      </c>
      <c r="D71" t="s">
        <v>12</v>
      </c>
      <c r="E71">
        <v>32.930829416688503</v>
      </c>
      <c r="F71">
        <v>32.930829416688503</v>
      </c>
      <c r="G71">
        <f>AVERAGE(F71:F73)</f>
        <v>33.266802940975673</v>
      </c>
      <c r="H71">
        <f>STDEV(F71:F73)</f>
        <v>0.31166321111688144</v>
      </c>
      <c r="I71">
        <v>32.640996022666201</v>
      </c>
      <c r="J71">
        <v>18.347415863802901</v>
      </c>
      <c r="K71">
        <f t="shared" si="42"/>
        <v>0.62580691830947188</v>
      </c>
      <c r="L71">
        <f t="shared" si="43"/>
        <v>14.919387077172772</v>
      </c>
    </row>
    <row r="72" spans="1:12" x14ac:dyDescent="0.2">
      <c r="A72" t="s">
        <v>150</v>
      </c>
      <c r="B72" s="3" t="s">
        <v>119</v>
      </c>
      <c r="C72">
        <v>153</v>
      </c>
      <c r="D72" t="s">
        <v>12</v>
      </c>
      <c r="E72">
        <v>33.323096818846203</v>
      </c>
      <c r="F72">
        <v>33.323096818846203</v>
      </c>
      <c r="G72">
        <f t="shared" ref="G72:H73" si="46">G71</f>
        <v>33.266802940975673</v>
      </c>
      <c r="H72">
        <f t="shared" si="46"/>
        <v>0.31166321111688144</v>
      </c>
      <c r="I72">
        <v>32.640996022666201</v>
      </c>
      <c r="J72">
        <v>18.347415863802901</v>
      </c>
      <c r="K72">
        <f t="shared" si="42"/>
        <v>0.62580691830947188</v>
      </c>
      <c r="L72">
        <f t="shared" si="43"/>
        <v>14.919387077172772</v>
      </c>
    </row>
    <row r="73" spans="1:12" x14ac:dyDescent="0.2">
      <c r="A73" t="s">
        <v>150</v>
      </c>
      <c r="B73" s="3" t="s">
        <v>120</v>
      </c>
      <c r="C73">
        <v>153</v>
      </c>
      <c r="D73" t="s">
        <v>12</v>
      </c>
      <c r="E73">
        <v>33.546482587392298</v>
      </c>
      <c r="F73">
        <v>33.546482587392298</v>
      </c>
      <c r="G73">
        <f t="shared" si="46"/>
        <v>33.266802940975673</v>
      </c>
      <c r="H73">
        <f t="shared" ref="H73" si="47">H71</f>
        <v>0.31166321111688144</v>
      </c>
      <c r="I73">
        <v>32.640996022666201</v>
      </c>
      <c r="J73">
        <v>18.347415863802901</v>
      </c>
      <c r="K73">
        <f t="shared" si="42"/>
        <v>0.62580691830947188</v>
      </c>
      <c r="L73">
        <f t="shared" si="43"/>
        <v>14.919387077172772</v>
      </c>
    </row>
    <row r="74" spans="1:12" x14ac:dyDescent="0.2">
      <c r="A74" t="s">
        <v>150</v>
      </c>
      <c r="B74" s="3" t="s">
        <v>121</v>
      </c>
      <c r="C74">
        <v>153</v>
      </c>
      <c r="D74" t="s">
        <v>8</v>
      </c>
      <c r="E74">
        <v>34.492719799050398</v>
      </c>
      <c r="F74">
        <v>34.492719799050398</v>
      </c>
      <c r="G74">
        <f>AVERAGE(F74:F76)</f>
        <v>34.389304623970098</v>
      </c>
      <c r="H74">
        <f>STDEV(F74:F76)</f>
        <v>0.42982565243222054</v>
      </c>
      <c r="I74">
        <v>32.640996022666201</v>
      </c>
      <c r="J74">
        <v>18.347415863802901</v>
      </c>
      <c r="K74">
        <f t="shared" si="42"/>
        <v>1.7483086013038971</v>
      </c>
      <c r="L74">
        <f t="shared" si="43"/>
        <v>16.041888760167197</v>
      </c>
    </row>
    <row r="75" spans="1:12" x14ac:dyDescent="0.2">
      <c r="A75" t="s">
        <v>150</v>
      </c>
      <c r="B75" s="3" t="s">
        <v>122</v>
      </c>
      <c r="C75">
        <v>153</v>
      </c>
      <c r="D75" t="s">
        <v>8</v>
      </c>
      <c r="E75">
        <v>34.757988601118299</v>
      </c>
      <c r="F75">
        <v>34.757988601118299</v>
      </c>
      <c r="G75">
        <f t="shared" ref="G75:H75" si="48">G74</f>
        <v>34.389304623970098</v>
      </c>
      <c r="H75">
        <f t="shared" si="48"/>
        <v>0.42982565243222054</v>
      </c>
      <c r="I75">
        <v>32.640996022666201</v>
      </c>
      <c r="J75">
        <v>18.347415863802901</v>
      </c>
      <c r="K75">
        <f t="shared" si="42"/>
        <v>1.7483086013038971</v>
      </c>
      <c r="L75">
        <f t="shared" si="43"/>
        <v>16.041888760167197</v>
      </c>
    </row>
    <row r="76" spans="1:12" x14ac:dyDescent="0.2">
      <c r="A76" t="s">
        <v>150</v>
      </c>
      <c r="B76" s="3" t="s">
        <v>123</v>
      </c>
      <c r="C76">
        <v>153</v>
      </c>
      <c r="D76" t="s">
        <v>8</v>
      </c>
      <c r="E76">
        <v>33.917205471741603</v>
      </c>
      <c r="F76">
        <v>33.917205471741603</v>
      </c>
      <c r="G76">
        <f t="shared" ref="G76:H76" si="49">G74</f>
        <v>34.389304623970098</v>
      </c>
      <c r="H76">
        <f t="shared" si="49"/>
        <v>0.42982565243222054</v>
      </c>
      <c r="I76">
        <v>32.640996022666201</v>
      </c>
      <c r="J76">
        <v>18.347415863802901</v>
      </c>
      <c r="K76">
        <f t="shared" si="42"/>
        <v>1.7483086013038971</v>
      </c>
      <c r="L76">
        <f t="shared" si="43"/>
        <v>16.041888760167197</v>
      </c>
    </row>
    <row r="77" spans="1:12" x14ac:dyDescent="0.2">
      <c r="A77" t="s">
        <v>150</v>
      </c>
      <c r="B77" s="3" t="s">
        <v>124</v>
      </c>
      <c r="C77">
        <v>153</v>
      </c>
      <c r="D77" t="s">
        <v>14</v>
      </c>
      <c r="E77" t="s">
        <v>155</v>
      </c>
      <c r="F77" t="s">
        <v>155</v>
      </c>
      <c r="G77">
        <f>AVERAGE(F77:F79)</f>
        <v>34.703611407850502</v>
      </c>
      <c r="H77">
        <f>STDEV(F77:F79)</f>
        <v>0.46361881694316798</v>
      </c>
      <c r="I77">
        <v>32.640996022666201</v>
      </c>
      <c r="J77">
        <v>18.347415863802901</v>
      </c>
      <c r="K77">
        <f t="shared" si="42"/>
        <v>2.0626153851843014</v>
      </c>
      <c r="L77">
        <f t="shared" si="43"/>
        <v>16.356195544047601</v>
      </c>
    </row>
    <row r="78" spans="1:12" x14ac:dyDescent="0.2">
      <c r="A78" t="s">
        <v>150</v>
      </c>
      <c r="B78" s="3" t="s">
        <v>125</v>
      </c>
      <c r="C78">
        <v>153</v>
      </c>
      <c r="D78" t="s">
        <v>14</v>
      </c>
      <c r="E78">
        <v>34.375783398504304</v>
      </c>
      <c r="F78">
        <v>34.375783398504304</v>
      </c>
      <c r="G78">
        <f t="shared" ref="G78:H79" si="50">G77</f>
        <v>34.703611407850502</v>
      </c>
      <c r="H78">
        <f t="shared" si="50"/>
        <v>0.46361881694316798</v>
      </c>
      <c r="I78">
        <v>32.640996022666201</v>
      </c>
      <c r="J78">
        <v>18.347415863802901</v>
      </c>
      <c r="K78">
        <f t="shared" si="42"/>
        <v>2.0626153851843014</v>
      </c>
      <c r="L78">
        <f t="shared" si="43"/>
        <v>16.356195544047601</v>
      </c>
    </row>
    <row r="79" spans="1:12" x14ac:dyDescent="0.2">
      <c r="A79" t="s">
        <v>150</v>
      </c>
      <c r="B79" s="3" t="s">
        <v>126</v>
      </c>
      <c r="C79">
        <v>153</v>
      </c>
      <c r="D79" t="s">
        <v>14</v>
      </c>
      <c r="E79">
        <v>35.031439417196701</v>
      </c>
      <c r="F79">
        <v>35.031439417196701</v>
      </c>
      <c r="G79">
        <f t="shared" si="50"/>
        <v>34.703611407850502</v>
      </c>
      <c r="H79">
        <f t="shared" ref="H79" si="51">H77</f>
        <v>0.46361881694316798</v>
      </c>
      <c r="I79">
        <v>32.640996022666201</v>
      </c>
      <c r="J79">
        <v>18.347415863802901</v>
      </c>
      <c r="K79">
        <f t="shared" si="42"/>
        <v>2.0626153851843014</v>
      </c>
      <c r="L79">
        <f t="shared" si="43"/>
        <v>16.356195544047601</v>
      </c>
    </row>
    <row r="80" spans="1:12" x14ac:dyDescent="0.2">
      <c r="A80" t="s">
        <v>150</v>
      </c>
      <c r="B80" s="3" t="s">
        <v>127</v>
      </c>
      <c r="C80">
        <v>153</v>
      </c>
      <c r="D80" t="s">
        <v>3</v>
      </c>
      <c r="E80">
        <v>34.387311645302198</v>
      </c>
      <c r="F80">
        <v>34.387311645302198</v>
      </c>
      <c r="G80">
        <f>AVERAGE(F80:F82)</f>
        <v>34.043102796388794</v>
      </c>
      <c r="H80">
        <f>STDEV(F80:F82)</f>
        <v>0.48678482242216198</v>
      </c>
      <c r="I80">
        <v>32.640996022666201</v>
      </c>
      <c r="J80">
        <v>18.347415863802901</v>
      </c>
      <c r="K80">
        <f t="shared" si="42"/>
        <v>1.4021067737225934</v>
      </c>
      <c r="L80">
        <f t="shared" si="43"/>
        <v>15.695686932585893</v>
      </c>
    </row>
    <row r="81" spans="1:12" x14ac:dyDescent="0.2">
      <c r="A81" t="s">
        <v>150</v>
      </c>
      <c r="B81" s="3" t="s">
        <v>128</v>
      </c>
      <c r="C81">
        <v>153</v>
      </c>
      <c r="D81" t="s">
        <v>3</v>
      </c>
      <c r="E81">
        <v>35.446587353413797</v>
      </c>
      <c r="G81">
        <f t="shared" ref="G81:H81" si="52">G80</f>
        <v>34.043102796388794</v>
      </c>
      <c r="H81">
        <f t="shared" si="52"/>
        <v>0.48678482242216198</v>
      </c>
      <c r="I81">
        <v>32.640996022666201</v>
      </c>
      <c r="J81">
        <v>18.347415863802901</v>
      </c>
      <c r="K81">
        <f t="shared" si="42"/>
        <v>1.4021067737225934</v>
      </c>
      <c r="L81">
        <f t="shared" si="43"/>
        <v>15.695686932585893</v>
      </c>
    </row>
    <row r="82" spans="1:12" x14ac:dyDescent="0.2">
      <c r="A82" t="s">
        <v>150</v>
      </c>
      <c r="B82" s="3" t="s">
        <v>129</v>
      </c>
      <c r="C82">
        <v>153</v>
      </c>
      <c r="D82" t="s">
        <v>3</v>
      </c>
      <c r="E82">
        <v>33.698893947475398</v>
      </c>
      <c r="F82">
        <v>33.698893947475398</v>
      </c>
      <c r="G82">
        <f t="shared" ref="G82:H82" si="53">G80</f>
        <v>34.043102796388794</v>
      </c>
      <c r="H82">
        <f t="shared" si="53"/>
        <v>0.48678482242216198</v>
      </c>
      <c r="I82">
        <v>32.640996022666201</v>
      </c>
      <c r="J82">
        <v>18.347415863802901</v>
      </c>
      <c r="K82">
        <f t="shared" si="42"/>
        <v>1.4021067737225934</v>
      </c>
      <c r="L82">
        <f t="shared" si="43"/>
        <v>15.695686932585893</v>
      </c>
    </row>
    <row r="83" spans="1:12" x14ac:dyDescent="0.2">
      <c r="A83" t="s">
        <v>150</v>
      </c>
      <c r="B83" s="3" t="s">
        <v>130</v>
      </c>
      <c r="C83">
        <v>153</v>
      </c>
      <c r="D83" t="s">
        <v>4</v>
      </c>
      <c r="E83">
        <v>36.032575981567803</v>
      </c>
      <c r="G83">
        <f>AVERAGE(F83:F85)</f>
        <v>34.443941867571155</v>
      </c>
      <c r="H83">
        <f>STDEV(F83:F85)</f>
        <v>6.080593642872708E-2</v>
      </c>
      <c r="I83">
        <v>32.640996022666201</v>
      </c>
      <c r="J83">
        <v>18.347415863802901</v>
      </c>
      <c r="K83">
        <f t="shared" si="42"/>
        <v>1.8029458449049542</v>
      </c>
      <c r="L83">
        <f t="shared" si="43"/>
        <v>16.096526003768254</v>
      </c>
    </row>
    <row r="84" spans="1:12" x14ac:dyDescent="0.2">
      <c r="A84" t="s">
        <v>150</v>
      </c>
      <c r="B84" s="3" t="s">
        <v>131</v>
      </c>
      <c r="C84">
        <v>153</v>
      </c>
      <c r="D84" t="s">
        <v>4</v>
      </c>
      <c r="E84">
        <v>34.486938157556303</v>
      </c>
      <c r="F84">
        <v>34.486938157556303</v>
      </c>
      <c r="G84">
        <f t="shared" ref="G84:H85" si="54">G83</f>
        <v>34.443941867571155</v>
      </c>
      <c r="H84">
        <f t="shared" si="54"/>
        <v>6.080593642872708E-2</v>
      </c>
      <c r="I84">
        <v>32.640996022666201</v>
      </c>
      <c r="J84">
        <v>18.347415863802901</v>
      </c>
      <c r="K84">
        <f t="shared" si="42"/>
        <v>1.8029458449049542</v>
      </c>
      <c r="L84">
        <f t="shared" si="43"/>
        <v>16.096526003768254</v>
      </c>
    </row>
    <row r="85" spans="1:12" x14ac:dyDescent="0.2">
      <c r="A85" t="s">
        <v>150</v>
      </c>
      <c r="B85" s="3" t="s">
        <v>132</v>
      </c>
      <c r="C85">
        <v>153</v>
      </c>
      <c r="D85" t="s">
        <v>4</v>
      </c>
      <c r="E85">
        <v>34.400945577586</v>
      </c>
      <c r="F85">
        <v>34.400945577586</v>
      </c>
      <c r="G85">
        <f t="shared" si="54"/>
        <v>34.443941867571155</v>
      </c>
      <c r="H85">
        <f t="shared" ref="H85" si="55">H83</f>
        <v>6.080593642872708E-2</v>
      </c>
      <c r="I85">
        <v>32.640996022666201</v>
      </c>
      <c r="J85">
        <v>18.347415863802901</v>
      </c>
      <c r="K85">
        <f t="shared" si="42"/>
        <v>1.8029458449049542</v>
      </c>
      <c r="L85">
        <f t="shared" si="43"/>
        <v>16.096526003768254</v>
      </c>
    </row>
    <row r="86" spans="1:12" x14ac:dyDescent="0.2">
      <c r="A86" t="s">
        <v>150</v>
      </c>
      <c r="B86" s="3" t="s">
        <v>133</v>
      </c>
      <c r="C86">
        <v>153</v>
      </c>
      <c r="D86" t="s">
        <v>6</v>
      </c>
      <c r="E86">
        <v>35.110558425169401</v>
      </c>
      <c r="F86">
        <v>35.110558425169401</v>
      </c>
      <c r="G86">
        <f>AVERAGE(F86:F88)</f>
        <v>35.057948129556571</v>
      </c>
      <c r="H86">
        <f>STDEV(F86:F88)</f>
        <v>5.855960570661229E-2</v>
      </c>
      <c r="I86">
        <v>32.640996022666201</v>
      </c>
      <c r="J86">
        <v>18.347415863802901</v>
      </c>
      <c r="K86">
        <f t="shared" si="42"/>
        <v>2.4169521068903705</v>
      </c>
      <c r="L86">
        <f t="shared" si="43"/>
        <v>16.71053226575367</v>
      </c>
    </row>
    <row r="87" spans="1:12" x14ac:dyDescent="0.2">
      <c r="A87" t="s">
        <v>150</v>
      </c>
      <c r="B87" s="3" t="s">
        <v>134</v>
      </c>
      <c r="C87">
        <v>153</v>
      </c>
      <c r="D87" t="s">
        <v>6</v>
      </c>
      <c r="E87">
        <v>35.068430819647503</v>
      </c>
      <c r="F87">
        <v>35.068430819647503</v>
      </c>
      <c r="G87">
        <f t="shared" ref="G87:H87" si="56">G86</f>
        <v>35.057948129556571</v>
      </c>
      <c r="H87">
        <f t="shared" si="56"/>
        <v>5.855960570661229E-2</v>
      </c>
      <c r="I87">
        <v>32.640996022666201</v>
      </c>
      <c r="J87">
        <v>18.347415863802901</v>
      </c>
      <c r="K87">
        <f t="shared" si="42"/>
        <v>2.4169521068903705</v>
      </c>
      <c r="L87">
        <f t="shared" si="43"/>
        <v>16.71053226575367</v>
      </c>
    </row>
    <row r="88" spans="1:12" x14ac:dyDescent="0.2">
      <c r="A88" t="s">
        <v>150</v>
      </c>
      <c r="B88" s="3" t="s">
        <v>135</v>
      </c>
      <c r="C88">
        <v>153</v>
      </c>
      <c r="D88" t="s">
        <v>6</v>
      </c>
      <c r="E88">
        <v>34.994855143852803</v>
      </c>
      <c r="F88">
        <v>34.994855143852803</v>
      </c>
      <c r="G88">
        <f t="shared" ref="G88:H88" si="57">G86</f>
        <v>35.057948129556571</v>
      </c>
      <c r="H88">
        <f t="shared" si="57"/>
        <v>5.855960570661229E-2</v>
      </c>
      <c r="I88">
        <v>32.640996022666201</v>
      </c>
      <c r="J88">
        <v>18.347415863802901</v>
      </c>
      <c r="K88">
        <f t="shared" si="42"/>
        <v>2.4169521068903705</v>
      </c>
      <c r="L88">
        <f t="shared" si="43"/>
        <v>16.71053226575367</v>
      </c>
    </row>
    <row r="89" spans="1:12" x14ac:dyDescent="0.2">
      <c r="A89" t="s">
        <v>150</v>
      </c>
      <c r="B89" s="3" t="s">
        <v>136</v>
      </c>
      <c r="C89">
        <v>1706</v>
      </c>
      <c r="D89" t="s">
        <v>1</v>
      </c>
      <c r="E89">
        <v>32.071761024032199</v>
      </c>
      <c r="F89">
        <v>32.071761024032199</v>
      </c>
      <c r="G89">
        <f>AVERAGE(F89:F91)</f>
        <v>31.964304797395567</v>
      </c>
      <c r="H89">
        <f>STDEV(F89:F91)</f>
        <v>0.23499699227218956</v>
      </c>
      <c r="I89">
        <f>G89</f>
        <v>31.964304797395567</v>
      </c>
      <c r="J89">
        <f>G92</f>
        <v>18.591441611448801</v>
      </c>
      <c r="K89">
        <f t="shared" si="42"/>
        <v>0</v>
      </c>
      <c r="L89">
        <f t="shared" si="43"/>
        <v>13.372863185946766</v>
      </c>
    </row>
    <row r="90" spans="1:12" x14ac:dyDescent="0.2">
      <c r="A90" t="s">
        <v>150</v>
      </c>
      <c r="B90" s="3" t="s">
        <v>137</v>
      </c>
      <c r="C90">
        <v>1706</v>
      </c>
      <c r="D90" t="s">
        <v>1</v>
      </c>
      <c r="E90">
        <v>31.694791012878401</v>
      </c>
      <c r="F90">
        <v>31.694791012878401</v>
      </c>
      <c r="G90">
        <f t="shared" ref="G90:H91" si="58">G89</f>
        <v>31.964304797395567</v>
      </c>
      <c r="H90">
        <f t="shared" si="58"/>
        <v>0.23499699227218956</v>
      </c>
      <c r="I90">
        <v>31.964304797395567</v>
      </c>
      <c r="J90">
        <v>18.591441611448801</v>
      </c>
      <c r="K90">
        <f t="shared" si="42"/>
        <v>0</v>
      </c>
      <c r="L90">
        <f t="shared" si="43"/>
        <v>13.372863185946766</v>
      </c>
    </row>
    <row r="91" spans="1:12" x14ac:dyDescent="0.2">
      <c r="A91" t="s">
        <v>150</v>
      </c>
      <c r="B91" s="3" t="s">
        <v>138</v>
      </c>
      <c r="C91">
        <v>1706</v>
      </c>
      <c r="D91" t="s">
        <v>1</v>
      </c>
      <c r="E91">
        <v>32.1263623552761</v>
      </c>
      <c r="F91">
        <v>32.1263623552761</v>
      </c>
      <c r="G91">
        <f t="shared" si="58"/>
        <v>31.964304797395567</v>
      </c>
      <c r="H91">
        <f t="shared" ref="H91" si="59">H89</f>
        <v>0.23499699227218956</v>
      </c>
      <c r="I91">
        <v>31.964304797395567</v>
      </c>
      <c r="J91">
        <v>18.591441611448801</v>
      </c>
      <c r="K91">
        <f t="shared" si="42"/>
        <v>0</v>
      </c>
      <c r="L91">
        <f t="shared" si="43"/>
        <v>13.372863185946766</v>
      </c>
    </row>
    <row r="92" spans="1:12" x14ac:dyDescent="0.2">
      <c r="A92" t="s">
        <v>150</v>
      </c>
      <c r="B92" s="3" t="s">
        <v>139</v>
      </c>
      <c r="C92">
        <v>1706</v>
      </c>
      <c r="D92" t="s">
        <v>2</v>
      </c>
      <c r="E92">
        <v>18.555240885252498</v>
      </c>
      <c r="F92">
        <v>18.555240885252498</v>
      </c>
      <c r="G92">
        <f>AVERAGE(F92:F94)</f>
        <v>18.591441611448801</v>
      </c>
      <c r="H92">
        <f>STDEV(F92:F94)</f>
        <v>0.21188858088932069</v>
      </c>
      <c r="I92">
        <v>31.964304797395599</v>
      </c>
      <c r="J92">
        <v>18.591441611448801</v>
      </c>
      <c r="K92">
        <f t="shared" si="42"/>
        <v>-13.372863185946798</v>
      </c>
      <c r="L92">
        <f t="shared" si="43"/>
        <v>0</v>
      </c>
    </row>
    <row r="93" spans="1:12" x14ac:dyDescent="0.2">
      <c r="A93" t="s">
        <v>150</v>
      </c>
      <c r="B93" s="3" t="s">
        <v>140</v>
      </c>
      <c r="C93">
        <v>1706</v>
      </c>
      <c r="D93" t="s">
        <v>2</v>
      </c>
      <c r="E93">
        <v>18.819098413909799</v>
      </c>
      <c r="F93">
        <v>18.819098413909799</v>
      </c>
      <c r="G93">
        <f t="shared" ref="G93:H93" si="60">G92</f>
        <v>18.591441611448801</v>
      </c>
      <c r="H93">
        <f t="shared" si="60"/>
        <v>0.21188858088932069</v>
      </c>
      <c r="I93">
        <v>31.964304797395599</v>
      </c>
      <c r="J93">
        <v>18.591441611448801</v>
      </c>
      <c r="K93">
        <f t="shared" si="42"/>
        <v>-13.372863185946798</v>
      </c>
      <c r="L93">
        <f t="shared" si="43"/>
        <v>0</v>
      </c>
    </row>
    <row r="94" spans="1:12" x14ac:dyDescent="0.2">
      <c r="A94" t="s">
        <v>150</v>
      </c>
      <c r="B94" s="3" t="s">
        <v>141</v>
      </c>
      <c r="C94">
        <v>1706</v>
      </c>
      <c r="D94" t="s">
        <v>2</v>
      </c>
      <c r="E94">
        <v>18.399985535184101</v>
      </c>
      <c r="F94">
        <v>18.399985535184101</v>
      </c>
      <c r="G94">
        <f t="shared" ref="G94:H94" si="61">G92</f>
        <v>18.591441611448801</v>
      </c>
      <c r="H94">
        <f t="shared" si="61"/>
        <v>0.21188858088932069</v>
      </c>
      <c r="I94">
        <v>31.964304797395599</v>
      </c>
      <c r="J94">
        <v>18.591441611448801</v>
      </c>
      <c r="K94">
        <f t="shared" si="42"/>
        <v>-13.372863185946798</v>
      </c>
      <c r="L94">
        <f t="shared" si="43"/>
        <v>0</v>
      </c>
    </row>
    <row r="95" spans="1:12" x14ac:dyDescent="0.2">
      <c r="A95" t="s">
        <v>150</v>
      </c>
      <c r="B95" s="3" t="s">
        <v>142</v>
      </c>
      <c r="C95">
        <v>1706</v>
      </c>
      <c r="D95" t="s">
        <v>14</v>
      </c>
      <c r="E95">
        <v>31.475585429876599</v>
      </c>
      <c r="G95">
        <f>AVERAGE(F95:F97)</f>
        <v>32.6950875435884</v>
      </c>
      <c r="H95">
        <f>STDEV(F95:F97)</f>
        <v>0.43550673785852972</v>
      </c>
      <c r="I95">
        <v>31.964304797395599</v>
      </c>
      <c r="J95">
        <v>18.591441611448801</v>
      </c>
      <c r="K95">
        <f t="shared" si="42"/>
        <v>0.73078274619280137</v>
      </c>
      <c r="L95">
        <f t="shared" si="43"/>
        <v>14.103645932139599</v>
      </c>
    </row>
    <row r="96" spans="1:12" x14ac:dyDescent="0.2">
      <c r="A96" t="s">
        <v>150</v>
      </c>
      <c r="B96" s="3" t="s">
        <v>143</v>
      </c>
      <c r="C96">
        <v>1706</v>
      </c>
      <c r="D96" t="s">
        <v>14</v>
      </c>
      <c r="E96">
        <v>32.387137775996202</v>
      </c>
      <c r="F96">
        <v>32.387137775996202</v>
      </c>
      <c r="G96">
        <f t="shared" ref="G96:H97" si="62">G95</f>
        <v>32.6950875435884</v>
      </c>
      <c r="H96">
        <f t="shared" si="62"/>
        <v>0.43550673785852972</v>
      </c>
      <c r="I96">
        <v>31.964304797395599</v>
      </c>
      <c r="J96">
        <v>18.591441611448801</v>
      </c>
      <c r="K96">
        <f t="shared" si="42"/>
        <v>0.73078274619280137</v>
      </c>
      <c r="L96">
        <f t="shared" si="43"/>
        <v>14.103645932139599</v>
      </c>
    </row>
    <row r="97" spans="1:12" x14ac:dyDescent="0.2">
      <c r="A97" t="s">
        <v>150</v>
      </c>
      <c r="B97" s="3" t="s">
        <v>144</v>
      </c>
      <c r="C97">
        <v>1706</v>
      </c>
      <c r="D97" t="s">
        <v>14</v>
      </c>
      <c r="E97">
        <v>33.003037311180599</v>
      </c>
      <c r="F97">
        <v>33.003037311180599</v>
      </c>
      <c r="G97">
        <f t="shared" si="62"/>
        <v>32.6950875435884</v>
      </c>
      <c r="H97">
        <f t="shared" ref="H97" si="63">H95</f>
        <v>0.43550673785852972</v>
      </c>
      <c r="I97">
        <v>31.964304797395599</v>
      </c>
      <c r="J97">
        <v>18.591441611448801</v>
      </c>
      <c r="K97">
        <f t="shared" si="42"/>
        <v>0.73078274619280137</v>
      </c>
      <c r="L97">
        <f t="shared" si="43"/>
        <v>14.103645932139599</v>
      </c>
    </row>
  </sheetData>
  <phoneticPr fontId="2" type="noConversion"/>
  <conditionalFormatting sqref="H2:H97">
    <cfRule type="cellIs" dxfId="7" priority="1" operator="greaterThan">
      <formula>0.3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F8A0-BB75-FE40-857F-28A42E937755}">
  <dimension ref="A1:L97"/>
  <sheetViews>
    <sheetView zoomScale="130" zoomScaleNormal="130" workbookViewId="0">
      <selection sqref="A1:XFD1"/>
    </sheetView>
  </sheetViews>
  <sheetFormatPr baseColWidth="10" defaultRowHeight="16" x14ac:dyDescent="0.2"/>
  <cols>
    <col min="3" max="3" width="11" bestFit="1" customWidth="1"/>
    <col min="5" max="11" width="11" bestFit="1" customWidth="1"/>
    <col min="12" max="12" width="11.83203125" bestFit="1" customWidth="1"/>
  </cols>
  <sheetData>
    <row r="1" spans="1:12" x14ac:dyDescent="0.2">
      <c r="A1" t="s">
        <v>147</v>
      </c>
      <c r="B1" t="s">
        <v>48</v>
      </c>
      <c r="C1" t="s">
        <v>0</v>
      </c>
      <c r="D1" t="s">
        <v>145</v>
      </c>
      <c r="E1" t="s">
        <v>154</v>
      </c>
      <c r="F1" t="s">
        <v>158</v>
      </c>
      <c r="G1" t="s">
        <v>156</v>
      </c>
      <c r="H1" t="s">
        <v>157</v>
      </c>
      <c r="I1" t="s">
        <v>1</v>
      </c>
      <c r="J1" t="s">
        <v>2</v>
      </c>
      <c r="K1" t="s">
        <v>159</v>
      </c>
      <c r="L1" t="s">
        <v>160</v>
      </c>
    </row>
    <row r="2" spans="1:12" x14ac:dyDescent="0.2">
      <c r="A2" t="s">
        <v>151</v>
      </c>
      <c r="B2" s="3" t="s">
        <v>49</v>
      </c>
      <c r="C2">
        <v>154</v>
      </c>
      <c r="D2" t="s">
        <v>1</v>
      </c>
      <c r="E2">
        <v>33.215594276999298</v>
      </c>
      <c r="G2">
        <f>AVERAGE(F2:F4)</f>
        <v>31.892560002412949</v>
      </c>
      <c r="H2">
        <f>STDEV(F2:F4)</f>
        <v>0.26137813110222519</v>
      </c>
      <c r="I2">
        <f>G2</f>
        <v>31.892560002412949</v>
      </c>
      <c r="J2">
        <f>G5</f>
        <v>18.986393145760601</v>
      </c>
      <c r="K2">
        <f>G2-I2</f>
        <v>0</v>
      </c>
      <c r="L2">
        <f>G2-J2</f>
        <v>12.906166856652348</v>
      </c>
    </row>
    <row r="3" spans="1:12" x14ac:dyDescent="0.2">
      <c r="A3" t="s">
        <v>151</v>
      </c>
      <c r="B3" s="3" t="s">
        <v>50</v>
      </c>
      <c r="C3">
        <v>154</v>
      </c>
      <c r="D3" t="s">
        <v>1</v>
      </c>
      <c r="E3">
        <v>31.707737753456701</v>
      </c>
      <c r="F3">
        <v>31.707737753456701</v>
      </c>
      <c r="G3">
        <f>G2</f>
        <v>31.892560002412949</v>
      </c>
      <c r="H3">
        <f>H2</f>
        <v>0.26137813110222519</v>
      </c>
      <c r="I3">
        <v>31.892560002412949</v>
      </c>
      <c r="J3">
        <v>18.986393145760601</v>
      </c>
      <c r="K3">
        <f t="shared" ref="K3:K66" si="0">G3-I3</f>
        <v>0</v>
      </c>
      <c r="L3">
        <f t="shared" ref="L3:L66" si="1">G3-J3</f>
        <v>12.906166856652348</v>
      </c>
    </row>
    <row r="4" spans="1:12" x14ac:dyDescent="0.2">
      <c r="A4" t="s">
        <v>151</v>
      </c>
      <c r="B4" s="3" t="s">
        <v>51</v>
      </c>
      <c r="C4">
        <v>154</v>
      </c>
      <c r="D4" t="s">
        <v>1</v>
      </c>
      <c r="E4">
        <v>32.077382251369201</v>
      </c>
      <c r="F4">
        <v>32.077382251369201</v>
      </c>
      <c r="G4">
        <f>G2</f>
        <v>31.892560002412949</v>
      </c>
      <c r="H4">
        <f>H2</f>
        <v>0.26137813110222519</v>
      </c>
      <c r="I4">
        <v>31.892560002412949</v>
      </c>
      <c r="J4">
        <v>18.986393145760601</v>
      </c>
      <c r="K4">
        <f t="shared" si="0"/>
        <v>0</v>
      </c>
      <c r="L4">
        <f t="shared" si="1"/>
        <v>12.906166856652348</v>
      </c>
    </row>
    <row r="5" spans="1:12" x14ac:dyDescent="0.2">
      <c r="A5" t="s">
        <v>151</v>
      </c>
      <c r="B5" s="3" t="s">
        <v>52</v>
      </c>
      <c r="C5">
        <v>154</v>
      </c>
      <c r="D5" t="s">
        <v>2</v>
      </c>
      <c r="E5">
        <v>19.555706610833301</v>
      </c>
      <c r="F5">
        <v>19.555706610833301</v>
      </c>
      <c r="G5">
        <f>AVERAGE(F5:F7)</f>
        <v>18.986393145760601</v>
      </c>
      <c r="H5">
        <f>STDEV(F5:F7)</f>
        <v>0.8051308235474357</v>
      </c>
      <c r="I5">
        <v>31.8925600024129</v>
      </c>
      <c r="J5">
        <v>18.986393145760601</v>
      </c>
      <c r="K5">
        <f t="shared" si="0"/>
        <v>-12.906166856652298</v>
      </c>
      <c r="L5">
        <f t="shared" si="1"/>
        <v>0</v>
      </c>
    </row>
    <row r="6" spans="1:12" x14ac:dyDescent="0.2">
      <c r="A6" t="s">
        <v>151</v>
      </c>
      <c r="B6" s="3" t="s">
        <v>53</v>
      </c>
      <c r="C6">
        <v>154</v>
      </c>
      <c r="D6" t="s">
        <v>2</v>
      </c>
      <c r="E6">
        <v>21.5013810189472</v>
      </c>
      <c r="G6">
        <f>G5</f>
        <v>18.986393145760601</v>
      </c>
      <c r="H6">
        <f>H5</f>
        <v>0.8051308235474357</v>
      </c>
      <c r="I6">
        <v>31.8925600024129</v>
      </c>
      <c r="J6">
        <v>18.986393145760601</v>
      </c>
      <c r="K6">
        <f t="shared" si="0"/>
        <v>-12.906166856652298</v>
      </c>
      <c r="L6">
        <f t="shared" si="1"/>
        <v>0</v>
      </c>
    </row>
    <row r="7" spans="1:12" x14ac:dyDescent="0.2">
      <c r="A7" t="s">
        <v>151</v>
      </c>
      <c r="B7" s="3" t="s">
        <v>54</v>
      </c>
      <c r="C7">
        <v>154</v>
      </c>
      <c r="D7" t="s">
        <v>2</v>
      </c>
      <c r="E7">
        <v>18.417079680687898</v>
      </c>
      <c r="F7">
        <v>18.417079680687898</v>
      </c>
      <c r="G7">
        <f>G6</f>
        <v>18.986393145760601</v>
      </c>
      <c r="H7">
        <f>H5</f>
        <v>0.8051308235474357</v>
      </c>
      <c r="I7">
        <v>31.8925600024129</v>
      </c>
      <c r="J7">
        <v>18.986393145760601</v>
      </c>
      <c r="K7">
        <f t="shared" si="0"/>
        <v>-12.906166856652298</v>
      </c>
      <c r="L7">
        <f t="shared" si="1"/>
        <v>0</v>
      </c>
    </row>
    <row r="8" spans="1:12" s="1" customFormat="1" x14ac:dyDescent="0.2">
      <c r="A8" s="1" t="s">
        <v>151</v>
      </c>
      <c r="B8" s="1" t="s">
        <v>55</v>
      </c>
      <c r="C8" s="1">
        <v>154</v>
      </c>
      <c r="D8" s="1" t="s">
        <v>14</v>
      </c>
      <c r="E8" s="1" t="s">
        <v>155</v>
      </c>
      <c r="G8" s="1" t="e">
        <f>AVERAGE(F8:F10)</f>
        <v>#DIV/0!</v>
      </c>
      <c r="H8" s="1" t="e">
        <f>STDEV(F8:F10)</f>
        <v>#DIV/0!</v>
      </c>
      <c r="I8" s="1">
        <v>31.8925600024129</v>
      </c>
      <c r="J8" s="1">
        <v>18.986393145760601</v>
      </c>
      <c r="K8" s="1" t="e">
        <f t="shared" si="0"/>
        <v>#DIV/0!</v>
      </c>
      <c r="L8" s="1" t="e">
        <f t="shared" si="1"/>
        <v>#DIV/0!</v>
      </c>
    </row>
    <row r="9" spans="1:12" s="1" customFormat="1" x14ac:dyDescent="0.2">
      <c r="A9" s="1" t="s">
        <v>151</v>
      </c>
      <c r="B9" s="1" t="s">
        <v>56</v>
      </c>
      <c r="C9" s="1">
        <v>154</v>
      </c>
      <c r="D9" s="1" t="s">
        <v>14</v>
      </c>
      <c r="E9" s="1">
        <v>38.054954617917303</v>
      </c>
      <c r="G9" s="1" t="e">
        <f t="shared" ref="G9:H9" si="2">G8</f>
        <v>#DIV/0!</v>
      </c>
      <c r="H9" s="1" t="e">
        <f t="shared" si="2"/>
        <v>#DIV/0!</v>
      </c>
      <c r="I9" s="1">
        <v>31.8925600024129</v>
      </c>
      <c r="J9" s="1">
        <v>18.986393145760601</v>
      </c>
      <c r="K9" s="1" t="e">
        <f t="shared" si="0"/>
        <v>#DIV/0!</v>
      </c>
      <c r="L9" s="1" t="e">
        <f t="shared" si="1"/>
        <v>#DIV/0!</v>
      </c>
    </row>
    <row r="10" spans="1:12" s="1" customFormat="1" x14ac:dyDescent="0.2">
      <c r="A10" s="1" t="s">
        <v>151</v>
      </c>
      <c r="B10" s="1" t="s">
        <v>57</v>
      </c>
      <c r="C10" s="1">
        <v>154</v>
      </c>
      <c r="D10" s="1" t="s">
        <v>14</v>
      </c>
      <c r="E10" s="1" t="s">
        <v>155</v>
      </c>
      <c r="G10" s="1" t="e">
        <f t="shared" ref="G10:H10" si="3">G8</f>
        <v>#DIV/0!</v>
      </c>
      <c r="H10" s="1" t="e">
        <f t="shared" si="3"/>
        <v>#DIV/0!</v>
      </c>
      <c r="I10" s="1">
        <v>31.8925600024129</v>
      </c>
      <c r="J10" s="1">
        <v>18.986393145760601</v>
      </c>
      <c r="K10" s="1" t="e">
        <f t="shared" si="0"/>
        <v>#DIV/0!</v>
      </c>
      <c r="L10" s="1" t="e">
        <f t="shared" si="1"/>
        <v>#DIV/0!</v>
      </c>
    </row>
    <row r="11" spans="1:12" s="1" customFormat="1" x14ac:dyDescent="0.2">
      <c r="A11" s="1" t="s">
        <v>151</v>
      </c>
      <c r="B11" s="1" t="s">
        <v>58</v>
      </c>
      <c r="C11" s="1">
        <v>156</v>
      </c>
      <c r="D11" s="1" t="s">
        <v>1</v>
      </c>
      <c r="E11" s="1">
        <v>37.092991435077003</v>
      </c>
      <c r="G11" s="1" t="e">
        <f>AVERAGE(F11:F13)</f>
        <v>#DIV/0!</v>
      </c>
      <c r="H11" s="1" t="e">
        <f>STDEV(F11:F13)</f>
        <v>#DIV/0!</v>
      </c>
      <c r="I11" s="1">
        <f>F11</f>
        <v>0</v>
      </c>
      <c r="J11" s="1">
        <f>F14</f>
        <v>17.460350404819799</v>
      </c>
      <c r="K11" s="1" t="e">
        <f t="shared" si="0"/>
        <v>#DIV/0!</v>
      </c>
      <c r="L11" s="1" t="e">
        <f t="shared" si="1"/>
        <v>#DIV/0!</v>
      </c>
    </row>
    <row r="12" spans="1:12" s="1" customFormat="1" x14ac:dyDescent="0.2">
      <c r="A12" s="1" t="s">
        <v>151</v>
      </c>
      <c r="B12" s="1" t="s">
        <v>59</v>
      </c>
      <c r="C12" s="1">
        <v>156</v>
      </c>
      <c r="D12" s="1" t="s">
        <v>1</v>
      </c>
      <c r="E12" s="1" t="s">
        <v>155</v>
      </c>
      <c r="G12" s="1" t="e">
        <f t="shared" ref="G12:H13" si="4">G11</f>
        <v>#DIV/0!</v>
      </c>
      <c r="H12" s="1" t="e">
        <f t="shared" si="4"/>
        <v>#DIV/0!</v>
      </c>
      <c r="I12" s="1">
        <v>0</v>
      </c>
      <c r="J12" s="1">
        <v>17.460350404819799</v>
      </c>
      <c r="K12" s="1" t="e">
        <f t="shared" si="0"/>
        <v>#DIV/0!</v>
      </c>
      <c r="L12" s="1" t="e">
        <f t="shared" si="1"/>
        <v>#DIV/0!</v>
      </c>
    </row>
    <row r="13" spans="1:12" s="1" customFormat="1" x14ac:dyDescent="0.2">
      <c r="A13" s="1" t="s">
        <v>151</v>
      </c>
      <c r="B13" s="1" t="s">
        <v>60</v>
      </c>
      <c r="C13" s="1">
        <v>156</v>
      </c>
      <c r="D13" s="1" t="s">
        <v>1</v>
      </c>
      <c r="E13" s="1">
        <v>11.6371843812402</v>
      </c>
      <c r="G13" s="1" t="e">
        <f t="shared" si="4"/>
        <v>#DIV/0!</v>
      </c>
      <c r="H13" s="1" t="e">
        <f t="shared" ref="H13" si="5">H11</f>
        <v>#DIV/0!</v>
      </c>
      <c r="I13" s="1">
        <v>0</v>
      </c>
      <c r="J13" s="1">
        <v>17.460350404819799</v>
      </c>
      <c r="K13" s="1" t="e">
        <f t="shared" si="0"/>
        <v>#DIV/0!</v>
      </c>
      <c r="L13" s="1" t="e">
        <f t="shared" si="1"/>
        <v>#DIV/0!</v>
      </c>
    </row>
    <row r="14" spans="1:12" x14ac:dyDescent="0.2">
      <c r="A14" t="s">
        <v>151</v>
      </c>
      <c r="B14" s="3" t="s">
        <v>61</v>
      </c>
      <c r="C14">
        <v>156</v>
      </c>
      <c r="D14" t="s">
        <v>2</v>
      </c>
      <c r="E14">
        <v>17.460350404819799</v>
      </c>
      <c r="F14">
        <v>17.460350404819799</v>
      </c>
      <c r="G14">
        <f>AVERAGE(F14:F16)</f>
        <v>17.219838378295599</v>
      </c>
      <c r="H14">
        <f>STDEV(F14:F16)</f>
        <v>0.22113567739004042</v>
      </c>
      <c r="I14">
        <v>0</v>
      </c>
      <c r="J14">
        <v>17.460350404819799</v>
      </c>
      <c r="K14">
        <f t="shared" si="0"/>
        <v>17.219838378295599</v>
      </c>
      <c r="L14">
        <f t="shared" si="1"/>
        <v>-0.24051202652420045</v>
      </c>
    </row>
    <row r="15" spans="1:12" x14ac:dyDescent="0.2">
      <c r="A15" t="s">
        <v>151</v>
      </c>
      <c r="B15" s="3" t="s">
        <v>62</v>
      </c>
      <c r="C15">
        <v>156</v>
      </c>
      <c r="D15" t="s">
        <v>2</v>
      </c>
      <c r="E15">
        <v>17.025309478744699</v>
      </c>
      <c r="F15">
        <v>17.025309478744699</v>
      </c>
      <c r="G15">
        <f t="shared" ref="G15:H15" si="6">G14</f>
        <v>17.219838378295599</v>
      </c>
      <c r="H15">
        <f t="shared" si="6"/>
        <v>0.22113567739004042</v>
      </c>
      <c r="I15">
        <v>0</v>
      </c>
      <c r="J15">
        <v>17.460350404819799</v>
      </c>
      <c r="K15">
        <f t="shared" si="0"/>
        <v>17.219838378295599</v>
      </c>
      <c r="L15">
        <f t="shared" si="1"/>
        <v>-0.24051202652420045</v>
      </c>
    </row>
    <row r="16" spans="1:12" x14ac:dyDescent="0.2">
      <c r="A16" t="s">
        <v>151</v>
      </c>
      <c r="B16" s="3" t="s">
        <v>63</v>
      </c>
      <c r="C16">
        <v>156</v>
      </c>
      <c r="D16" t="s">
        <v>2</v>
      </c>
      <c r="E16">
        <v>17.173855251322301</v>
      </c>
      <c r="F16">
        <v>17.173855251322301</v>
      </c>
      <c r="G16">
        <f t="shared" ref="G16:H16" si="7">G14</f>
        <v>17.219838378295599</v>
      </c>
      <c r="H16">
        <f t="shared" si="7"/>
        <v>0.22113567739004042</v>
      </c>
      <c r="I16">
        <v>0</v>
      </c>
      <c r="J16">
        <v>17.460350404819799</v>
      </c>
      <c r="K16">
        <f t="shared" si="0"/>
        <v>17.219838378295599</v>
      </c>
      <c r="L16">
        <f t="shared" si="1"/>
        <v>-0.24051202652420045</v>
      </c>
    </row>
    <row r="17" spans="1:12" s="1" customFormat="1" x14ac:dyDescent="0.2">
      <c r="A17" s="1" t="s">
        <v>151</v>
      </c>
      <c r="B17" s="1" t="s">
        <v>64</v>
      </c>
      <c r="C17" s="1">
        <v>156</v>
      </c>
      <c r="D17" s="1" t="s">
        <v>13</v>
      </c>
      <c r="E17" s="1">
        <v>32.684470066821497</v>
      </c>
      <c r="G17" s="1" t="e">
        <f>AVERAGE(F17:F19)</f>
        <v>#DIV/0!</v>
      </c>
      <c r="H17" s="1" t="e">
        <f>STDEV(F17:F19)</f>
        <v>#DIV/0!</v>
      </c>
      <c r="I17" s="1">
        <v>0</v>
      </c>
      <c r="J17" s="1">
        <v>17.460350404819799</v>
      </c>
      <c r="K17" s="1" t="e">
        <f t="shared" si="0"/>
        <v>#DIV/0!</v>
      </c>
      <c r="L17" s="1" t="e">
        <f t="shared" si="1"/>
        <v>#DIV/0!</v>
      </c>
    </row>
    <row r="18" spans="1:12" s="1" customFormat="1" x14ac:dyDescent="0.2">
      <c r="A18" s="1" t="s">
        <v>151</v>
      </c>
      <c r="B18" s="1" t="s">
        <v>65</v>
      </c>
      <c r="C18" s="1">
        <v>156</v>
      </c>
      <c r="D18" s="1" t="s">
        <v>13</v>
      </c>
      <c r="E18" s="1">
        <v>34.090905991027498</v>
      </c>
      <c r="G18" s="1" t="e">
        <f t="shared" ref="G18:H19" si="8">G17</f>
        <v>#DIV/0!</v>
      </c>
      <c r="H18" s="1" t="e">
        <f t="shared" si="8"/>
        <v>#DIV/0!</v>
      </c>
      <c r="I18" s="1">
        <v>0</v>
      </c>
      <c r="J18" s="1">
        <v>17.460350404819799</v>
      </c>
      <c r="K18" s="1" t="e">
        <f t="shared" si="0"/>
        <v>#DIV/0!</v>
      </c>
      <c r="L18" s="1" t="e">
        <f t="shared" si="1"/>
        <v>#DIV/0!</v>
      </c>
    </row>
    <row r="19" spans="1:12" s="1" customFormat="1" x14ac:dyDescent="0.2">
      <c r="A19" s="1" t="s">
        <v>151</v>
      </c>
      <c r="B19" s="1" t="s">
        <v>66</v>
      </c>
      <c r="C19" s="1">
        <v>156</v>
      </c>
      <c r="D19" s="1" t="s">
        <v>13</v>
      </c>
      <c r="E19" s="1">
        <v>35.468649058757997</v>
      </c>
      <c r="G19" s="1" t="e">
        <f t="shared" si="8"/>
        <v>#DIV/0!</v>
      </c>
      <c r="H19" s="1" t="e">
        <f t="shared" ref="H19" si="9">H17</f>
        <v>#DIV/0!</v>
      </c>
      <c r="I19" s="1">
        <v>0</v>
      </c>
      <c r="J19" s="1">
        <v>17.460350404819799</v>
      </c>
      <c r="K19" s="1" t="e">
        <f t="shared" si="0"/>
        <v>#DIV/0!</v>
      </c>
      <c r="L19" s="1" t="e">
        <f t="shared" si="1"/>
        <v>#DIV/0!</v>
      </c>
    </row>
    <row r="20" spans="1:12" x14ac:dyDescent="0.2">
      <c r="A20" t="s">
        <v>151</v>
      </c>
      <c r="B20" s="3" t="s">
        <v>67</v>
      </c>
      <c r="C20">
        <v>156</v>
      </c>
      <c r="D20" t="s">
        <v>12</v>
      </c>
      <c r="E20">
        <v>33.108197963392698</v>
      </c>
      <c r="G20">
        <f>AVERAGE(F20:F22)</f>
        <v>31.566095247340201</v>
      </c>
      <c r="H20">
        <f>STDEV(F20:F22)</f>
        <v>0.23871209571835228</v>
      </c>
      <c r="I20">
        <v>0</v>
      </c>
      <c r="J20">
        <v>17.460350404819799</v>
      </c>
      <c r="K20">
        <f t="shared" si="0"/>
        <v>31.566095247340201</v>
      </c>
      <c r="L20">
        <f t="shared" si="1"/>
        <v>14.105744842520402</v>
      </c>
    </row>
    <row r="21" spans="1:12" x14ac:dyDescent="0.2">
      <c r="A21" t="s">
        <v>151</v>
      </c>
      <c r="B21" s="3" t="s">
        <v>68</v>
      </c>
      <c r="C21">
        <v>156</v>
      </c>
      <c r="D21" t="s">
        <v>12</v>
      </c>
      <c r="E21">
        <v>31.7348901889739</v>
      </c>
      <c r="F21">
        <v>31.7348901889739</v>
      </c>
      <c r="G21">
        <f t="shared" ref="G21:H21" si="10">G20</f>
        <v>31.566095247340201</v>
      </c>
      <c r="H21">
        <f t="shared" si="10"/>
        <v>0.23871209571835228</v>
      </c>
      <c r="I21">
        <v>0</v>
      </c>
      <c r="J21">
        <v>17.460350404819799</v>
      </c>
      <c r="K21">
        <f t="shared" si="0"/>
        <v>31.566095247340201</v>
      </c>
      <c r="L21">
        <f t="shared" si="1"/>
        <v>14.105744842520402</v>
      </c>
    </row>
    <row r="22" spans="1:12" x14ac:dyDescent="0.2">
      <c r="A22" t="s">
        <v>151</v>
      </c>
      <c r="B22" s="3" t="s">
        <v>69</v>
      </c>
      <c r="C22">
        <v>156</v>
      </c>
      <c r="D22" t="s">
        <v>12</v>
      </c>
      <c r="E22">
        <v>31.397300305706501</v>
      </c>
      <c r="F22">
        <v>31.397300305706501</v>
      </c>
      <c r="G22">
        <f t="shared" ref="G22:H22" si="11">G20</f>
        <v>31.566095247340201</v>
      </c>
      <c r="H22">
        <f t="shared" si="11"/>
        <v>0.23871209571835228</v>
      </c>
      <c r="I22">
        <v>0</v>
      </c>
      <c r="J22">
        <v>17.460350404819799</v>
      </c>
      <c r="K22">
        <f t="shared" si="0"/>
        <v>31.566095247340201</v>
      </c>
      <c r="L22">
        <f t="shared" si="1"/>
        <v>14.105744842520402</v>
      </c>
    </row>
    <row r="23" spans="1:12" s="1" customFormat="1" x14ac:dyDescent="0.2">
      <c r="A23" s="1" t="s">
        <v>151</v>
      </c>
      <c r="B23" s="1" t="s">
        <v>70</v>
      </c>
      <c r="C23" s="1">
        <v>156</v>
      </c>
      <c r="D23" s="1" t="s">
        <v>8</v>
      </c>
      <c r="E23" s="1">
        <v>35.317517624705403</v>
      </c>
      <c r="G23" s="1" t="e">
        <f>AVERAGE(F23:F25)</f>
        <v>#DIV/0!</v>
      </c>
      <c r="H23" s="1" t="e">
        <f>STDEV(F23:F25)</f>
        <v>#DIV/0!</v>
      </c>
      <c r="I23" s="1">
        <v>0</v>
      </c>
      <c r="J23" s="1">
        <v>17.460350404819799</v>
      </c>
      <c r="K23" s="1" t="e">
        <f t="shared" si="0"/>
        <v>#DIV/0!</v>
      </c>
      <c r="L23" s="1" t="e">
        <f t="shared" si="1"/>
        <v>#DIV/0!</v>
      </c>
    </row>
    <row r="24" spans="1:12" s="1" customFormat="1" x14ac:dyDescent="0.2">
      <c r="A24" s="1" t="s">
        <v>151</v>
      </c>
      <c r="B24" s="1" t="s">
        <v>71</v>
      </c>
      <c r="C24" s="1">
        <v>156</v>
      </c>
      <c r="D24" s="1" t="s">
        <v>8</v>
      </c>
      <c r="E24" s="1" t="s">
        <v>155</v>
      </c>
      <c r="G24" s="1" t="e">
        <f t="shared" ref="G24:H25" si="12">G23</f>
        <v>#DIV/0!</v>
      </c>
      <c r="H24" s="1" t="e">
        <f t="shared" si="12"/>
        <v>#DIV/0!</v>
      </c>
      <c r="I24" s="1">
        <v>0</v>
      </c>
      <c r="J24" s="1">
        <v>17.460350404819799</v>
      </c>
      <c r="K24" s="1" t="e">
        <f t="shared" si="0"/>
        <v>#DIV/0!</v>
      </c>
      <c r="L24" s="1" t="e">
        <f t="shared" si="1"/>
        <v>#DIV/0!</v>
      </c>
    </row>
    <row r="25" spans="1:12" s="1" customFormat="1" x14ac:dyDescent="0.2">
      <c r="A25" s="1" t="s">
        <v>151</v>
      </c>
      <c r="B25" s="1" t="s">
        <v>72</v>
      </c>
      <c r="C25" s="1">
        <v>156</v>
      </c>
      <c r="D25" s="1" t="s">
        <v>8</v>
      </c>
      <c r="E25" s="1">
        <v>33.453170845620399</v>
      </c>
      <c r="G25" s="1" t="e">
        <f t="shared" si="12"/>
        <v>#DIV/0!</v>
      </c>
      <c r="H25" s="1" t="e">
        <f t="shared" ref="H25" si="13">H23</f>
        <v>#DIV/0!</v>
      </c>
      <c r="I25" s="1">
        <v>0</v>
      </c>
      <c r="J25" s="1">
        <v>17.460350404819799</v>
      </c>
      <c r="K25" s="1" t="e">
        <f t="shared" si="0"/>
        <v>#DIV/0!</v>
      </c>
      <c r="L25" s="1" t="e">
        <f t="shared" si="1"/>
        <v>#DIV/0!</v>
      </c>
    </row>
    <row r="26" spans="1:12" x14ac:dyDescent="0.2">
      <c r="A26" t="s">
        <v>151</v>
      </c>
      <c r="B26" s="3" t="s">
        <v>73</v>
      </c>
      <c r="C26">
        <v>156</v>
      </c>
      <c r="D26" t="s">
        <v>6</v>
      </c>
      <c r="E26">
        <v>32.111934454744201</v>
      </c>
      <c r="F26">
        <v>32.111934454744201</v>
      </c>
      <c r="G26">
        <f>AVERAGE(F26:F28)</f>
        <v>32.248353678040026</v>
      </c>
      <c r="H26">
        <f>STDEV(F26:F28)</f>
        <v>0.31731835206464948</v>
      </c>
      <c r="I26">
        <v>0</v>
      </c>
      <c r="J26">
        <v>17.460350404819799</v>
      </c>
      <c r="K26">
        <f t="shared" si="0"/>
        <v>32.248353678040026</v>
      </c>
      <c r="L26">
        <f t="shared" si="1"/>
        <v>14.788003273220227</v>
      </c>
    </row>
    <row r="27" spans="1:12" x14ac:dyDescent="0.2">
      <c r="A27" t="s">
        <v>151</v>
      </c>
      <c r="B27" s="3" t="s">
        <v>74</v>
      </c>
      <c r="C27">
        <v>156</v>
      </c>
      <c r="D27" t="s">
        <v>6</v>
      </c>
      <c r="E27">
        <v>32.611068439377298</v>
      </c>
      <c r="F27">
        <v>32.611068439377298</v>
      </c>
      <c r="G27">
        <f t="shared" ref="G27:H27" si="14">G26</f>
        <v>32.248353678040026</v>
      </c>
      <c r="H27">
        <f t="shared" si="14"/>
        <v>0.31731835206464948</v>
      </c>
      <c r="I27">
        <v>0</v>
      </c>
      <c r="J27">
        <v>17.460350404819799</v>
      </c>
      <c r="K27">
        <f t="shared" si="0"/>
        <v>32.248353678040026</v>
      </c>
      <c r="L27">
        <f t="shared" si="1"/>
        <v>14.788003273220227</v>
      </c>
    </row>
    <row r="28" spans="1:12" x14ac:dyDescent="0.2">
      <c r="A28" t="s">
        <v>151</v>
      </c>
      <c r="B28" s="3" t="s">
        <v>75</v>
      </c>
      <c r="C28">
        <v>156</v>
      </c>
      <c r="D28" t="s">
        <v>6</v>
      </c>
      <c r="E28">
        <v>32.022058139998599</v>
      </c>
      <c r="F28">
        <v>32.022058139998599</v>
      </c>
      <c r="G28">
        <f t="shared" ref="G28:H28" si="15">G26</f>
        <v>32.248353678040026</v>
      </c>
      <c r="H28">
        <f t="shared" si="15"/>
        <v>0.31731835206464948</v>
      </c>
      <c r="I28">
        <v>0</v>
      </c>
      <c r="J28">
        <v>17.460350404819799</v>
      </c>
      <c r="K28">
        <f t="shared" si="0"/>
        <v>32.248353678040026</v>
      </c>
      <c r="L28">
        <f t="shared" si="1"/>
        <v>14.788003273220227</v>
      </c>
    </row>
    <row r="29" spans="1:12" x14ac:dyDescent="0.2">
      <c r="A29" t="s">
        <v>151</v>
      </c>
      <c r="B29" s="3" t="s">
        <v>76</v>
      </c>
      <c r="C29">
        <v>156</v>
      </c>
      <c r="D29" t="s">
        <v>10</v>
      </c>
      <c r="E29">
        <v>33.704461547495399</v>
      </c>
      <c r="F29">
        <v>33.704461547495399</v>
      </c>
      <c r="G29">
        <f>AVERAGE(F29:F31)</f>
        <v>33.273974392709597</v>
      </c>
      <c r="H29">
        <f>STDEV(F29:F31)</f>
        <v>0.43520517057097252</v>
      </c>
      <c r="I29">
        <v>0</v>
      </c>
      <c r="J29">
        <v>17.460350404819799</v>
      </c>
      <c r="K29">
        <f t="shared" si="0"/>
        <v>33.273974392709597</v>
      </c>
      <c r="L29">
        <f t="shared" si="1"/>
        <v>15.813623987889798</v>
      </c>
    </row>
    <row r="30" spans="1:12" x14ac:dyDescent="0.2">
      <c r="A30" t="s">
        <v>151</v>
      </c>
      <c r="B30" s="3" t="s">
        <v>77</v>
      </c>
      <c r="C30">
        <v>156</v>
      </c>
      <c r="D30" t="s">
        <v>10</v>
      </c>
      <c r="E30">
        <v>32.834199864966799</v>
      </c>
      <c r="F30">
        <v>32.834199864966799</v>
      </c>
      <c r="G30">
        <f t="shared" ref="G30:H31" si="16">G29</f>
        <v>33.273974392709597</v>
      </c>
      <c r="H30">
        <f t="shared" si="16"/>
        <v>0.43520517057097252</v>
      </c>
      <c r="I30">
        <v>0</v>
      </c>
      <c r="J30">
        <v>17.460350404819799</v>
      </c>
      <c r="K30">
        <f t="shared" si="0"/>
        <v>33.273974392709597</v>
      </c>
      <c r="L30">
        <f t="shared" si="1"/>
        <v>15.813623987889798</v>
      </c>
    </row>
    <row r="31" spans="1:12" x14ac:dyDescent="0.2">
      <c r="A31" t="s">
        <v>151</v>
      </c>
      <c r="B31" s="3" t="s">
        <v>78</v>
      </c>
      <c r="C31">
        <v>156</v>
      </c>
      <c r="D31" t="s">
        <v>10</v>
      </c>
      <c r="E31">
        <v>33.283261765666602</v>
      </c>
      <c r="F31">
        <v>33.283261765666602</v>
      </c>
      <c r="G31">
        <f t="shared" si="16"/>
        <v>33.273974392709597</v>
      </c>
      <c r="H31">
        <f t="shared" ref="H31" si="17">H29</f>
        <v>0.43520517057097252</v>
      </c>
      <c r="I31">
        <v>0</v>
      </c>
      <c r="J31">
        <v>17.460350404819799</v>
      </c>
      <c r="K31">
        <f t="shared" si="0"/>
        <v>33.273974392709597</v>
      </c>
      <c r="L31">
        <f t="shared" si="1"/>
        <v>15.813623987889798</v>
      </c>
    </row>
    <row r="32" spans="1:12" s="1" customFormat="1" x14ac:dyDescent="0.2">
      <c r="A32" s="1" t="s">
        <v>151</v>
      </c>
      <c r="B32" s="1" t="s">
        <v>79</v>
      </c>
      <c r="C32" s="1">
        <v>159</v>
      </c>
      <c r="D32" s="1" t="s">
        <v>1</v>
      </c>
      <c r="E32" s="1">
        <v>31.745020715070201</v>
      </c>
      <c r="F32" s="1">
        <v>31.745020715070201</v>
      </c>
      <c r="G32" s="1">
        <f>AVERAGE(F32:F34)</f>
        <v>31.889839611124064</v>
      </c>
      <c r="H32" s="1">
        <f>STDEV(F32:F34)</f>
        <v>0.13872111847178856</v>
      </c>
      <c r="I32" s="1">
        <f>G32</f>
        <v>31.889839611124064</v>
      </c>
      <c r="J32" s="1" t="e">
        <f>G35</f>
        <v>#DIV/0!</v>
      </c>
      <c r="K32" s="1">
        <f t="shared" si="0"/>
        <v>0</v>
      </c>
      <c r="L32" s="1" t="e">
        <f t="shared" si="1"/>
        <v>#DIV/0!</v>
      </c>
    </row>
    <row r="33" spans="1:12" s="1" customFormat="1" x14ac:dyDescent="0.2">
      <c r="A33" s="1" t="s">
        <v>151</v>
      </c>
      <c r="B33" s="1" t="s">
        <v>80</v>
      </c>
      <c r="C33" s="1">
        <v>159</v>
      </c>
      <c r="D33" s="1" t="s">
        <v>1</v>
      </c>
      <c r="E33" s="1">
        <v>31.902968672686601</v>
      </c>
      <c r="F33" s="1">
        <v>31.902968672686601</v>
      </c>
      <c r="G33" s="1">
        <f t="shared" ref="G33:H33" si="18">G32</f>
        <v>31.889839611124064</v>
      </c>
      <c r="H33" s="1">
        <f t="shared" si="18"/>
        <v>0.13872111847178856</v>
      </c>
      <c r="I33" s="1">
        <v>31.889839611124064</v>
      </c>
      <c r="J33" s="1" t="e">
        <v>#DIV/0!</v>
      </c>
      <c r="K33" s="1">
        <f t="shared" si="0"/>
        <v>0</v>
      </c>
      <c r="L33" s="1" t="e">
        <f t="shared" si="1"/>
        <v>#DIV/0!</v>
      </c>
    </row>
    <row r="34" spans="1:12" s="1" customFormat="1" x14ac:dyDescent="0.2">
      <c r="A34" s="1" t="s">
        <v>151</v>
      </c>
      <c r="B34" s="1" t="s">
        <v>81</v>
      </c>
      <c r="C34" s="1">
        <v>159</v>
      </c>
      <c r="D34" s="1" t="s">
        <v>1</v>
      </c>
      <c r="E34" s="1">
        <v>32.0215294456154</v>
      </c>
      <c r="F34" s="1">
        <v>32.0215294456154</v>
      </c>
      <c r="G34" s="1">
        <f t="shared" ref="G34:H34" si="19">G32</f>
        <v>31.889839611124064</v>
      </c>
      <c r="H34" s="1">
        <f t="shared" si="19"/>
        <v>0.13872111847178856</v>
      </c>
      <c r="I34" s="1">
        <v>31.889839611124064</v>
      </c>
      <c r="J34" s="1" t="e">
        <v>#DIV/0!</v>
      </c>
      <c r="K34" s="1">
        <f t="shared" si="0"/>
        <v>0</v>
      </c>
      <c r="L34" s="1" t="e">
        <f t="shared" si="1"/>
        <v>#DIV/0!</v>
      </c>
    </row>
    <row r="35" spans="1:12" s="1" customFormat="1" x14ac:dyDescent="0.2">
      <c r="A35" s="1" t="s">
        <v>151</v>
      </c>
      <c r="B35" s="1" t="s">
        <v>82</v>
      </c>
      <c r="C35" s="1">
        <v>159</v>
      </c>
      <c r="D35" s="1" t="s">
        <v>2</v>
      </c>
      <c r="E35" s="1">
        <v>18.157242365349699</v>
      </c>
      <c r="G35" s="1" t="e">
        <f>AVERAGE(F35:F37)</f>
        <v>#DIV/0!</v>
      </c>
      <c r="H35" s="1" t="e">
        <f>STDEV(F35:F37)</f>
        <v>#DIV/0!</v>
      </c>
      <c r="I35" s="1">
        <v>31.889839611124099</v>
      </c>
      <c r="J35" s="1" t="e">
        <v>#DIV/0!</v>
      </c>
      <c r="K35" s="1" t="e">
        <f t="shared" si="0"/>
        <v>#DIV/0!</v>
      </c>
      <c r="L35" s="1" t="e">
        <f t="shared" si="1"/>
        <v>#DIV/0!</v>
      </c>
    </row>
    <row r="36" spans="1:12" s="1" customFormat="1" x14ac:dyDescent="0.2">
      <c r="A36" s="1" t="s">
        <v>151</v>
      </c>
      <c r="B36" s="1" t="s">
        <v>83</v>
      </c>
      <c r="C36" s="1">
        <v>159</v>
      </c>
      <c r="D36" s="1" t="s">
        <v>2</v>
      </c>
      <c r="E36" s="1" t="s">
        <v>155</v>
      </c>
      <c r="G36" s="1" t="e">
        <f t="shared" ref="G36:H37" si="20">G35</f>
        <v>#DIV/0!</v>
      </c>
      <c r="H36" s="1" t="e">
        <f t="shared" si="20"/>
        <v>#DIV/0!</v>
      </c>
      <c r="I36" s="1">
        <v>31.889839611124099</v>
      </c>
      <c r="J36" s="1" t="e">
        <v>#DIV/0!</v>
      </c>
      <c r="K36" s="1" t="e">
        <f t="shared" si="0"/>
        <v>#DIV/0!</v>
      </c>
      <c r="L36" s="1" t="e">
        <f t="shared" si="1"/>
        <v>#DIV/0!</v>
      </c>
    </row>
    <row r="37" spans="1:12" s="1" customFormat="1" x14ac:dyDescent="0.2">
      <c r="A37" s="1" t="s">
        <v>151</v>
      </c>
      <c r="B37" s="1" t="s">
        <v>84</v>
      </c>
      <c r="C37" s="1">
        <v>159</v>
      </c>
      <c r="D37" s="1" t="s">
        <v>2</v>
      </c>
      <c r="E37" s="1" t="s">
        <v>155</v>
      </c>
      <c r="G37" s="1" t="e">
        <f t="shared" si="20"/>
        <v>#DIV/0!</v>
      </c>
      <c r="H37" s="1" t="e">
        <f t="shared" ref="H37" si="21">H35</f>
        <v>#DIV/0!</v>
      </c>
      <c r="I37" s="1">
        <v>31.889839611124099</v>
      </c>
      <c r="J37" s="1" t="e">
        <v>#DIV/0!</v>
      </c>
      <c r="K37" s="1" t="e">
        <f t="shared" si="0"/>
        <v>#DIV/0!</v>
      </c>
      <c r="L37" s="1" t="e">
        <f t="shared" si="1"/>
        <v>#DIV/0!</v>
      </c>
    </row>
    <row r="38" spans="1:12" s="1" customFormat="1" x14ac:dyDescent="0.2">
      <c r="A38" s="1" t="s">
        <v>151</v>
      </c>
      <c r="B38" s="1" t="s">
        <v>85</v>
      </c>
      <c r="C38" s="1">
        <v>159</v>
      </c>
      <c r="D38" s="1" t="s">
        <v>13</v>
      </c>
      <c r="E38" s="1">
        <v>34.278080439254197</v>
      </c>
      <c r="F38" s="1">
        <v>34.278080439254197</v>
      </c>
      <c r="G38" s="1">
        <f>AVERAGE(F38:F40)</f>
        <v>34.086856855770698</v>
      </c>
      <c r="H38" s="1">
        <f>STDEV(F38:F40)</f>
        <v>0.27043098520794773</v>
      </c>
      <c r="I38" s="1">
        <v>31.889839611124099</v>
      </c>
      <c r="J38" s="1" t="e">
        <v>#DIV/0!</v>
      </c>
      <c r="K38" s="1">
        <f t="shared" si="0"/>
        <v>2.1970172446465988</v>
      </c>
      <c r="L38" s="1" t="e">
        <f t="shared" si="1"/>
        <v>#DIV/0!</v>
      </c>
    </row>
    <row r="39" spans="1:12" s="1" customFormat="1" x14ac:dyDescent="0.2">
      <c r="A39" s="1" t="s">
        <v>151</v>
      </c>
      <c r="B39" s="1" t="s">
        <v>86</v>
      </c>
      <c r="C39" s="1">
        <v>159</v>
      </c>
      <c r="D39" s="1" t="s">
        <v>13</v>
      </c>
      <c r="E39" s="1">
        <v>33.895633272287199</v>
      </c>
      <c r="F39" s="1">
        <v>33.895633272287199</v>
      </c>
      <c r="G39" s="1">
        <f t="shared" ref="G39:H39" si="22">G38</f>
        <v>34.086856855770698</v>
      </c>
      <c r="H39" s="1">
        <f t="shared" si="22"/>
        <v>0.27043098520794773</v>
      </c>
      <c r="I39" s="1">
        <v>31.889839611124099</v>
      </c>
      <c r="J39" s="1" t="e">
        <v>#DIV/0!</v>
      </c>
      <c r="K39" s="1">
        <f t="shared" si="0"/>
        <v>2.1970172446465988</v>
      </c>
      <c r="L39" s="1" t="e">
        <f t="shared" si="1"/>
        <v>#DIV/0!</v>
      </c>
    </row>
    <row r="40" spans="1:12" s="1" customFormat="1" x14ac:dyDescent="0.2">
      <c r="A40" s="1" t="s">
        <v>151</v>
      </c>
      <c r="B40" s="1" t="s">
        <v>87</v>
      </c>
      <c r="C40" s="1">
        <v>159</v>
      </c>
      <c r="D40" s="1" t="s">
        <v>13</v>
      </c>
      <c r="E40" s="1">
        <v>35.2606947457258</v>
      </c>
      <c r="G40" s="1">
        <f t="shared" ref="G40:H40" si="23">G38</f>
        <v>34.086856855770698</v>
      </c>
      <c r="H40" s="1">
        <f t="shared" si="23"/>
        <v>0.27043098520794773</v>
      </c>
      <c r="I40" s="1">
        <v>31.889839611124099</v>
      </c>
      <c r="J40" s="1" t="e">
        <v>#DIV/0!</v>
      </c>
      <c r="K40" s="1">
        <f t="shared" si="0"/>
        <v>2.1970172446465988</v>
      </c>
      <c r="L40" s="1" t="e">
        <f t="shared" si="1"/>
        <v>#DIV/0!</v>
      </c>
    </row>
    <row r="41" spans="1:12" s="1" customFormat="1" x14ac:dyDescent="0.2">
      <c r="A41" s="1" t="s">
        <v>151</v>
      </c>
      <c r="B41" s="1" t="s">
        <v>88</v>
      </c>
      <c r="C41" s="1">
        <v>159</v>
      </c>
      <c r="D41" s="1" t="s">
        <v>8</v>
      </c>
      <c r="E41" s="1">
        <v>32.853106004785303</v>
      </c>
      <c r="G41" s="1">
        <f>AVERAGE(F41:F43)</f>
        <v>33.782927287227196</v>
      </c>
      <c r="H41" s="1">
        <f>STDEV(F41:F43)</f>
        <v>0.14578618014031111</v>
      </c>
      <c r="I41" s="1">
        <v>31.889839611124099</v>
      </c>
      <c r="J41" s="1" t="e">
        <v>#DIV/0!</v>
      </c>
      <c r="K41" s="1">
        <f t="shared" si="0"/>
        <v>1.8930876761030966</v>
      </c>
      <c r="L41" s="1" t="e">
        <f t="shared" si="1"/>
        <v>#DIV/0!</v>
      </c>
    </row>
    <row r="42" spans="1:12" s="1" customFormat="1" x14ac:dyDescent="0.2">
      <c r="A42" s="1" t="s">
        <v>151</v>
      </c>
      <c r="B42" s="1" t="s">
        <v>89</v>
      </c>
      <c r="C42" s="1">
        <v>159</v>
      </c>
      <c r="D42" s="1" t="s">
        <v>8</v>
      </c>
      <c r="E42" s="1">
        <v>33.679840890646702</v>
      </c>
      <c r="F42" s="1">
        <v>33.679840890646702</v>
      </c>
      <c r="G42" s="1">
        <f t="shared" ref="G42:H43" si="24">G41</f>
        <v>33.782927287227196</v>
      </c>
      <c r="H42" s="1">
        <f t="shared" si="24"/>
        <v>0.14578618014031111</v>
      </c>
      <c r="I42" s="1">
        <v>31.889839611124099</v>
      </c>
      <c r="J42" s="1" t="e">
        <v>#DIV/0!</v>
      </c>
      <c r="K42" s="1">
        <f t="shared" si="0"/>
        <v>1.8930876761030966</v>
      </c>
      <c r="L42" s="1" t="e">
        <f t="shared" si="1"/>
        <v>#DIV/0!</v>
      </c>
    </row>
    <row r="43" spans="1:12" s="1" customFormat="1" x14ac:dyDescent="0.2">
      <c r="A43" s="1" t="s">
        <v>151</v>
      </c>
      <c r="B43" s="1" t="s">
        <v>90</v>
      </c>
      <c r="C43" s="1">
        <v>159</v>
      </c>
      <c r="D43" s="1" t="s">
        <v>8</v>
      </c>
      <c r="E43" s="1">
        <v>33.886013683807697</v>
      </c>
      <c r="F43" s="1">
        <v>33.886013683807697</v>
      </c>
      <c r="G43" s="1">
        <f t="shared" si="24"/>
        <v>33.782927287227196</v>
      </c>
      <c r="H43" s="1">
        <f t="shared" ref="H43" si="25">H41</f>
        <v>0.14578618014031111</v>
      </c>
      <c r="I43" s="1">
        <v>31.889839611124099</v>
      </c>
      <c r="J43" s="1" t="e">
        <v>#DIV/0!</v>
      </c>
      <c r="K43" s="1">
        <f t="shared" si="0"/>
        <v>1.8930876761030966</v>
      </c>
      <c r="L43" s="1" t="e">
        <f t="shared" si="1"/>
        <v>#DIV/0!</v>
      </c>
    </row>
    <row r="44" spans="1:12" s="1" customFormat="1" x14ac:dyDescent="0.2">
      <c r="A44" s="1" t="s">
        <v>151</v>
      </c>
      <c r="B44" s="1" t="s">
        <v>91</v>
      </c>
      <c r="C44" s="1">
        <v>159</v>
      </c>
      <c r="D44" s="1" t="s">
        <v>10</v>
      </c>
      <c r="E44" s="1">
        <v>39.416031391698098</v>
      </c>
      <c r="G44" s="1" t="e">
        <f>AVERAGE(F44:F46)</f>
        <v>#DIV/0!</v>
      </c>
      <c r="H44" s="1" t="e">
        <f>STDEV(F44:F46)</f>
        <v>#DIV/0!</v>
      </c>
      <c r="I44" s="1">
        <v>31.889839611124099</v>
      </c>
      <c r="J44" s="1" t="e">
        <v>#DIV/0!</v>
      </c>
      <c r="K44" s="1" t="e">
        <f t="shared" si="0"/>
        <v>#DIV/0!</v>
      </c>
      <c r="L44" s="1" t="e">
        <f t="shared" si="1"/>
        <v>#DIV/0!</v>
      </c>
    </row>
    <row r="45" spans="1:12" s="1" customFormat="1" x14ac:dyDescent="0.2">
      <c r="A45" s="1" t="s">
        <v>151</v>
      </c>
      <c r="B45" s="1" t="s">
        <v>92</v>
      </c>
      <c r="C45" s="1">
        <v>159</v>
      </c>
      <c r="D45" s="1" t="s">
        <v>10</v>
      </c>
      <c r="E45" s="1">
        <v>37.121510471788902</v>
      </c>
      <c r="G45" s="1" t="e">
        <f t="shared" ref="G45:H45" si="26">G44</f>
        <v>#DIV/0!</v>
      </c>
      <c r="H45" s="1" t="e">
        <f t="shared" si="26"/>
        <v>#DIV/0!</v>
      </c>
      <c r="I45" s="1">
        <v>31.889839611124099</v>
      </c>
      <c r="J45" s="1" t="e">
        <v>#DIV/0!</v>
      </c>
      <c r="K45" s="1" t="e">
        <f t="shared" si="0"/>
        <v>#DIV/0!</v>
      </c>
      <c r="L45" s="1" t="e">
        <f t="shared" si="1"/>
        <v>#DIV/0!</v>
      </c>
    </row>
    <row r="46" spans="1:12" s="1" customFormat="1" x14ac:dyDescent="0.2">
      <c r="A46" s="1" t="s">
        <v>151</v>
      </c>
      <c r="B46" s="1" t="s">
        <v>93</v>
      </c>
      <c r="C46" s="1">
        <v>159</v>
      </c>
      <c r="D46" s="1" t="s">
        <v>10</v>
      </c>
      <c r="E46" s="1">
        <v>33.871714743075401</v>
      </c>
      <c r="G46" s="1" t="e">
        <f t="shared" ref="G46:H46" si="27">G44</f>
        <v>#DIV/0!</v>
      </c>
      <c r="H46" s="1" t="e">
        <f t="shared" si="27"/>
        <v>#DIV/0!</v>
      </c>
      <c r="I46" s="1">
        <v>31.889839611124099</v>
      </c>
      <c r="J46" s="1" t="e">
        <v>#DIV/0!</v>
      </c>
      <c r="K46" s="1" t="e">
        <f t="shared" si="0"/>
        <v>#DIV/0!</v>
      </c>
      <c r="L46" s="1" t="e">
        <f t="shared" si="1"/>
        <v>#DIV/0!</v>
      </c>
    </row>
    <row r="47" spans="1:12" s="1" customFormat="1" x14ac:dyDescent="0.2">
      <c r="A47" s="1" t="s">
        <v>151</v>
      </c>
      <c r="B47" s="1" t="s">
        <v>94</v>
      </c>
      <c r="C47" s="1">
        <v>159</v>
      </c>
      <c r="D47" s="1" t="s">
        <v>3</v>
      </c>
      <c r="E47" s="1" t="s">
        <v>155</v>
      </c>
      <c r="G47" s="1" t="e">
        <f>AVERAGE(F47:F49)</f>
        <v>#DIV/0!</v>
      </c>
      <c r="H47" s="1" t="e">
        <f>STDEV(F47:F49)</f>
        <v>#DIV/0!</v>
      </c>
      <c r="I47" s="1">
        <v>31.889839611124099</v>
      </c>
      <c r="J47" s="1" t="e">
        <v>#DIV/0!</v>
      </c>
      <c r="K47" s="1" t="e">
        <f t="shared" si="0"/>
        <v>#DIV/0!</v>
      </c>
      <c r="L47" s="1" t="e">
        <f t="shared" si="1"/>
        <v>#DIV/0!</v>
      </c>
    </row>
    <row r="48" spans="1:12" s="1" customFormat="1" x14ac:dyDescent="0.2">
      <c r="A48" s="1" t="s">
        <v>151</v>
      </c>
      <c r="B48" s="1" t="s">
        <v>95</v>
      </c>
      <c r="C48" s="1">
        <v>159</v>
      </c>
      <c r="D48" s="1" t="s">
        <v>3</v>
      </c>
      <c r="E48" s="1" t="s">
        <v>155</v>
      </c>
      <c r="G48" s="1" t="e">
        <f t="shared" ref="G48:H49" si="28">G47</f>
        <v>#DIV/0!</v>
      </c>
      <c r="H48" s="1" t="e">
        <f t="shared" si="28"/>
        <v>#DIV/0!</v>
      </c>
      <c r="I48" s="1">
        <v>31.889839611124099</v>
      </c>
      <c r="J48" s="1" t="e">
        <v>#DIV/0!</v>
      </c>
      <c r="K48" s="1" t="e">
        <f t="shared" si="0"/>
        <v>#DIV/0!</v>
      </c>
      <c r="L48" s="1" t="e">
        <f t="shared" si="1"/>
        <v>#DIV/0!</v>
      </c>
    </row>
    <row r="49" spans="1:12" s="1" customFormat="1" x14ac:dyDescent="0.2">
      <c r="A49" s="1" t="s">
        <v>151</v>
      </c>
      <c r="B49" s="1" t="s">
        <v>96</v>
      </c>
      <c r="C49" s="1">
        <v>159</v>
      </c>
      <c r="D49" s="1" t="s">
        <v>3</v>
      </c>
      <c r="E49" s="1">
        <v>33.838054767916702</v>
      </c>
      <c r="G49" s="1" t="e">
        <f t="shared" si="28"/>
        <v>#DIV/0!</v>
      </c>
      <c r="H49" s="1" t="e">
        <f t="shared" ref="H49" si="29">H47</f>
        <v>#DIV/0!</v>
      </c>
      <c r="I49" s="1">
        <v>31.889839611124099</v>
      </c>
      <c r="J49" s="1" t="e">
        <v>#DIV/0!</v>
      </c>
      <c r="K49" s="1" t="e">
        <f t="shared" si="0"/>
        <v>#DIV/0!</v>
      </c>
      <c r="L49" s="1" t="e">
        <f t="shared" si="1"/>
        <v>#DIV/0!</v>
      </c>
    </row>
    <row r="50" spans="1:12" s="1" customFormat="1" x14ac:dyDescent="0.2">
      <c r="A50" s="1" t="s">
        <v>151</v>
      </c>
      <c r="B50" s="1" t="s">
        <v>97</v>
      </c>
      <c r="C50" s="1">
        <v>159</v>
      </c>
      <c r="D50" s="1" t="s">
        <v>4</v>
      </c>
      <c r="E50" s="1" t="s">
        <v>155</v>
      </c>
      <c r="G50" s="1" t="e">
        <f>AVERAGE(F50:F52)</f>
        <v>#DIV/0!</v>
      </c>
      <c r="H50" s="1" t="e">
        <f>STDEV(F50:F52)</f>
        <v>#DIV/0!</v>
      </c>
      <c r="I50" s="1">
        <v>31.889839611124099</v>
      </c>
      <c r="J50" s="1" t="e">
        <v>#DIV/0!</v>
      </c>
      <c r="K50" s="1" t="e">
        <f t="shared" si="0"/>
        <v>#DIV/0!</v>
      </c>
      <c r="L50" s="1" t="e">
        <f t="shared" si="1"/>
        <v>#DIV/0!</v>
      </c>
    </row>
    <row r="51" spans="1:12" s="1" customFormat="1" x14ac:dyDescent="0.2">
      <c r="A51" s="1" t="s">
        <v>151</v>
      </c>
      <c r="B51" s="1" t="s">
        <v>98</v>
      </c>
      <c r="C51" s="1">
        <v>159</v>
      </c>
      <c r="D51" s="1" t="s">
        <v>4</v>
      </c>
      <c r="E51" s="1" t="s">
        <v>155</v>
      </c>
      <c r="G51" s="1" t="e">
        <f t="shared" ref="G51:H51" si="30">G50</f>
        <v>#DIV/0!</v>
      </c>
      <c r="H51" s="1" t="e">
        <f t="shared" si="30"/>
        <v>#DIV/0!</v>
      </c>
      <c r="I51" s="1">
        <v>31.889839611124099</v>
      </c>
      <c r="J51" s="1" t="e">
        <v>#DIV/0!</v>
      </c>
      <c r="K51" s="1" t="e">
        <f t="shared" si="0"/>
        <v>#DIV/0!</v>
      </c>
      <c r="L51" s="1" t="e">
        <f t="shared" si="1"/>
        <v>#DIV/0!</v>
      </c>
    </row>
    <row r="52" spans="1:12" s="1" customFormat="1" x14ac:dyDescent="0.2">
      <c r="A52" s="1" t="s">
        <v>151</v>
      </c>
      <c r="B52" s="1" t="s">
        <v>99</v>
      </c>
      <c r="C52" s="1">
        <v>159</v>
      </c>
      <c r="D52" s="1" t="s">
        <v>4</v>
      </c>
      <c r="E52" s="1" t="s">
        <v>155</v>
      </c>
      <c r="G52" s="1" t="e">
        <f t="shared" ref="G52:H52" si="31">G50</f>
        <v>#DIV/0!</v>
      </c>
      <c r="H52" s="1" t="e">
        <f t="shared" si="31"/>
        <v>#DIV/0!</v>
      </c>
      <c r="I52" s="1">
        <v>31.889839611124099</v>
      </c>
      <c r="J52" s="1" t="e">
        <v>#DIV/0!</v>
      </c>
      <c r="K52" s="1" t="e">
        <f t="shared" si="0"/>
        <v>#DIV/0!</v>
      </c>
      <c r="L52" s="1" t="e">
        <f t="shared" si="1"/>
        <v>#DIV/0!</v>
      </c>
    </row>
    <row r="53" spans="1:12" x14ac:dyDescent="0.2">
      <c r="A53" t="s">
        <v>151</v>
      </c>
      <c r="B53" s="3" t="s">
        <v>100</v>
      </c>
      <c r="C53">
        <v>162</v>
      </c>
      <c r="D53" t="s">
        <v>1</v>
      </c>
      <c r="E53">
        <v>32.638046120793</v>
      </c>
      <c r="F53">
        <v>32.638046120793</v>
      </c>
      <c r="G53">
        <f>AVERAGE(F53:F55)</f>
        <v>32.418605044200199</v>
      </c>
      <c r="H53">
        <f>STDEV(F53:F55)</f>
        <v>0.31723235758375096</v>
      </c>
      <c r="I53">
        <f>G53</f>
        <v>32.418605044200199</v>
      </c>
      <c r="J53">
        <f>G56</f>
        <v>16.772263714231368</v>
      </c>
      <c r="K53">
        <f t="shared" si="0"/>
        <v>0</v>
      </c>
      <c r="L53">
        <f t="shared" si="1"/>
        <v>15.646341329968831</v>
      </c>
    </row>
    <row r="54" spans="1:12" x14ac:dyDescent="0.2">
      <c r="A54" t="s">
        <v>151</v>
      </c>
      <c r="B54" s="3" t="s">
        <v>101</v>
      </c>
      <c r="C54">
        <v>162</v>
      </c>
      <c r="D54" t="s">
        <v>1</v>
      </c>
      <c r="E54">
        <v>32.054875492036203</v>
      </c>
      <c r="F54">
        <v>32.054875492036203</v>
      </c>
      <c r="G54">
        <f t="shared" ref="G54:H55" si="32">G53</f>
        <v>32.418605044200199</v>
      </c>
      <c r="H54">
        <f t="shared" si="32"/>
        <v>0.31723235758375096</v>
      </c>
      <c r="I54">
        <v>32.418605044200199</v>
      </c>
      <c r="J54">
        <v>16.772263714231368</v>
      </c>
      <c r="K54">
        <f t="shared" si="0"/>
        <v>0</v>
      </c>
      <c r="L54">
        <f t="shared" si="1"/>
        <v>15.646341329968831</v>
      </c>
    </row>
    <row r="55" spans="1:12" x14ac:dyDescent="0.2">
      <c r="A55" t="s">
        <v>151</v>
      </c>
      <c r="B55" s="3" t="s">
        <v>102</v>
      </c>
      <c r="C55">
        <v>162</v>
      </c>
      <c r="D55" t="s">
        <v>1</v>
      </c>
      <c r="E55">
        <v>32.5628935197714</v>
      </c>
      <c r="F55">
        <v>32.5628935197714</v>
      </c>
      <c r="G55">
        <f t="shared" si="32"/>
        <v>32.418605044200199</v>
      </c>
      <c r="H55">
        <f t="shared" ref="H55" si="33">H53</f>
        <v>0.31723235758375096</v>
      </c>
      <c r="I55">
        <v>32.418605044200199</v>
      </c>
      <c r="J55">
        <v>16.772263714231368</v>
      </c>
      <c r="K55">
        <f t="shared" si="0"/>
        <v>0</v>
      </c>
      <c r="L55">
        <f t="shared" si="1"/>
        <v>15.646341329968831</v>
      </c>
    </row>
    <row r="56" spans="1:12" x14ac:dyDescent="0.2">
      <c r="A56" t="s">
        <v>151</v>
      </c>
      <c r="B56" s="3" t="s">
        <v>103</v>
      </c>
      <c r="C56">
        <v>162</v>
      </c>
      <c r="D56" t="s">
        <v>2</v>
      </c>
      <c r="E56">
        <v>16.6836861347217</v>
      </c>
      <c r="F56">
        <v>16.6836861347217</v>
      </c>
      <c r="G56">
        <f>AVERAGE(F56:F58)</f>
        <v>16.772263714231368</v>
      </c>
      <c r="H56">
        <f>STDEV(F56:F58)</f>
        <v>0.16166091308582342</v>
      </c>
      <c r="I56">
        <v>32.418605044200199</v>
      </c>
      <c r="J56">
        <v>16.7722637142314</v>
      </c>
      <c r="K56">
        <f t="shared" si="0"/>
        <v>-15.646341329968831</v>
      </c>
      <c r="L56">
        <f t="shared" si="1"/>
        <v>-3.1974423109204508E-14</v>
      </c>
    </row>
    <row r="57" spans="1:12" x14ac:dyDescent="0.2">
      <c r="A57" t="s">
        <v>151</v>
      </c>
      <c r="B57" s="3" t="s">
        <v>104</v>
      </c>
      <c r="C57">
        <v>162</v>
      </c>
      <c r="D57" t="s">
        <v>2</v>
      </c>
      <c r="E57">
        <v>16.958854155859601</v>
      </c>
      <c r="F57">
        <v>16.958854155859601</v>
      </c>
      <c r="G57">
        <f t="shared" ref="G57:H57" si="34">G56</f>
        <v>16.772263714231368</v>
      </c>
      <c r="H57">
        <f t="shared" si="34"/>
        <v>0.16166091308582342</v>
      </c>
      <c r="I57">
        <v>32.418605044200199</v>
      </c>
      <c r="J57">
        <v>16.7722637142314</v>
      </c>
      <c r="K57">
        <f t="shared" si="0"/>
        <v>-15.646341329968831</v>
      </c>
      <c r="L57">
        <f t="shared" si="1"/>
        <v>-3.1974423109204508E-14</v>
      </c>
    </row>
    <row r="58" spans="1:12" x14ac:dyDescent="0.2">
      <c r="A58" t="s">
        <v>151</v>
      </c>
      <c r="B58" s="3" t="s">
        <v>105</v>
      </c>
      <c r="C58">
        <v>162</v>
      </c>
      <c r="D58" t="s">
        <v>2</v>
      </c>
      <c r="E58">
        <v>16.674250852112799</v>
      </c>
      <c r="F58">
        <v>16.674250852112799</v>
      </c>
      <c r="G58">
        <f t="shared" ref="G58:H58" si="35">G56</f>
        <v>16.772263714231368</v>
      </c>
      <c r="H58">
        <f t="shared" si="35"/>
        <v>0.16166091308582342</v>
      </c>
      <c r="I58">
        <v>32.418605044200199</v>
      </c>
      <c r="J58">
        <v>16.7722637142314</v>
      </c>
      <c r="K58">
        <f t="shared" si="0"/>
        <v>-15.646341329968831</v>
      </c>
      <c r="L58">
        <f t="shared" si="1"/>
        <v>-3.1974423109204508E-14</v>
      </c>
    </row>
    <row r="59" spans="1:12" s="1" customFormat="1" x14ac:dyDescent="0.2">
      <c r="A59" s="1" t="s">
        <v>151</v>
      </c>
      <c r="B59" s="1" t="s">
        <v>106</v>
      </c>
      <c r="C59" s="1">
        <v>162</v>
      </c>
      <c r="D59" s="1" t="s">
        <v>13</v>
      </c>
      <c r="E59" s="1" t="s">
        <v>155</v>
      </c>
      <c r="F59" s="1" t="s">
        <v>155</v>
      </c>
      <c r="G59" s="1" t="e">
        <f>AVERAGE(F59:F61)</f>
        <v>#DIV/0!</v>
      </c>
      <c r="H59" s="1" t="e">
        <f>STDEV(F59:F61)</f>
        <v>#DIV/0!</v>
      </c>
      <c r="I59" s="1">
        <v>32.418605044200199</v>
      </c>
      <c r="J59" s="1">
        <v>16.7722637142314</v>
      </c>
      <c r="K59" s="1" t="e">
        <f t="shared" si="0"/>
        <v>#DIV/0!</v>
      </c>
      <c r="L59" s="1" t="e">
        <f t="shared" si="1"/>
        <v>#DIV/0!</v>
      </c>
    </row>
    <row r="60" spans="1:12" s="1" customFormat="1" x14ac:dyDescent="0.2">
      <c r="A60" s="1" t="s">
        <v>151</v>
      </c>
      <c r="B60" s="1" t="s">
        <v>107</v>
      </c>
      <c r="C60" s="1">
        <v>162</v>
      </c>
      <c r="D60" s="1" t="s">
        <v>13</v>
      </c>
      <c r="E60" s="1" t="s">
        <v>155</v>
      </c>
      <c r="F60" s="1" t="s">
        <v>155</v>
      </c>
      <c r="G60" s="1" t="e">
        <f t="shared" ref="G60:H61" si="36">G59</f>
        <v>#DIV/0!</v>
      </c>
      <c r="H60" s="1" t="e">
        <f t="shared" si="36"/>
        <v>#DIV/0!</v>
      </c>
      <c r="I60" s="1">
        <v>32.418605044200199</v>
      </c>
      <c r="J60" s="1">
        <v>16.7722637142314</v>
      </c>
      <c r="K60" s="1" t="e">
        <f t="shared" si="0"/>
        <v>#DIV/0!</v>
      </c>
      <c r="L60" s="1" t="e">
        <f t="shared" si="1"/>
        <v>#DIV/0!</v>
      </c>
    </row>
    <row r="61" spans="1:12" s="1" customFormat="1" x14ac:dyDescent="0.2">
      <c r="A61" s="1" t="s">
        <v>151</v>
      </c>
      <c r="B61" s="1" t="s">
        <v>108</v>
      </c>
      <c r="C61" s="1">
        <v>162</v>
      </c>
      <c r="D61" s="1" t="s">
        <v>13</v>
      </c>
      <c r="E61" s="1" t="s">
        <v>155</v>
      </c>
      <c r="F61" s="1" t="s">
        <v>155</v>
      </c>
      <c r="G61" s="1" t="e">
        <f t="shared" si="36"/>
        <v>#DIV/0!</v>
      </c>
      <c r="H61" s="1" t="e">
        <f t="shared" ref="H61" si="37">H59</f>
        <v>#DIV/0!</v>
      </c>
      <c r="I61" s="1">
        <v>32.418605044200199</v>
      </c>
      <c r="J61" s="1">
        <v>16.7722637142314</v>
      </c>
      <c r="K61" s="1" t="e">
        <f t="shared" si="0"/>
        <v>#DIV/0!</v>
      </c>
      <c r="L61" s="1" t="e">
        <f t="shared" si="1"/>
        <v>#DIV/0!</v>
      </c>
    </row>
    <row r="62" spans="1:12" s="1" customFormat="1" x14ac:dyDescent="0.2">
      <c r="A62" s="1" t="s">
        <v>151</v>
      </c>
      <c r="B62" s="1" t="s">
        <v>109</v>
      </c>
      <c r="C62" s="1">
        <v>162</v>
      </c>
      <c r="D62" s="1" t="s">
        <v>8</v>
      </c>
      <c r="E62" s="1">
        <v>35.1506315018297</v>
      </c>
      <c r="G62" s="1" t="e">
        <f>AVERAGE(F62:F64)</f>
        <v>#DIV/0!</v>
      </c>
      <c r="H62" s="1" t="e">
        <f>STDEV(F62:F64)</f>
        <v>#DIV/0!</v>
      </c>
      <c r="I62" s="1">
        <v>32.418605044200199</v>
      </c>
      <c r="J62" s="1">
        <v>16.7722637142314</v>
      </c>
      <c r="K62" s="1" t="e">
        <f t="shared" si="0"/>
        <v>#DIV/0!</v>
      </c>
      <c r="L62" s="1" t="e">
        <f t="shared" si="1"/>
        <v>#DIV/0!</v>
      </c>
    </row>
    <row r="63" spans="1:12" s="1" customFormat="1" x14ac:dyDescent="0.2">
      <c r="A63" s="1" t="s">
        <v>151</v>
      </c>
      <c r="B63" s="1" t="s">
        <v>110</v>
      </c>
      <c r="C63" s="1">
        <v>162</v>
      </c>
      <c r="D63" s="1" t="s">
        <v>8</v>
      </c>
      <c r="E63" s="1">
        <v>38.027983780644803</v>
      </c>
      <c r="G63" s="1" t="e">
        <f t="shared" ref="G63:H63" si="38">G62</f>
        <v>#DIV/0!</v>
      </c>
      <c r="H63" s="1" t="e">
        <f t="shared" si="38"/>
        <v>#DIV/0!</v>
      </c>
      <c r="I63" s="1">
        <v>32.418605044200199</v>
      </c>
      <c r="J63" s="1">
        <v>16.7722637142314</v>
      </c>
      <c r="K63" s="1" t="e">
        <f t="shared" si="0"/>
        <v>#DIV/0!</v>
      </c>
      <c r="L63" s="1" t="e">
        <f t="shared" si="1"/>
        <v>#DIV/0!</v>
      </c>
    </row>
    <row r="64" spans="1:12" s="1" customFormat="1" x14ac:dyDescent="0.2">
      <c r="A64" s="1" t="s">
        <v>151</v>
      </c>
      <c r="B64" s="1" t="s">
        <v>111</v>
      </c>
      <c r="C64" s="1">
        <v>162</v>
      </c>
      <c r="D64" s="1" t="s">
        <v>8</v>
      </c>
      <c r="E64" s="1" t="s">
        <v>155</v>
      </c>
      <c r="G64" s="1" t="e">
        <f t="shared" ref="G64:H64" si="39">G62</f>
        <v>#DIV/0!</v>
      </c>
      <c r="H64" s="1" t="e">
        <f t="shared" si="39"/>
        <v>#DIV/0!</v>
      </c>
      <c r="I64" s="1">
        <v>32.418605044200199</v>
      </c>
      <c r="J64" s="1">
        <v>16.7722637142314</v>
      </c>
      <c r="K64" s="1" t="e">
        <f t="shared" si="0"/>
        <v>#DIV/0!</v>
      </c>
      <c r="L64" s="1" t="e">
        <f t="shared" si="1"/>
        <v>#DIV/0!</v>
      </c>
    </row>
    <row r="65" spans="1:12" x14ac:dyDescent="0.2">
      <c r="A65" t="s">
        <v>151</v>
      </c>
      <c r="B65" s="3" t="s">
        <v>112</v>
      </c>
      <c r="C65">
        <v>162</v>
      </c>
      <c r="D65" t="s">
        <v>10</v>
      </c>
      <c r="E65">
        <v>38.675915812500399</v>
      </c>
      <c r="G65">
        <f>AVERAGE(F65:F67)</f>
        <v>34.124056018122452</v>
      </c>
      <c r="H65">
        <f>STDEV(F65:F67)</f>
        <v>8.2668805915932134E-2</v>
      </c>
      <c r="I65">
        <v>32.418605044200199</v>
      </c>
      <c r="J65">
        <v>16.7722637142314</v>
      </c>
      <c r="K65">
        <f t="shared" si="0"/>
        <v>1.7054509739222539</v>
      </c>
      <c r="L65">
        <f t="shared" si="1"/>
        <v>17.351792303891052</v>
      </c>
    </row>
    <row r="66" spans="1:12" x14ac:dyDescent="0.2">
      <c r="A66" t="s">
        <v>151</v>
      </c>
      <c r="B66" s="3" t="s">
        <v>113</v>
      </c>
      <c r="C66">
        <v>162</v>
      </c>
      <c r="D66" t="s">
        <v>10</v>
      </c>
      <c r="E66">
        <v>34.065600344866702</v>
      </c>
      <c r="F66">
        <v>34.065600344866702</v>
      </c>
      <c r="G66">
        <f t="shared" ref="G66:H67" si="40">G65</f>
        <v>34.124056018122452</v>
      </c>
      <c r="H66">
        <f t="shared" si="40"/>
        <v>8.2668805915932134E-2</v>
      </c>
      <c r="I66">
        <v>32.418605044200199</v>
      </c>
      <c r="J66">
        <v>16.7722637142314</v>
      </c>
      <c r="K66">
        <f t="shared" si="0"/>
        <v>1.7054509739222539</v>
      </c>
      <c r="L66">
        <f t="shared" si="1"/>
        <v>17.351792303891052</v>
      </c>
    </row>
    <row r="67" spans="1:12" x14ac:dyDescent="0.2">
      <c r="A67" t="s">
        <v>151</v>
      </c>
      <c r="B67" s="3" t="s">
        <v>114</v>
      </c>
      <c r="C67">
        <v>162</v>
      </c>
      <c r="D67" t="s">
        <v>10</v>
      </c>
      <c r="E67">
        <v>34.182511691378203</v>
      </c>
      <c r="F67">
        <v>34.182511691378203</v>
      </c>
      <c r="G67">
        <f t="shared" si="40"/>
        <v>34.124056018122452</v>
      </c>
      <c r="H67">
        <f t="shared" ref="H67" si="41">H65</f>
        <v>8.2668805915932134E-2</v>
      </c>
      <c r="I67">
        <v>32.418605044200199</v>
      </c>
      <c r="J67">
        <v>16.7722637142314</v>
      </c>
      <c r="K67">
        <f t="shared" ref="K67:K97" si="42">G67-I67</f>
        <v>1.7054509739222539</v>
      </c>
      <c r="L67">
        <f t="shared" ref="L67:L97" si="43">G67-J67</f>
        <v>17.351792303891052</v>
      </c>
    </row>
    <row r="68" spans="1:12" x14ac:dyDescent="0.2">
      <c r="A68" t="s">
        <v>151</v>
      </c>
      <c r="B68" s="3" t="s">
        <v>115</v>
      </c>
      <c r="C68">
        <v>162</v>
      </c>
      <c r="D68" t="s">
        <v>6</v>
      </c>
      <c r="E68">
        <v>34.051103913429799</v>
      </c>
      <c r="F68">
        <v>34.051103913429799</v>
      </c>
      <c r="G68">
        <f>AVERAGE(F68:F70)</f>
        <v>34.134598905169497</v>
      </c>
      <c r="H68">
        <f>STDEV(F68:F70)</f>
        <v>0.11807974970851594</v>
      </c>
      <c r="I68">
        <v>32.418605044200199</v>
      </c>
      <c r="J68">
        <v>16.7722637142314</v>
      </c>
      <c r="K68">
        <f t="shared" si="42"/>
        <v>1.7159938609692986</v>
      </c>
      <c r="L68">
        <f t="shared" si="43"/>
        <v>17.362335190938097</v>
      </c>
    </row>
    <row r="69" spans="1:12" x14ac:dyDescent="0.2">
      <c r="A69" t="s">
        <v>151</v>
      </c>
      <c r="B69" s="3" t="s">
        <v>116</v>
      </c>
      <c r="C69">
        <v>162</v>
      </c>
      <c r="D69" t="s">
        <v>6</v>
      </c>
      <c r="E69" t="s">
        <v>155</v>
      </c>
      <c r="F69" t="s">
        <v>155</v>
      </c>
      <c r="G69">
        <f t="shared" ref="G69:H69" si="44">G68</f>
        <v>34.134598905169497</v>
      </c>
      <c r="H69">
        <f t="shared" si="44"/>
        <v>0.11807974970851594</v>
      </c>
      <c r="I69">
        <v>32.418605044200199</v>
      </c>
      <c r="J69">
        <v>16.7722637142314</v>
      </c>
      <c r="K69">
        <f t="shared" si="42"/>
        <v>1.7159938609692986</v>
      </c>
      <c r="L69">
        <f t="shared" si="43"/>
        <v>17.362335190938097</v>
      </c>
    </row>
    <row r="70" spans="1:12" x14ac:dyDescent="0.2">
      <c r="A70" t="s">
        <v>151</v>
      </c>
      <c r="B70" s="3" t="s">
        <v>117</v>
      </c>
      <c r="C70">
        <v>162</v>
      </c>
      <c r="D70" t="s">
        <v>6</v>
      </c>
      <c r="E70">
        <v>34.218093896909203</v>
      </c>
      <c r="F70">
        <v>34.218093896909203</v>
      </c>
      <c r="G70">
        <f t="shared" ref="G70:H70" si="45">G68</f>
        <v>34.134598905169497</v>
      </c>
      <c r="H70">
        <f t="shared" si="45"/>
        <v>0.11807974970851594</v>
      </c>
      <c r="I70">
        <v>32.418605044200199</v>
      </c>
      <c r="J70">
        <v>16.7722637142314</v>
      </c>
      <c r="K70">
        <f t="shared" si="42"/>
        <v>1.7159938609692986</v>
      </c>
      <c r="L70">
        <f t="shared" si="43"/>
        <v>17.362335190938097</v>
      </c>
    </row>
    <row r="71" spans="1:12" s="1" customFormat="1" x14ac:dyDescent="0.2">
      <c r="A71" s="1" t="s">
        <v>151</v>
      </c>
      <c r="B71" s="1" t="s">
        <v>118</v>
      </c>
      <c r="C71" s="1">
        <v>1708</v>
      </c>
      <c r="D71" s="1" t="s">
        <v>1</v>
      </c>
      <c r="E71" s="1" t="s">
        <v>155</v>
      </c>
      <c r="G71" s="1" t="e">
        <f>AVERAGE(F71:F73)</f>
        <v>#DIV/0!</v>
      </c>
      <c r="H71" s="1" t="e">
        <f>STDEV(F71:F73)</f>
        <v>#DIV/0!</v>
      </c>
      <c r="I71" s="1" t="e">
        <f>G71</f>
        <v>#DIV/0!</v>
      </c>
      <c r="J71" s="1">
        <f>G74</f>
        <v>17.280052058176452</v>
      </c>
      <c r="K71" s="1" t="e">
        <f t="shared" si="42"/>
        <v>#DIV/0!</v>
      </c>
      <c r="L71" s="1" t="e">
        <f t="shared" si="43"/>
        <v>#DIV/0!</v>
      </c>
    </row>
    <row r="72" spans="1:12" s="1" customFormat="1" x14ac:dyDescent="0.2">
      <c r="A72" s="1" t="s">
        <v>151</v>
      </c>
      <c r="B72" s="1" t="s">
        <v>119</v>
      </c>
      <c r="C72" s="1">
        <v>1708</v>
      </c>
      <c r="D72" s="1" t="s">
        <v>1</v>
      </c>
      <c r="E72" s="1" t="s">
        <v>155</v>
      </c>
      <c r="G72" s="1" t="e">
        <f t="shared" ref="G72:H73" si="46">G71</f>
        <v>#DIV/0!</v>
      </c>
      <c r="H72" s="1" t="e">
        <f t="shared" si="46"/>
        <v>#DIV/0!</v>
      </c>
      <c r="I72" s="1" t="e">
        <v>#DIV/0!</v>
      </c>
      <c r="J72" s="1">
        <v>17.280052058176452</v>
      </c>
      <c r="K72" s="1" t="e">
        <f t="shared" si="42"/>
        <v>#DIV/0!</v>
      </c>
      <c r="L72" s="1" t="e">
        <f t="shared" si="43"/>
        <v>#DIV/0!</v>
      </c>
    </row>
    <row r="73" spans="1:12" s="1" customFormat="1" x14ac:dyDescent="0.2">
      <c r="A73" s="1" t="s">
        <v>151</v>
      </c>
      <c r="B73" s="1" t="s">
        <v>120</v>
      </c>
      <c r="C73" s="1">
        <v>1708</v>
      </c>
      <c r="D73" s="1" t="s">
        <v>1</v>
      </c>
      <c r="E73" s="1">
        <v>34.908998241433203</v>
      </c>
      <c r="G73" s="1" t="e">
        <f t="shared" si="46"/>
        <v>#DIV/0!</v>
      </c>
      <c r="H73" s="1" t="e">
        <f t="shared" ref="H73" si="47">H71</f>
        <v>#DIV/0!</v>
      </c>
      <c r="I73" s="1" t="e">
        <v>#DIV/0!</v>
      </c>
      <c r="J73" s="1">
        <v>17.280052058176452</v>
      </c>
      <c r="K73" s="1" t="e">
        <f t="shared" si="42"/>
        <v>#DIV/0!</v>
      </c>
      <c r="L73" s="1" t="e">
        <f t="shared" si="43"/>
        <v>#DIV/0!</v>
      </c>
    </row>
    <row r="74" spans="1:12" s="1" customFormat="1" x14ac:dyDescent="0.2">
      <c r="A74" s="1" t="s">
        <v>151</v>
      </c>
      <c r="B74" s="1" t="s">
        <v>121</v>
      </c>
      <c r="C74" s="1">
        <v>1708</v>
      </c>
      <c r="D74" s="1" t="s">
        <v>2</v>
      </c>
      <c r="E74" s="1">
        <v>17.807641391425399</v>
      </c>
      <c r="G74" s="1">
        <f>AVERAGE(F74:F76)</f>
        <v>17.280052058176452</v>
      </c>
      <c r="H74" s="1">
        <f>STDEV(F74:F76)</f>
        <v>5.0803159294514372E-2</v>
      </c>
      <c r="I74" s="1" t="e">
        <v>#DIV/0!</v>
      </c>
      <c r="J74" s="1">
        <v>17.280052058176501</v>
      </c>
      <c r="K74" s="1" t="e">
        <f t="shared" si="42"/>
        <v>#DIV/0!</v>
      </c>
      <c r="L74" s="1">
        <f t="shared" si="43"/>
        <v>-4.9737991503207013E-14</v>
      </c>
    </row>
    <row r="75" spans="1:12" s="1" customFormat="1" x14ac:dyDescent="0.2">
      <c r="A75" s="1" t="s">
        <v>151</v>
      </c>
      <c r="B75" s="1" t="s">
        <v>122</v>
      </c>
      <c r="C75" s="1">
        <v>1708</v>
      </c>
      <c r="D75" s="1" t="s">
        <v>2</v>
      </c>
      <c r="E75" s="1">
        <v>17.244128799733598</v>
      </c>
      <c r="F75" s="1">
        <v>17.244128799733598</v>
      </c>
      <c r="G75" s="1">
        <f t="shared" ref="G75:H75" si="48">G74</f>
        <v>17.280052058176452</v>
      </c>
      <c r="H75" s="1">
        <f t="shared" si="48"/>
        <v>5.0803159294514372E-2</v>
      </c>
      <c r="I75" s="1" t="e">
        <v>#DIV/0!</v>
      </c>
      <c r="J75" s="1">
        <v>17.280052058176501</v>
      </c>
      <c r="K75" s="1" t="e">
        <f t="shared" si="42"/>
        <v>#DIV/0!</v>
      </c>
      <c r="L75" s="1">
        <f t="shared" si="43"/>
        <v>-4.9737991503207013E-14</v>
      </c>
    </row>
    <row r="76" spans="1:12" s="1" customFormat="1" x14ac:dyDescent="0.2">
      <c r="A76" s="1" t="s">
        <v>151</v>
      </c>
      <c r="B76" s="1" t="s">
        <v>123</v>
      </c>
      <c r="C76" s="1">
        <v>1708</v>
      </c>
      <c r="D76" s="1" t="s">
        <v>2</v>
      </c>
      <c r="E76" s="1">
        <v>17.315975316619301</v>
      </c>
      <c r="F76" s="1">
        <v>17.315975316619301</v>
      </c>
      <c r="G76" s="1">
        <f t="shared" ref="G76:H76" si="49">G74</f>
        <v>17.280052058176452</v>
      </c>
      <c r="H76" s="1">
        <f t="shared" si="49"/>
        <v>5.0803159294514372E-2</v>
      </c>
      <c r="I76" s="1" t="e">
        <v>#DIV/0!</v>
      </c>
      <c r="J76" s="1">
        <v>17.280052058176501</v>
      </c>
      <c r="K76" s="1" t="e">
        <f t="shared" si="42"/>
        <v>#DIV/0!</v>
      </c>
      <c r="L76" s="1">
        <f t="shared" si="43"/>
        <v>-4.9737991503207013E-14</v>
      </c>
    </row>
    <row r="77" spans="1:12" s="1" customFormat="1" x14ac:dyDescent="0.2">
      <c r="A77" s="1" t="s">
        <v>151</v>
      </c>
      <c r="B77" s="1" t="s">
        <v>124</v>
      </c>
      <c r="C77" s="1">
        <v>1708</v>
      </c>
      <c r="D77" s="1" t="s">
        <v>14</v>
      </c>
      <c r="E77" s="1" t="s">
        <v>155</v>
      </c>
      <c r="G77" s="1" t="e">
        <f>AVERAGE(F77:F79)</f>
        <v>#DIV/0!</v>
      </c>
      <c r="H77" s="1" t="e">
        <f>STDEV(F77:F79)</f>
        <v>#DIV/0!</v>
      </c>
      <c r="I77" s="1" t="e">
        <v>#DIV/0!</v>
      </c>
      <c r="J77" s="1">
        <v>17.280052058176501</v>
      </c>
      <c r="K77" s="1" t="e">
        <f t="shared" si="42"/>
        <v>#DIV/0!</v>
      </c>
      <c r="L77" s="1" t="e">
        <f t="shared" si="43"/>
        <v>#DIV/0!</v>
      </c>
    </row>
    <row r="78" spans="1:12" s="1" customFormat="1" x14ac:dyDescent="0.2">
      <c r="A78" s="1" t="s">
        <v>151</v>
      </c>
      <c r="B78" s="1" t="s">
        <v>125</v>
      </c>
      <c r="C78" s="1">
        <v>1708</v>
      </c>
      <c r="D78" s="1" t="s">
        <v>14</v>
      </c>
      <c r="E78" s="1">
        <v>38.560905471702903</v>
      </c>
      <c r="G78" s="1" t="e">
        <f t="shared" ref="G78:H79" si="50">G77</f>
        <v>#DIV/0!</v>
      </c>
      <c r="H78" s="1" t="e">
        <f t="shared" si="50"/>
        <v>#DIV/0!</v>
      </c>
      <c r="I78" s="1" t="e">
        <v>#DIV/0!</v>
      </c>
      <c r="J78" s="1">
        <v>17.280052058176501</v>
      </c>
      <c r="K78" s="1" t="e">
        <f t="shared" si="42"/>
        <v>#DIV/0!</v>
      </c>
      <c r="L78" s="1" t="e">
        <f t="shared" si="43"/>
        <v>#DIV/0!</v>
      </c>
    </row>
    <row r="79" spans="1:12" s="1" customFormat="1" x14ac:dyDescent="0.2">
      <c r="A79" s="1" t="s">
        <v>151</v>
      </c>
      <c r="B79" s="1" t="s">
        <v>126</v>
      </c>
      <c r="C79" s="1">
        <v>1708</v>
      </c>
      <c r="D79" s="1" t="s">
        <v>14</v>
      </c>
      <c r="E79" s="1" t="s">
        <v>155</v>
      </c>
      <c r="G79" s="1" t="e">
        <f t="shared" si="50"/>
        <v>#DIV/0!</v>
      </c>
      <c r="H79" s="1" t="e">
        <f t="shared" ref="H79" si="51">H77</f>
        <v>#DIV/0!</v>
      </c>
      <c r="I79" s="1" t="e">
        <v>#DIV/0!</v>
      </c>
      <c r="J79" s="1">
        <v>17.280052058176501</v>
      </c>
      <c r="K79" s="1" t="e">
        <f t="shared" si="42"/>
        <v>#DIV/0!</v>
      </c>
      <c r="L79" s="1" t="e">
        <f t="shared" si="43"/>
        <v>#DIV/0!</v>
      </c>
    </row>
    <row r="80" spans="1:12" s="1" customFormat="1" x14ac:dyDescent="0.2">
      <c r="A80" s="1" t="s">
        <v>151</v>
      </c>
      <c r="B80" s="1" t="s">
        <v>127</v>
      </c>
      <c r="C80" s="1">
        <v>1708</v>
      </c>
      <c r="D80" s="1" t="s">
        <v>6</v>
      </c>
      <c r="E80" s="1">
        <v>32.7374414135313</v>
      </c>
      <c r="F80" s="1">
        <v>32.7374414135313</v>
      </c>
      <c r="G80" s="1">
        <f>AVERAGE(F80:F82)</f>
        <v>32.477824981162954</v>
      </c>
      <c r="H80" s="1">
        <f>STDEV(F80:F82)</f>
        <v>0.36715307967023841</v>
      </c>
      <c r="I80" s="1" t="e">
        <v>#DIV/0!</v>
      </c>
      <c r="J80" s="1">
        <v>17.280052058176501</v>
      </c>
      <c r="K80" s="1" t="e">
        <f t="shared" si="42"/>
        <v>#DIV/0!</v>
      </c>
      <c r="L80" s="1">
        <f t="shared" si="43"/>
        <v>15.197772922986452</v>
      </c>
    </row>
    <row r="81" spans="1:12" s="1" customFormat="1" x14ac:dyDescent="0.2">
      <c r="A81" s="1" t="s">
        <v>151</v>
      </c>
      <c r="B81" s="1" t="s">
        <v>128</v>
      </c>
      <c r="C81" s="1">
        <v>1708</v>
      </c>
      <c r="D81" s="1" t="s">
        <v>6</v>
      </c>
      <c r="E81" s="1">
        <v>32.2182085487946</v>
      </c>
      <c r="F81" s="1">
        <v>32.2182085487946</v>
      </c>
      <c r="G81" s="1">
        <f t="shared" ref="G81:H81" si="52">G80</f>
        <v>32.477824981162954</v>
      </c>
      <c r="H81" s="1">
        <f t="shared" si="52"/>
        <v>0.36715307967023841</v>
      </c>
      <c r="I81" s="1" t="e">
        <v>#DIV/0!</v>
      </c>
      <c r="J81" s="1">
        <v>17.280052058176501</v>
      </c>
      <c r="K81" s="1" t="e">
        <f t="shared" si="42"/>
        <v>#DIV/0!</v>
      </c>
      <c r="L81" s="1">
        <f t="shared" si="43"/>
        <v>15.197772922986452</v>
      </c>
    </row>
    <row r="82" spans="1:12" s="1" customFormat="1" x14ac:dyDescent="0.2">
      <c r="A82" s="1" t="s">
        <v>151</v>
      </c>
      <c r="B82" s="1" t="s">
        <v>129</v>
      </c>
      <c r="C82" s="1">
        <v>1708</v>
      </c>
      <c r="D82" s="1" t="s">
        <v>6</v>
      </c>
      <c r="E82" s="1" t="s">
        <v>155</v>
      </c>
      <c r="F82" s="1" t="s">
        <v>155</v>
      </c>
      <c r="G82" s="1">
        <f t="shared" ref="G82:H82" si="53">G80</f>
        <v>32.477824981162954</v>
      </c>
      <c r="H82" s="1">
        <f t="shared" si="53"/>
        <v>0.36715307967023841</v>
      </c>
      <c r="I82" s="1" t="e">
        <v>#DIV/0!</v>
      </c>
      <c r="J82" s="1">
        <v>17.280052058176501</v>
      </c>
      <c r="K82" s="1" t="e">
        <f t="shared" si="42"/>
        <v>#DIV/0!</v>
      </c>
      <c r="L82" s="1">
        <f t="shared" si="43"/>
        <v>15.197772922986452</v>
      </c>
    </row>
    <row r="83" spans="1:12" s="1" customFormat="1" x14ac:dyDescent="0.2">
      <c r="A83" s="1" t="s">
        <v>151</v>
      </c>
      <c r="B83" s="1" t="s">
        <v>130</v>
      </c>
      <c r="C83" s="1">
        <v>1708</v>
      </c>
      <c r="D83" s="1" t="s">
        <v>4</v>
      </c>
      <c r="E83" s="1">
        <v>37.709917416618801</v>
      </c>
      <c r="G83" s="1" t="e">
        <f>AVERAGE(F83:F85)</f>
        <v>#DIV/0!</v>
      </c>
      <c r="H83" s="1" t="e">
        <f>STDEV(F83:F85)</f>
        <v>#DIV/0!</v>
      </c>
      <c r="I83" s="1" t="e">
        <v>#DIV/0!</v>
      </c>
      <c r="J83" s="1">
        <v>17.280052058176501</v>
      </c>
      <c r="K83" s="1" t="e">
        <f t="shared" si="42"/>
        <v>#DIV/0!</v>
      </c>
      <c r="L83" s="1" t="e">
        <f t="shared" si="43"/>
        <v>#DIV/0!</v>
      </c>
    </row>
    <row r="84" spans="1:12" s="1" customFormat="1" x14ac:dyDescent="0.2">
      <c r="A84" s="1" t="s">
        <v>151</v>
      </c>
      <c r="B84" s="1" t="s">
        <v>131</v>
      </c>
      <c r="C84" s="1">
        <v>1708</v>
      </c>
      <c r="D84" s="1" t="s">
        <v>4</v>
      </c>
      <c r="E84" s="1" t="s">
        <v>155</v>
      </c>
      <c r="G84" s="1" t="e">
        <f t="shared" ref="G84:H85" si="54">G83</f>
        <v>#DIV/0!</v>
      </c>
      <c r="H84" s="1" t="e">
        <f t="shared" si="54"/>
        <v>#DIV/0!</v>
      </c>
      <c r="I84" s="1" t="e">
        <v>#DIV/0!</v>
      </c>
      <c r="J84" s="1">
        <v>17.280052058176501</v>
      </c>
      <c r="K84" s="1" t="e">
        <f t="shared" si="42"/>
        <v>#DIV/0!</v>
      </c>
      <c r="L84" s="1" t="e">
        <f t="shared" si="43"/>
        <v>#DIV/0!</v>
      </c>
    </row>
    <row r="85" spans="1:12" s="1" customFormat="1" x14ac:dyDescent="0.2">
      <c r="A85" s="1" t="s">
        <v>151</v>
      </c>
      <c r="B85" s="1" t="s">
        <v>132</v>
      </c>
      <c r="C85" s="1">
        <v>1708</v>
      </c>
      <c r="D85" s="1" t="s">
        <v>4</v>
      </c>
      <c r="E85" s="1" t="s">
        <v>155</v>
      </c>
      <c r="G85" s="1" t="e">
        <f t="shared" si="54"/>
        <v>#DIV/0!</v>
      </c>
      <c r="H85" s="1" t="e">
        <f t="shared" ref="H85" si="55">H83</f>
        <v>#DIV/0!</v>
      </c>
      <c r="I85" s="1" t="e">
        <v>#DIV/0!</v>
      </c>
      <c r="J85" s="1">
        <v>17.280052058176501</v>
      </c>
      <c r="K85" s="1" t="e">
        <f t="shared" si="42"/>
        <v>#DIV/0!</v>
      </c>
      <c r="L85" s="1" t="e">
        <f t="shared" si="43"/>
        <v>#DIV/0!</v>
      </c>
    </row>
    <row r="86" spans="1:12" s="1" customFormat="1" x14ac:dyDescent="0.2">
      <c r="A86" s="1" t="s">
        <v>151</v>
      </c>
      <c r="B86" s="1" t="s">
        <v>133</v>
      </c>
      <c r="C86" s="1">
        <v>1708</v>
      </c>
      <c r="D86" s="1" t="s">
        <v>13</v>
      </c>
      <c r="E86" s="1">
        <v>39.090194920736998</v>
      </c>
      <c r="G86" s="1" t="e">
        <f>AVERAGE(F86:F88)</f>
        <v>#DIV/0!</v>
      </c>
      <c r="H86" s="1" t="e">
        <f>STDEV(F86:F88)</f>
        <v>#DIV/0!</v>
      </c>
      <c r="I86" s="1" t="e">
        <v>#DIV/0!</v>
      </c>
      <c r="J86" s="1">
        <v>17.280052058176501</v>
      </c>
      <c r="K86" s="1" t="e">
        <f t="shared" si="42"/>
        <v>#DIV/0!</v>
      </c>
      <c r="L86" s="1" t="e">
        <f t="shared" si="43"/>
        <v>#DIV/0!</v>
      </c>
    </row>
    <row r="87" spans="1:12" s="1" customFormat="1" x14ac:dyDescent="0.2">
      <c r="A87" s="1" t="s">
        <v>151</v>
      </c>
      <c r="B87" s="1" t="s">
        <v>134</v>
      </c>
      <c r="C87" s="1">
        <v>1708</v>
      </c>
      <c r="D87" s="1" t="s">
        <v>13</v>
      </c>
      <c r="E87" s="1" t="s">
        <v>155</v>
      </c>
      <c r="G87" s="1" t="e">
        <f t="shared" ref="G87:H87" si="56">G86</f>
        <v>#DIV/0!</v>
      </c>
      <c r="H87" s="1" t="e">
        <f t="shared" si="56"/>
        <v>#DIV/0!</v>
      </c>
      <c r="I87" s="1" t="e">
        <v>#DIV/0!</v>
      </c>
      <c r="J87" s="1">
        <v>17.280052058176501</v>
      </c>
      <c r="K87" s="1" t="e">
        <f t="shared" si="42"/>
        <v>#DIV/0!</v>
      </c>
      <c r="L87" s="1" t="e">
        <f t="shared" si="43"/>
        <v>#DIV/0!</v>
      </c>
    </row>
    <row r="88" spans="1:12" s="1" customFormat="1" x14ac:dyDescent="0.2">
      <c r="A88" s="1" t="s">
        <v>151</v>
      </c>
      <c r="B88" s="1" t="s">
        <v>135</v>
      </c>
      <c r="C88" s="1">
        <v>1708</v>
      </c>
      <c r="D88" s="1" t="s">
        <v>13</v>
      </c>
      <c r="E88" s="1" t="s">
        <v>155</v>
      </c>
      <c r="G88" s="1" t="e">
        <f t="shared" ref="G88:H88" si="57">G86</f>
        <v>#DIV/0!</v>
      </c>
      <c r="H88" s="1" t="e">
        <f t="shared" si="57"/>
        <v>#DIV/0!</v>
      </c>
      <c r="I88" s="1" t="e">
        <v>#DIV/0!</v>
      </c>
      <c r="J88" s="1">
        <v>17.280052058176501</v>
      </c>
      <c r="K88" s="1" t="e">
        <f t="shared" si="42"/>
        <v>#DIV/0!</v>
      </c>
      <c r="L88" s="1" t="e">
        <f t="shared" si="43"/>
        <v>#DIV/0!</v>
      </c>
    </row>
    <row r="89" spans="1:12" s="1" customFormat="1" x14ac:dyDescent="0.2">
      <c r="A89" s="1" t="s">
        <v>151</v>
      </c>
      <c r="B89" s="1" t="s">
        <v>136</v>
      </c>
      <c r="C89" s="1">
        <v>1708</v>
      </c>
      <c r="D89" s="1" t="s">
        <v>8</v>
      </c>
      <c r="E89" s="1">
        <v>35.3822023782622</v>
      </c>
      <c r="G89" s="1" t="e">
        <f>AVERAGE(F89:F91)</f>
        <v>#DIV/0!</v>
      </c>
      <c r="H89" s="1" t="e">
        <f>STDEV(F89:F91)</f>
        <v>#DIV/0!</v>
      </c>
      <c r="I89" s="1" t="e">
        <v>#DIV/0!</v>
      </c>
      <c r="J89" s="1">
        <v>17.280052058176501</v>
      </c>
      <c r="K89" s="1" t="e">
        <f t="shared" si="42"/>
        <v>#DIV/0!</v>
      </c>
      <c r="L89" s="1" t="e">
        <f t="shared" si="43"/>
        <v>#DIV/0!</v>
      </c>
    </row>
    <row r="90" spans="1:12" s="1" customFormat="1" x14ac:dyDescent="0.2">
      <c r="A90" s="1" t="s">
        <v>151</v>
      </c>
      <c r="B90" s="1" t="s">
        <v>137</v>
      </c>
      <c r="C90" s="1">
        <v>1708</v>
      </c>
      <c r="D90" s="1" t="s">
        <v>8</v>
      </c>
      <c r="E90" s="1">
        <v>30.2414762448917</v>
      </c>
      <c r="G90" s="1" t="e">
        <f t="shared" ref="G90:H91" si="58">G89</f>
        <v>#DIV/0!</v>
      </c>
      <c r="H90" s="1" t="e">
        <f t="shared" si="58"/>
        <v>#DIV/0!</v>
      </c>
      <c r="I90" s="1" t="e">
        <v>#DIV/0!</v>
      </c>
      <c r="J90" s="1">
        <v>17.280052058176501</v>
      </c>
      <c r="K90" s="1" t="e">
        <f t="shared" si="42"/>
        <v>#DIV/0!</v>
      </c>
      <c r="L90" s="1" t="e">
        <f t="shared" si="43"/>
        <v>#DIV/0!</v>
      </c>
    </row>
    <row r="91" spans="1:12" s="1" customFormat="1" x14ac:dyDescent="0.2">
      <c r="A91" s="1" t="s">
        <v>151</v>
      </c>
      <c r="B91" s="1" t="s">
        <v>138</v>
      </c>
      <c r="C91" s="1">
        <v>1708</v>
      </c>
      <c r="D91" s="1" t="s">
        <v>8</v>
      </c>
      <c r="E91" s="1">
        <v>33.2195062031739</v>
      </c>
      <c r="G91" s="1" t="e">
        <f t="shared" si="58"/>
        <v>#DIV/0!</v>
      </c>
      <c r="H91" s="1" t="e">
        <f t="shared" ref="H91" si="59">H89</f>
        <v>#DIV/0!</v>
      </c>
      <c r="I91" s="1" t="e">
        <v>#DIV/0!</v>
      </c>
      <c r="J91" s="1">
        <v>17.280052058176501</v>
      </c>
      <c r="K91" s="1" t="e">
        <f t="shared" si="42"/>
        <v>#DIV/0!</v>
      </c>
      <c r="L91" s="1" t="e">
        <f t="shared" si="43"/>
        <v>#DIV/0!</v>
      </c>
    </row>
    <row r="92" spans="1:12" s="1" customFormat="1" x14ac:dyDescent="0.2">
      <c r="A92" s="1" t="s">
        <v>151</v>
      </c>
      <c r="B92" s="1" t="s">
        <v>139</v>
      </c>
      <c r="C92" s="1">
        <v>1708</v>
      </c>
      <c r="D92" s="1" t="s">
        <v>12</v>
      </c>
      <c r="E92" s="1">
        <v>31.1475746936073</v>
      </c>
      <c r="G92" s="1" t="e">
        <f>AVERAGE(F92:F94)</f>
        <v>#DIV/0!</v>
      </c>
      <c r="H92" s="1" t="e">
        <f>STDEV(F92:F94)</f>
        <v>#DIV/0!</v>
      </c>
      <c r="I92" s="1" t="e">
        <v>#DIV/0!</v>
      </c>
      <c r="J92" s="1">
        <v>17.280052058176501</v>
      </c>
      <c r="K92" s="1" t="e">
        <f t="shared" si="42"/>
        <v>#DIV/0!</v>
      </c>
      <c r="L92" s="1" t="e">
        <f t="shared" si="43"/>
        <v>#DIV/0!</v>
      </c>
    </row>
    <row r="93" spans="1:12" s="1" customFormat="1" x14ac:dyDescent="0.2">
      <c r="A93" s="1" t="s">
        <v>151</v>
      </c>
      <c r="B93" s="1" t="s">
        <v>140</v>
      </c>
      <c r="C93" s="1">
        <v>1708</v>
      </c>
      <c r="D93" s="1" t="s">
        <v>12</v>
      </c>
      <c r="E93" s="1">
        <v>34.635193114468301</v>
      </c>
      <c r="G93" s="1" t="e">
        <f t="shared" ref="G93:H93" si="60">G92</f>
        <v>#DIV/0!</v>
      </c>
      <c r="H93" s="1" t="e">
        <f t="shared" si="60"/>
        <v>#DIV/0!</v>
      </c>
      <c r="I93" s="1" t="e">
        <v>#DIV/0!</v>
      </c>
      <c r="J93" s="1">
        <v>17.280052058176501</v>
      </c>
      <c r="K93" s="1" t="e">
        <f t="shared" si="42"/>
        <v>#DIV/0!</v>
      </c>
      <c r="L93" s="1" t="e">
        <f t="shared" si="43"/>
        <v>#DIV/0!</v>
      </c>
    </row>
    <row r="94" spans="1:12" s="1" customFormat="1" x14ac:dyDescent="0.2">
      <c r="A94" s="1" t="s">
        <v>151</v>
      </c>
      <c r="B94" s="1" t="s">
        <v>141</v>
      </c>
      <c r="C94" s="1">
        <v>1708</v>
      </c>
      <c r="D94" s="1" t="s">
        <v>12</v>
      </c>
      <c r="E94" s="1">
        <v>21.6826588761385</v>
      </c>
      <c r="G94" s="1" t="e">
        <f t="shared" ref="G94:H94" si="61">G92</f>
        <v>#DIV/0!</v>
      </c>
      <c r="H94" s="1" t="e">
        <f t="shared" si="61"/>
        <v>#DIV/0!</v>
      </c>
      <c r="I94" s="1" t="e">
        <v>#DIV/0!</v>
      </c>
      <c r="J94" s="1">
        <v>17.280052058176501</v>
      </c>
      <c r="K94" s="1" t="e">
        <f t="shared" si="42"/>
        <v>#DIV/0!</v>
      </c>
      <c r="L94" s="1" t="e">
        <f t="shared" si="43"/>
        <v>#DIV/0!</v>
      </c>
    </row>
    <row r="95" spans="1:12" x14ac:dyDescent="0.2">
      <c r="A95" t="s">
        <v>151</v>
      </c>
      <c r="B95" s="3" t="s">
        <v>142</v>
      </c>
      <c r="E95" t="s">
        <v>155</v>
      </c>
      <c r="F95" t="s">
        <v>155</v>
      </c>
      <c r="G95">
        <f>AVERAGE(F95:F97)</f>
        <v>27.81046021803385</v>
      </c>
      <c r="H95">
        <f>STDEV(F95:F97)</f>
        <v>1.1894358281907969</v>
      </c>
      <c r="K95">
        <f t="shared" si="42"/>
        <v>27.81046021803385</v>
      </c>
      <c r="L95">
        <f t="shared" si="43"/>
        <v>27.81046021803385</v>
      </c>
    </row>
    <row r="96" spans="1:12" x14ac:dyDescent="0.2">
      <c r="A96" t="s">
        <v>151</v>
      </c>
      <c r="B96" s="3" t="s">
        <v>143</v>
      </c>
      <c r="E96">
        <v>28.651518357933799</v>
      </c>
      <c r="F96">
        <v>28.651518357933799</v>
      </c>
      <c r="G96">
        <f t="shared" ref="G96:H97" si="62">G95</f>
        <v>27.81046021803385</v>
      </c>
      <c r="H96">
        <f t="shared" si="62"/>
        <v>1.1894358281907969</v>
      </c>
      <c r="K96">
        <f t="shared" si="42"/>
        <v>27.81046021803385</v>
      </c>
      <c r="L96">
        <f t="shared" si="43"/>
        <v>27.81046021803385</v>
      </c>
    </row>
    <row r="97" spans="1:12" x14ac:dyDescent="0.2">
      <c r="A97" t="s">
        <v>151</v>
      </c>
      <c r="B97" s="3" t="s">
        <v>144</v>
      </c>
      <c r="E97">
        <v>26.9694020781339</v>
      </c>
      <c r="F97">
        <v>26.9694020781339</v>
      </c>
      <c r="G97">
        <f t="shared" si="62"/>
        <v>27.81046021803385</v>
      </c>
      <c r="H97">
        <f t="shared" ref="H97" si="63">H95</f>
        <v>1.1894358281907969</v>
      </c>
      <c r="K97">
        <f t="shared" si="42"/>
        <v>27.81046021803385</v>
      </c>
      <c r="L97">
        <f t="shared" si="43"/>
        <v>27.81046021803385</v>
      </c>
    </row>
  </sheetData>
  <phoneticPr fontId="2" type="noConversion"/>
  <conditionalFormatting sqref="H2:H97">
    <cfRule type="cellIs" dxfId="6" priority="1" operator="greaterThan">
      <formula>0.3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FEC50-EB32-9E4C-9279-E6E48B2373F9}">
  <dimension ref="A1:L97"/>
  <sheetViews>
    <sheetView zoomScale="130" zoomScaleNormal="130" workbookViewId="0">
      <selection sqref="A1:XFD1"/>
    </sheetView>
  </sheetViews>
  <sheetFormatPr baseColWidth="10" defaultRowHeight="16" x14ac:dyDescent="0.2"/>
  <cols>
    <col min="7" max="8" width="11" bestFit="1" customWidth="1"/>
  </cols>
  <sheetData>
    <row r="1" spans="1:12" x14ac:dyDescent="0.2">
      <c r="A1" t="s">
        <v>147</v>
      </c>
      <c r="B1" t="s">
        <v>48</v>
      </c>
      <c r="C1" t="s">
        <v>0</v>
      </c>
      <c r="D1" t="s">
        <v>145</v>
      </c>
      <c r="E1" t="s">
        <v>154</v>
      </c>
      <c r="F1" t="s">
        <v>158</v>
      </c>
      <c r="G1" t="s">
        <v>156</v>
      </c>
      <c r="H1" t="s">
        <v>157</v>
      </c>
      <c r="I1" t="s">
        <v>1</v>
      </c>
      <c r="J1" t="s">
        <v>2</v>
      </c>
      <c r="K1" t="s">
        <v>159</v>
      </c>
      <c r="L1" t="s">
        <v>160</v>
      </c>
    </row>
    <row r="2" spans="1:12" x14ac:dyDescent="0.2">
      <c r="A2" t="s">
        <v>152</v>
      </c>
      <c r="B2" s="3" t="s">
        <v>49</v>
      </c>
      <c r="C2">
        <v>1701</v>
      </c>
      <c r="D2" t="s">
        <v>1</v>
      </c>
      <c r="E2">
        <v>32.662738857880697</v>
      </c>
      <c r="F2">
        <v>32.662738857880697</v>
      </c>
      <c r="G2">
        <f>AVERAGE(F2:F4)</f>
        <v>32.654498324639867</v>
      </c>
      <c r="H2">
        <f>STDEV(F2:F4)</f>
        <v>0.37127210410814449</v>
      </c>
      <c r="I2">
        <f>G2</f>
        <v>32.654498324639867</v>
      </c>
      <c r="J2">
        <f>G5</f>
        <v>21.545988693585169</v>
      </c>
      <c r="K2">
        <f>G2-I2</f>
        <v>0</v>
      </c>
      <c r="L2">
        <f>G2-J2</f>
        <v>11.108509631054698</v>
      </c>
    </row>
    <row r="3" spans="1:12" x14ac:dyDescent="0.2">
      <c r="A3" t="s">
        <v>152</v>
      </c>
      <c r="B3" s="3" t="s">
        <v>50</v>
      </c>
      <c r="C3">
        <v>1701</v>
      </c>
      <c r="D3" t="s">
        <v>1</v>
      </c>
      <c r="E3">
        <v>32.279174548475403</v>
      </c>
      <c r="F3">
        <v>32.279174548475403</v>
      </c>
      <c r="G3">
        <f>G2</f>
        <v>32.654498324639867</v>
      </c>
      <c r="H3">
        <f>H2</f>
        <v>0.37127210410814449</v>
      </c>
      <c r="I3">
        <v>32.654498324639867</v>
      </c>
      <c r="J3">
        <v>21.545988693585169</v>
      </c>
      <c r="K3">
        <f t="shared" ref="K3:K66" si="0">G3-I3</f>
        <v>0</v>
      </c>
      <c r="L3">
        <f t="shared" ref="L3:L66" si="1">G3-J3</f>
        <v>11.108509631054698</v>
      </c>
    </row>
    <row r="4" spans="1:12" x14ac:dyDescent="0.2">
      <c r="A4" t="s">
        <v>152</v>
      </c>
      <c r="B4" s="3" t="s">
        <v>51</v>
      </c>
      <c r="C4">
        <v>1701</v>
      </c>
      <c r="D4" t="s">
        <v>1</v>
      </c>
      <c r="E4">
        <v>33.021581567563501</v>
      </c>
      <c r="F4">
        <v>33.021581567563501</v>
      </c>
      <c r="G4">
        <f>G2</f>
        <v>32.654498324639867</v>
      </c>
      <c r="H4">
        <f>H2</f>
        <v>0.37127210410814449</v>
      </c>
      <c r="I4">
        <v>32.654498324639867</v>
      </c>
      <c r="J4">
        <v>21.545988693585169</v>
      </c>
      <c r="K4">
        <f t="shared" si="0"/>
        <v>0</v>
      </c>
      <c r="L4">
        <f t="shared" si="1"/>
        <v>11.108509631054698</v>
      </c>
    </row>
    <row r="5" spans="1:12" x14ac:dyDescent="0.2">
      <c r="A5" t="s">
        <v>152</v>
      </c>
      <c r="B5" s="3" t="s">
        <v>52</v>
      </c>
      <c r="C5">
        <v>1701</v>
      </c>
      <c r="D5" t="s">
        <v>2</v>
      </c>
      <c r="E5">
        <v>21.3511028322079</v>
      </c>
      <c r="F5">
        <v>21.3511028322079</v>
      </c>
      <c r="G5">
        <f>AVERAGE(F5:F7)</f>
        <v>21.545988693585169</v>
      </c>
      <c r="H5">
        <f>STDEV(F5:F7)</f>
        <v>0.16992941432993952</v>
      </c>
      <c r="I5">
        <v>32.654498324639903</v>
      </c>
      <c r="J5">
        <v>21.545988693585201</v>
      </c>
      <c r="K5">
        <f t="shared" si="0"/>
        <v>-11.108509631054734</v>
      </c>
      <c r="L5">
        <f t="shared" si="1"/>
        <v>-3.1974423109204508E-14</v>
      </c>
    </row>
    <row r="6" spans="1:12" x14ac:dyDescent="0.2">
      <c r="A6" t="s">
        <v>152</v>
      </c>
      <c r="B6" s="3" t="s">
        <v>53</v>
      </c>
      <c r="C6">
        <v>1701</v>
      </c>
      <c r="D6" t="s">
        <v>2</v>
      </c>
      <c r="E6">
        <v>21.6631960274003</v>
      </c>
      <c r="F6">
        <v>21.6631960274003</v>
      </c>
      <c r="G6">
        <f>G5</f>
        <v>21.545988693585169</v>
      </c>
      <c r="H6">
        <f>H5</f>
        <v>0.16992941432993952</v>
      </c>
      <c r="I6">
        <v>32.654498324639903</v>
      </c>
      <c r="J6">
        <v>21.545988693585201</v>
      </c>
      <c r="K6">
        <f t="shared" si="0"/>
        <v>-11.108509631054734</v>
      </c>
      <c r="L6">
        <f t="shared" si="1"/>
        <v>-3.1974423109204508E-14</v>
      </c>
    </row>
    <row r="7" spans="1:12" x14ac:dyDescent="0.2">
      <c r="A7" t="s">
        <v>152</v>
      </c>
      <c r="B7" s="3" t="s">
        <v>54</v>
      </c>
      <c r="C7">
        <v>1701</v>
      </c>
      <c r="D7" t="s">
        <v>2</v>
      </c>
      <c r="E7">
        <v>21.623667221147301</v>
      </c>
      <c r="F7">
        <v>21.623667221147301</v>
      </c>
      <c r="G7">
        <f>G6</f>
        <v>21.545988693585169</v>
      </c>
      <c r="H7">
        <f>H5</f>
        <v>0.16992941432993952</v>
      </c>
      <c r="I7">
        <v>32.654498324639903</v>
      </c>
      <c r="J7">
        <v>21.545988693585201</v>
      </c>
      <c r="K7">
        <f t="shared" si="0"/>
        <v>-11.108509631054734</v>
      </c>
      <c r="L7">
        <f t="shared" si="1"/>
        <v>-3.1974423109204508E-14</v>
      </c>
    </row>
    <row r="8" spans="1:12" s="1" customFormat="1" x14ac:dyDescent="0.2">
      <c r="A8" s="1" t="s">
        <v>152</v>
      </c>
      <c r="B8" s="1" t="s">
        <v>55</v>
      </c>
      <c r="C8" s="1">
        <v>1701</v>
      </c>
      <c r="D8" s="1" t="s">
        <v>14</v>
      </c>
      <c r="E8" s="1">
        <v>35.062834648552297</v>
      </c>
      <c r="G8" s="1" t="e">
        <f>AVERAGE(F8:F10)</f>
        <v>#DIV/0!</v>
      </c>
      <c r="H8" s="1" t="e">
        <f>STDEV(F8:F10)</f>
        <v>#DIV/0!</v>
      </c>
      <c r="I8" s="1">
        <v>32.654498324639903</v>
      </c>
      <c r="J8" s="1">
        <v>21.545988693585201</v>
      </c>
      <c r="K8" s="1" t="e">
        <f t="shared" si="0"/>
        <v>#DIV/0!</v>
      </c>
      <c r="L8" s="1" t="e">
        <f t="shared" si="1"/>
        <v>#DIV/0!</v>
      </c>
    </row>
    <row r="9" spans="1:12" s="1" customFormat="1" x14ac:dyDescent="0.2">
      <c r="A9" s="1" t="s">
        <v>152</v>
      </c>
      <c r="B9" s="1" t="s">
        <v>56</v>
      </c>
      <c r="C9" s="1">
        <v>1701</v>
      </c>
      <c r="D9" s="1" t="s">
        <v>14</v>
      </c>
      <c r="E9" s="1" t="s">
        <v>155</v>
      </c>
      <c r="G9" s="1" t="e">
        <f t="shared" ref="G9:H9" si="2">G8</f>
        <v>#DIV/0!</v>
      </c>
      <c r="H9" s="1" t="e">
        <f t="shared" si="2"/>
        <v>#DIV/0!</v>
      </c>
      <c r="I9" s="1">
        <v>32.654498324639903</v>
      </c>
      <c r="J9" s="1">
        <v>21.545988693585201</v>
      </c>
      <c r="K9" s="1" t="e">
        <f t="shared" si="0"/>
        <v>#DIV/0!</v>
      </c>
      <c r="L9" s="1" t="e">
        <f t="shared" si="1"/>
        <v>#DIV/0!</v>
      </c>
    </row>
    <row r="10" spans="1:12" s="1" customFormat="1" x14ac:dyDescent="0.2">
      <c r="A10" s="1" t="s">
        <v>152</v>
      </c>
      <c r="B10" s="1" t="s">
        <v>57</v>
      </c>
      <c r="C10" s="1">
        <v>1701</v>
      </c>
      <c r="D10" s="1" t="s">
        <v>14</v>
      </c>
      <c r="E10" s="1">
        <v>36.913263599765003</v>
      </c>
      <c r="G10" s="1" t="e">
        <f t="shared" ref="G10:H10" si="3">G8</f>
        <v>#DIV/0!</v>
      </c>
      <c r="H10" s="1" t="e">
        <f t="shared" si="3"/>
        <v>#DIV/0!</v>
      </c>
      <c r="I10" s="1">
        <v>32.654498324639903</v>
      </c>
      <c r="J10" s="1">
        <v>21.545988693585201</v>
      </c>
      <c r="K10" s="1" t="e">
        <f t="shared" si="0"/>
        <v>#DIV/0!</v>
      </c>
      <c r="L10" s="1" t="e">
        <f t="shared" si="1"/>
        <v>#DIV/0!</v>
      </c>
    </row>
    <row r="11" spans="1:12" s="1" customFormat="1" x14ac:dyDescent="0.2">
      <c r="A11" s="1" t="s">
        <v>152</v>
      </c>
      <c r="B11" s="1" t="s">
        <v>58</v>
      </c>
      <c r="C11" s="1">
        <v>1701</v>
      </c>
      <c r="D11" s="1" t="s">
        <v>3</v>
      </c>
      <c r="E11" s="1">
        <v>34.308249882240801</v>
      </c>
      <c r="G11" s="1" t="e">
        <f>AVERAGE(F11:F13)</f>
        <v>#DIV/0!</v>
      </c>
      <c r="H11" s="1" t="e">
        <f>STDEV(F11:F13)</f>
        <v>#DIV/0!</v>
      </c>
      <c r="I11" s="1">
        <v>32.654498324639903</v>
      </c>
      <c r="J11" s="1">
        <v>21.545988693585201</v>
      </c>
      <c r="K11" s="1" t="e">
        <f t="shared" si="0"/>
        <v>#DIV/0!</v>
      </c>
      <c r="L11" s="1" t="e">
        <f t="shared" si="1"/>
        <v>#DIV/0!</v>
      </c>
    </row>
    <row r="12" spans="1:12" s="1" customFormat="1" x14ac:dyDescent="0.2">
      <c r="A12" s="1" t="s">
        <v>152</v>
      </c>
      <c r="B12" s="1" t="s">
        <v>59</v>
      </c>
      <c r="C12" s="1">
        <v>1701</v>
      </c>
      <c r="D12" s="1" t="s">
        <v>3</v>
      </c>
      <c r="E12" s="1">
        <v>35.515950478532403</v>
      </c>
      <c r="G12" s="1" t="e">
        <f t="shared" ref="G12:H13" si="4">G11</f>
        <v>#DIV/0!</v>
      </c>
      <c r="H12" s="1" t="e">
        <f t="shared" si="4"/>
        <v>#DIV/0!</v>
      </c>
      <c r="I12" s="1">
        <v>32.654498324639903</v>
      </c>
      <c r="J12" s="1">
        <v>21.545988693585201</v>
      </c>
      <c r="K12" s="1" t="e">
        <f t="shared" si="0"/>
        <v>#DIV/0!</v>
      </c>
      <c r="L12" s="1" t="e">
        <f t="shared" si="1"/>
        <v>#DIV/0!</v>
      </c>
    </row>
    <row r="13" spans="1:12" s="1" customFormat="1" x14ac:dyDescent="0.2">
      <c r="A13" s="1" t="s">
        <v>152</v>
      </c>
      <c r="B13" s="1" t="s">
        <v>60</v>
      </c>
      <c r="C13" s="1">
        <v>1701</v>
      </c>
      <c r="D13" s="1" t="s">
        <v>3</v>
      </c>
      <c r="E13" s="1" t="s">
        <v>155</v>
      </c>
      <c r="G13" s="1" t="e">
        <f t="shared" si="4"/>
        <v>#DIV/0!</v>
      </c>
      <c r="H13" s="1" t="e">
        <f t="shared" ref="H13" si="5">H11</f>
        <v>#DIV/0!</v>
      </c>
      <c r="I13" s="1">
        <v>32.654498324639903</v>
      </c>
      <c r="J13" s="1">
        <v>21.545988693585201</v>
      </c>
      <c r="K13" s="1" t="e">
        <f t="shared" si="0"/>
        <v>#DIV/0!</v>
      </c>
      <c r="L13" s="1" t="e">
        <f t="shared" si="1"/>
        <v>#DIV/0!</v>
      </c>
    </row>
    <row r="14" spans="1:12" x14ac:dyDescent="0.2">
      <c r="A14" t="s">
        <v>152</v>
      </c>
      <c r="B14" s="3" t="s">
        <v>61</v>
      </c>
      <c r="C14">
        <v>1702</v>
      </c>
      <c r="D14" t="s">
        <v>1</v>
      </c>
      <c r="E14">
        <v>30.654002329127501</v>
      </c>
      <c r="G14">
        <f>AVERAGE(F14:F16)</f>
        <v>31.491805065933548</v>
      </c>
      <c r="H14">
        <f>STDEV(F14:F16)</f>
        <v>0.29772809950101325</v>
      </c>
      <c r="I14">
        <f>G14</f>
        <v>31.491805065933548</v>
      </c>
      <c r="J14">
        <f>G17</f>
        <v>17.004146910449933</v>
      </c>
      <c r="K14">
        <f t="shared" si="0"/>
        <v>0</v>
      </c>
      <c r="L14">
        <f t="shared" si="1"/>
        <v>14.487658155483615</v>
      </c>
    </row>
    <row r="15" spans="1:12" x14ac:dyDescent="0.2">
      <c r="A15" t="s">
        <v>152</v>
      </c>
      <c r="B15" s="3" t="s">
        <v>62</v>
      </c>
      <c r="C15">
        <v>1702</v>
      </c>
      <c r="D15" t="s">
        <v>1</v>
      </c>
      <c r="E15">
        <v>31.702330624040499</v>
      </c>
      <c r="F15">
        <v>31.702330624040499</v>
      </c>
      <c r="G15">
        <f t="shared" ref="G15:H15" si="6">G14</f>
        <v>31.491805065933548</v>
      </c>
      <c r="H15">
        <f t="shared" si="6"/>
        <v>0.29772809950101325</v>
      </c>
      <c r="I15">
        <v>31.491805065933548</v>
      </c>
      <c r="J15">
        <v>17.004146910449933</v>
      </c>
      <c r="K15">
        <f t="shared" si="0"/>
        <v>0</v>
      </c>
      <c r="L15">
        <f t="shared" si="1"/>
        <v>14.487658155483615</v>
      </c>
    </row>
    <row r="16" spans="1:12" x14ac:dyDescent="0.2">
      <c r="A16" t="s">
        <v>152</v>
      </c>
      <c r="B16" s="3" t="s">
        <v>63</v>
      </c>
      <c r="C16">
        <v>1702</v>
      </c>
      <c r="D16" t="s">
        <v>1</v>
      </c>
      <c r="E16">
        <v>31.2812795078266</v>
      </c>
      <c r="F16">
        <v>31.2812795078266</v>
      </c>
      <c r="G16">
        <f t="shared" ref="G16:H16" si="7">G14</f>
        <v>31.491805065933548</v>
      </c>
      <c r="H16">
        <f t="shared" si="7"/>
        <v>0.29772809950101325</v>
      </c>
      <c r="I16">
        <v>31.491805065933548</v>
      </c>
      <c r="J16">
        <v>17.004146910449933</v>
      </c>
      <c r="K16">
        <f t="shared" si="0"/>
        <v>0</v>
      </c>
      <c r="L16">
        <f t="shared" si="1"/>
        <v>14.487658155483615</v>
      </c>
    </row>
    <row r="17" spans="1:12" x14ac:dyDescent="0.2">
      <c r="A17" t="s">
        <v>152</v>
      </c>
      <c r="B17" s="3" t="s">
        <v>64</v>
      </c>
      <c r="C17">
        <v>1702</v>
      </c>
      <c r="D17" t="s">
        <v>2</v>
      </c>
      <c r="E17">
        <v>16.825218367285</v>
      </c>
      <c r="F17">
        <v>16.825218367285</v>
      </c>
      <c r="G17">
        <f>AVERAGE(F17:F19)</f>
        <v>17.004146910449933</v>
      </c>
      <c r="H17">
        <f>STDEV(F17:F19)</f>
        <v>0.15637442178567351</v>
      </c>
      <c r="I17">
        <v>31.491805065933502</v>
      </c>
      <c r="J17">
        <v>17.004146910449901</v>
      </c>
      <c r="K17">
        <f t="shared" si="0"/>
        <v>-14.487658155483569</v>
      </c>
      <c r="L17">
        <f t="shared" si="1"/>
        <v>3.1974423109204508E-14</v>
      </c>
    </row>
    <row r="18" spans="1:12" x14ac:dyDescent="0.2">
      <c r="A18" t="s">
        <v>152</v>
      </c>
      <c r="B18" s="3" t="s">
        <v>65</v>
      </c>
      <c r="C18">
        <v>1702</v>
      </c>
      <c r="D18" t="s">
        <v>2</v>
      </c>
      <c r="E18">
        <v>17.072601847929199</v>
      </c>
      <c r="F18">
        <v>17.072601847929199</v>
      </c>
      <c r="G18">
        <f t="shared" ref="G18:H19" si="8">G17</f>
        <v>17.004146910449933</v>
      </c>
      <c r="H18">
        <f t="shared" si="8"/>
        <v>0.15637442178567351</v>
      </c>
      <c r="I18">
        <v>31.491805065933502</v>
      </c>
      <c r="J18">
        <v>17.004146910449901</v>
      </c>
      <c r="K18">
        <f t="shared" si="0"/>
        <v>-14.487658155483569</v>
      </c>
      <c r="L18">
        <f t="shared" si="1"/>
        <v>3.1974423109204508E-14</v>
      </c>
    </row>
    <row r="19" spans="1:12" x14ac:dyDescent="0.2">
      <c r="A19" t="s">
        <v>152</v>
      </c>
      <c r="B19" s="3" t="s">
        <v>66</v>
      </c>
      <c r="C19">
        <v>1702</v>
      </c>
      <c r="D19" t="s">
        <v>2</v>
      </c>
      <c r="E19">
        <v>17.114620516135599</v>
      </c>
      <c r="F19">
        <v>17.114620516135599</v>
      </c>
      <c r="G19">
        <f t="shared" si="8"/>
        <v>17.004146910449933</v>
      </c>
      <c r="H19">
        <f t="shared" ref="H19" si="9">H17</f>
        <v>0.15637442178567351</v>
      </c>
      <c r="I19">
        <v>31.491805065933502</v>
      </c>
      <c r="J19">
        <v>17.004146910449901</v>
      </c>
      <c r="K19">
        <f t="shared" si="0"/>
        <v>-14.487658155483569</v>
      </c>
      <c r="L19">
        <f t="shared" si="1"/>
        <v>3.1974423109204508E-14</v>
      </c>
    </row>
    <row r="20" spans="1:12" x14ac:dyDescent="0.2">
      <c r="A20" t="s">
        <v>152</v>
      </c>
      <c r="B20" s="3" t="s">
        <v>67</v>
      </c>
      <c r="C20">
        <v>1702</v>
      </c>
      <c r="D20" t="s">
        <v>3</v>
      </c>
      <c r="E20">
        <v>31.014215615647998</v>
      </c>
      <c r="G20">
        <f>AVERAGE(F20:F22)</f>
        <v>32.016532464674853</v>
      </c>
      <c r="H20">
        <f>STDEV(F20:F22)</f>
        <v>0.2058195125936095</v>
      </c>
      <c r="I20">
        <v>31.491805065933502</v>
      </c>
      <c r="J20">
        <v>17.004146910449901</v>
      </c>
      <c r="K20">
        <f t="shared" si="0"/>
        <v>0.52472739874135144</v>
      </c>
      <c r="L20">
        <f t="shared" si="1"/>
        <v>15.012385554224952</v>
      </c>
    </row>
    <row r="21" spans="1:12" x14ac:dyDescent="0.2">
      <c r="A21" t="s">
        <v>152</v>
      </c>
      <c r="B21" s="3" t="s">
        <v>68</v>
      </c>
      <c r="C21">
        <v>1702</v>
      </c>
      <c r="D21" t="s">
        <v>3</v>
      </c>
      <c r="E21">
        <v>31.8709960916194</v>
      </c>
      <c r="F21">
        <v>31.8709960916194</v>
      </c>
      <c r="G21">
        <f t="shared" ref="G21:H21" si="10">G20</f>
        <v>32.016532464674853</v>
      </c>
      <c r="H21">
        <f t="shared" si="10"/>
        <v>0.2058195125936095</v>
      </c>
      <c r="I21">
        <v>31.491805065933502</v>
      </c>
      <c r="J21">
        <v>17.004146910449901</v>
      </c>
      <c r="K21">
        <f t="shared" si="0"/>
        <v>0.52472739874135144</v>
      </c>
      <c r="L21">
        <f t="shared" si="1"/>
        <v>15.012385554224952</v>
      </c>
    </row>
    <row r="22" spans="1:12" x14ac:dyDescent="0.2">
      <c r="A22" t="s">
        <v>152</v>
      </c>
      <c r="B22" s="3" t="s">
        <v>69</v>
      </c>
      <c r="C22">
        <v>1702</v>
      </c>
      <c r="D22" t="s">
        <v>3</v>
      </c>
      <c r="E22">
        <v>32.162068837730303</v>
      </c>
      <c r="F22">
        <v>32.162068837730303</v>
      </c>
      <c r="G22">
        <f t="shared" ref="G22:H22" si="11">G20</f>
        <v>32.016532464674853</v>
      </c>
      <c r="H22">
        <f t="shared" si="11"/>
        <v>0.2058195125936095</v>
      </c>
      <c r="I22">
        <v>31.491805065933502</v>
      </c>
      <c r="J22">
        <v>17.004146910449901</v>
      </c>
      <c r="K22">
        <f t="shared" si="0"/>
        <v>0.52472739874135144</v>
      </c>
      <c r="L22">
        <f t="shared" si="1"/>
        <v>15.012385554224952</v>
      </c>
    </row>
    <row r="23" spans="1:12" s="1" customFormat="1" x14ac:dyDescent="0.2">
      <c r="A23" s="1" t="s">
        <v>152</v>
      </c>
      <c r="B23" s="1" t="s">
        <v>70</v>
      </c>
      <c r="C23" s="1">
        <v>1702</v>
      </c>
      <c r="D23" s="1" t="s">
        <v>4</v>
      </c>
      <c r="E23" s="1" t="s">
        <v>155</v>
      </c>
      <c r="F23" s="1" t="s">
        <v>155</v>
      </c>
      <c r="G23" s="1" t="e">
        <f>AVERAGE(F23:F25)</f>
        <v>#DIV/0!</v>
      </c>
      <c r="H23" s="1" t="e">
        <f>STDEV(F23:F25)</f>
        <v>#DIV/0!</v>
      </c>
      <c r="I23" s="1">
        <v>31.491805065933502</v>
      </c>
      <c r="J23" s="1">
        <v>17.004146910449901</v>
      </c>
      <c r="K23" s="1" t="e">
        <f t="shared" si="0"/>
        <v>#DIV/0!</v>
      </c>
      <c r="L23" s="1" t="e">
        <f t="shared" si="1"/>
        <v>#DIV/0!</v>
      </c>
    </row>
    <row r="24" spans="1:12" s="1" customFormat="1" x14ac:dyDescent="0.2">
      <c r="A24" s="1" t="s">
        <v>152</v>
      </c>
      <c r="B24" s="1" t="s">
        <v>71</v>
      </c>
      <c r="C24" s="1">
        <v>1702</v>
      </c>
      <c r="D24" s="1" t="s">
        <v>4</v>
      </c>
      <c r="E24" s="1" t="s">
        <v>155</v>
      </c>
      <c r="F24" s="1" t="s">
        <v>155</v>
      </c>
      <c r="G24" s="1" t="e">
        <f t="shared" ref="G24:H25" si="12">G23</f>
        <v>#DIV/0!</v>
      </c>
      <c r="H24" s="1" t="e">
        <f t="shared" si="12"/>
        <v>#DIV/0!</v>
      </c>
      <c r="I24" s="1">
        <v>31.491805065933502</v>
      </c>
      <c r="J24" s="1">
        <v>17.004146910449901</v>
      </c>
      <c r="K24" s="1" t="e">
        <f t="shared" si="0"/>
        <v>#DIV/0!</v>
      </c>
      <c r="L24" s="1" t="e">
        <f t="shared" si="1"/>
        <v>#DIV/0!</v>
      </c>
    </row>
    <row r="25" spans="1:12" s="1" customFormat="1" x14ac:dyDescent="0.2">
      <c r="A25" s="1" t="s">
        <v>152</v>
      </c>
      <c r="B25" s="1" t="s">
        <v>72</v>
      </c>
      <c r="C25" s="1">
        <v>1702</v>
      </c>
      <c r="D25" s="1" t="s">
        <v>4</v>
      </c>
      <c r="E25" s="1" t="s">
        <v>155</v>
      </c>
      <c r="F25" s="1" t="s">
        <v>155</v>
      </c>
      <c r="G25" s="1" t="e">
        <f t="shared" si="12"/>
        <v>#DIV/0!</v>
      </c>
      <c r="H25" s="1" t="e">
        <f t="shared" ref="H25" si="13">H23</f>
        <v>#DIV/0!</v>
      </c>
      <c r="I25" s="1">
        <v>31.491805065933502</v>
      </c>
      <c r="J25" s="1">
        <v>17.004146910449901</v>
      </c>
      <c r="K25" s="1" t="e">
        <f t="shared" si="0"/>
        <v>#DIV/0!</v>
      </c>
      <c r="L25" s="1" t="e">
        <f t="shared" si="1"/>
        <v>#DIV/0!</v>
      </c>
    </row>
    <row r="26" spans="1:12" x14ac:dyDescent="0.2">
      <c r="A26" t="s">
        <v>152</v>
      </c>
      <c r="B26" s="3" t="s">
        <v>73</v>
      </c>
      <c r="C26">
        <v>1702</v>
      </c>
      <c r="D26" t="s">
        <v>8</v>
      </c>
      <c r="E26">
        <v>32.2978384503283</v>
      </c>
      <c r="F26">
        <v>32.2978384503283</v>
      </c>
      <c r="G26">
        <f>AVERAGE(F26:F28)</f>
        <v>32.264346894383664</v>
      </c>
      <c r="H26">
        <f>STDEV(F26:F28)</f>
        <v>0.39192747783214577</v>
      </c>
      <c r="I26">
        <v>31.491805065933502</v>
      </c>
      <c r="J26">
        <v>17.004146910449901</v>
      </c>
      <c r="K26">
        <f t="shared" si="0"/>
        <v>0.77254182845016217</v>
      </c>
      <c r="L26">
        <f t="shared" si="1"/>
        <v>15.260199983933763</v>
      </c>
    </row>
    <row r="27" spans="1:12" x14ac:dyDescent="0.2">
      <c r="A27" t="s">
        <v>152</v>
      </c>
      <c r="B27" s="3" t="s">
        <v>74</v>
      </c>
      <c r="C27">
        <v>1702</v>
      </c>
      <c r="D27" t="s">
        <v>8</v>
      </c>
      <c r="E27">
        <v>31.856748350474899</v>
      </c>
      <c r="F27">
        <v>31.856748350474899</v>
      </c>
      <c r="G27">
        <f t="shared" ref="G27:H27" si="14">G26</f>
        <v>32.264346894383664</v>
      </c>
      <c r="H27">
        <f t="shared" si="14"/>
        <v>0.39192747783214577</v>
      </c>
      <c r="I27">
        <v>31.491805065933502</v>
      </c>
      <c r="J27">
        <v>17.004146910449901</v>
      </c>
      <c r="K27">
        <f t="shared" si="0"/>
        <v>0.77254182845016217</v>
      </c>
      <c r="L27">
        <f t="shared" si="1"/>
        <v>15.260199983933763</v>
      </c>
    </row>
    <row r="28" spans="1:12" x14ac:dyDescent="0.2">
      <c r="A28" t="s">
        <v>152</v>
      </c>
      <c r="B28" s="3" t="s">
        <v>75</v>
      </c>
      <c r="C28">
        <v>1702</v>
      </c>
      <c r="D28" t="s">
        <v>8</v>
      </c>
      <c r="E28">
        <v>32.638453882347797</v>
      </c>
      <c r="F28">
        <v>32.638453882347797</v>
      </c>
      <c r="G28">
        <f t="shared" ref="G28:H28" si="15">G26</f>
        <v>32.264346894383664</v>
      </c>
      <c r="H28">
        <f t="shared" si="15"/>
        <v>0.39192747783214577</v>
      </c>
      <c r="I28">
        <v>31.491805065933502</v>
      </c>
      <c r="J28">
        <v>17.004146910449901</v>
      </c>
      <c r="K28">
        <f t="shared" si="0"/>
        <v>0.77254182845016217</v>
      </c>
      <c r="L28">
        <f t="shared" si="1"/>
        <v>15.260199983933763</v>
      </c>
    </row>
    <row r="29" spans="1:12" x14ac:dyDescent="0.2">
      <c r="A29" t="s">
        <v>152</v>
      </c>
      <c r="B29" s="3" t="s">
        <v>76</v>
      </c>
      <c r="C29">
        <v>1703</v>
      </c>
      <c r="D29" t="s">
        <v>1</v>
      </c>
      <c r="E29">
        <v>31.7295100691179</v>
      </c>
      <c r="F29">
        <v>31.7295100691179</v>
      </c>
      <c r="G29">
        <f>AVERAGE(F29:F31)</f>
        <v>32.154530419202196</v>
      </c>
      <c r="H29">
        <f>STDEV(F29:F31)</f>
        <v>0.4409425196042307</v>
      </c>
      <c r="I29">
        <f>G29</f>
        <v>32.154530419202196</v>
      </c>
      <c r="J29">
        <f>G32</f>
        <v>20.142165578563503</v>
      </c>
      <c r="K29">
        <f t="shared" si="0"/>
        <v>0</v>
      </c>
      <c r="L29">
        <f t="shared" si="1"/>
        <v>12.012364840638693</v>
      </c>
    </row>
    <row r="30" spans="1:12" x14ac:dyDescent="0.2">
      <c r="A30" t="s">
        <v>152</v>
      </c>
      <c r="B30" s="3" t="s">
        <v>77</v>
      </c>
      <c r="C30">
        <v>1703</v>
      </c>
      <c r="D30" t="s">
        <v>1</v>
      </c>
      <c r="E30">
        <v>32.609833885143402</v>
      </c>
      <c r="F30">
        <v>32.609833885143402</v>
      </c>
      <c r="G30">
        <f t="shared" ref="G30:H31" si="16">G29</f>
        <v>32.154530419202196</v>
      </c>
      <c r="H30">
        <f t="shared" si="16"/>
        <v>0.4409425196042307</v>
      </c>
      <c r="I30">
        <f>G30</f>
        <v>32.154530419202196</v>
      </c>
      <c r="J30">
        <f>G33</f>
        <v>20.142165578563503</v>
      </c>
      <c r="K30">
        <f t="shared" si="0"/>
        <v>0</v>
      </c>
      <c r="L30">
        <f t="shared" si="1"/>
        <v>12.012364840638693</v>
      </c>
    </row>
    <row r="31" spans="1:12" x14ac:dyDescent="0.2">
      <c r="A31" t="s">
        <v>152</v>
      </c>
      <c r="B31" s="3" t="s">
        <v>78</v>
      </c>
      <c r="C31">
        <v>1703</v>
      </c>
      <c r="D31" t="s">
        <v>1</v>
      </c>
      <c r="E31">
        <v>32.1242473033453</v>
      </c>
      <c r="F31">
        <v>32.1242473033453</v>
      </c>
      <c r="G31">
        <f t="shared" si="16"/>
        <v>32.154530419202196</v>
      </c>
      <c r="H31">
        <f t="shared" ref="H31" si="17">H29</f>
        <v>0.4409425196042307</v>
      </c>
      <c r="I31">
        <f>G31</f>
        <v>32.154530419202196</v>
      </c>
      <c r="J31">
        <f>G34</f>
        <v>20.142165578563503</v>
      </c>
      <c r="K31">
        <f t="shared" si="0"/>
        <v>0</v>
      </c>
      <c r="L31">
        <f t="shared" si="1"/>
        <v>12.012364840638693</v>
      </c>
    </row>
    <row r="32" spans="1:12" s="1" customFormat="1" x14ac:dyDescent="0.2">
      <c r="A32" s="1" t="s">
        <v>152</v>
      </c>
      <c r="B32" s="1" t="s">
        <v>79</v>
      </c>
      <c r="C32" s="1">
        <v>1703</v>
      </c>
      <c r="D32" s="1" t="s">
        <v>2</v>
      </c>
      <c r="E32" s="1">
        <v>20.0696326862627</v>
      </c>
      <c r="F32" s="1">
        <v>20.0696326862627</v>
      </c>
      <c r="G32" s="1">
        <f>AVERAGE(F32:F34)</f>
        <v>20.142165578563503</v>
      </c>
      <c r="H32" s="1">
        <f>STDEV(F32:F34)</f>
        <v>0.10006565026002572</v>
      </c>
      <c r="I32" s="1">
        <f t="shared" ref="I32:I43" si="18">G32</f>
        <v>20.142165578563503</v>
      </c>
      <c r="J32" s="1" t="e">
        <f t="shared" ref="J32:J43" si="19">G35</f>
        <v>#DIV/0!</v>
      </c>
      <c r="K32" s="1">
        <f t="shared" si="0"/>
        <v>0</v>
      </c>
      <c r="L32" s="1" t="e">
        <f t="shared" si="1"/>
        <v>#DIV/0!</v>
      </c>
    </row>
    <row r="33" spans="1:12" s="1" customFormat="1" x14ac:dyDescent="0.2">
      <c r="A33" s="1" t="s">
        <v>152</v>
      </c>
      <c r="B33" s="1" t="s">
        <v>80</v>
      </c>
      <c r="C33" s="1">
        <v>1703</v>
      </c>
      <c r="D33" s="1" t="s">
        <v>2</v>
      </c>
      <c r="E33" s="1">
        <v>20.100538706561299</v>
      </c>
      <c r="F33" s="1">
        <v>20.100538706561299</v>
      </c>
      <c r="G33" s="1">
        <f t="shared" ref="G33:H33" si="20">G32</f>
        <v>20.142165578563503</v>
      </c>
      <c r="H33" s="1">
        <f t="shared" si="20"/>
        <v>0.10006565026002572</v>
      </c>
      <c r="I33" s="1">
        <f t="shared" si="18"/>
        <v>20.142165578563503</v>
      </c>
      <c r="J33" s="1" t="e">
        <f t="shared" si="19"/>
        <v>#DIV/0!</v>
      </c>
      <c r="K33" s="1">
        <f t="shared" si="0"/>
        <v>0</v>
      </c>
      <c r="L33" s="1" t="e">
        <f t="shared" si="1"/>
        <v>#DIV/0!</v>
      </c>
    </row>
    <row r="34" spans="1:12" s="1" customFormat="1" x14ac:dyDescent="0.2">
      <c r="A34" s="1" t="s">
        <v>152</v>
      </c>
      <c r="B34" s="1" t="s">
        <v>81</v>
      </c>
      <c r="C34" s="1">
        <v>1703</v>
      </c>
      <c r="D34" s="1" t="s">
        <v>2</v>
      </c>
      <c r="E34" s="1">
        <v>20.2563253428665</v>
      </c>
      <c r="F34" s="1">
        <v>20.2563253428665</v>
      </c>
      <c r="G34" s="1">
        <f t="shared" ref="G34:H34" si="21">G32</f>
        <v>20.142165578563503</v>
      </c>
      <c r="H34" s="1">
        <f t="shared" si="21"/>
        <v>0.10006565026002572</v>
      </c>
      <c r="I34" s="1">
        <f t="shared" si="18"/>
        <v>20.142165578563503</v>
      </c>
      <c r="J34" s="1" t="e">
        <f t="shared" si="19"/>
        <v>#DIV/0!</v>
      </c>
      <c r="K34" s="1">
        <f t="shared" si="0"/>
        <v>0</v>
      </c>
      <c r="L34" s="1" t="e">
        <f t="shared" si="1"/>
        <v>#DIV/0!</v>
      </c>
    </row>
    <row r="35" spans="1:12" s="1" customFormat="1" x14ac:dyDescent="0.2">
      <c r="A35" s="1" t="s">
        <v>152</v>
      </c>
      <c r="B35" s="1" t="s">
        <v>82</v>
      </c>
      <c r="C35" s="1">
        <v>1703</v>
      </c>
      <c r="D35" s="1" t="s">
        <v>3</v>
      </c>
      <c r="E35" s="1">
        <v>31.646661483335201</v>
      </c>
      <c r="G35" s="1" t="e">
        <f>AVERAGE(F35:F37)</f>
        <v>#DIV/0!</v>
      </c>
      <c r="H35" s="1" t="e">
        <f>STDEV(F35:F37)</f>
        <v>#DIV/0!</v>
      </c>
      <c r="I35" s="1" t="e">
        <f t="shared" si="18"/>
        <v>#DIV/0!</v>
      </c>
      <c r="J35" s="1" t="e">
        <f t="shared" si="19"/>
        <v>#DIV/0!</v>
      </c>
      <c r="K35" s="1" t="e">
        <f t="shared" si="0"/>
        <v>#DIV/0!</v>
      </c>
      <c r="L35" s="1" t="e">
        <f t="shared" si="1"/>
        <v>#DIV/0!</v>
      </c>
    </row>
    <row r="36" spans="1:12" s="1" customFormat="1" x14ac:dyDescent="0.2">
      <c r="A36" s="1" t="s">
        <v>152</v>
      </c>
      <c r="B36" s="1" t="s">
        <v>83</v>
      </c>
      <c r="C36" s="1">
        <v>1703</v>
      </c>
      <c r="D36" s="1" t="s">
        <v>3</v>
      </c>
      <c r="E36" s="1">
        <v>33.090755740142697</v>
      </c>
      <c r="G36" s="1" t="e">
        <f t="shared" ref="G36:H37" si="22">G35</f>
        <v>#DIV/0!</v>
      </c>
      <c r="H36" s="1" t="e">
        <f t="shared" si="22"/>
        <v>#DIV/0!</v>
      </c>
      <c r="I36" s="1" t="e">
        <f t="shared" si="18"/>
        <v>#DIV/0!</v>
      </c>
      <c r="J36" s="1" t="e">
        <f t="shared" si="19"/>
        <v>#DIV/0!</v>
      </c>
      <c r="K36" s="1" t="e">
        <f t="shared" si="0"/>
        <v>#DIV/0!</v>
      </c>
      <c r="L36" s="1" t="e">
        <f t="shared" si="1"/>
        <v>#DIV/0!</v>
      </c>
    </row>
    <row r="37" spans="1:12" s="1" customFormat="1" x14ac:dyDescent="0.2">
      <c r="A37" s="1" t="s">
        <v>152</v>
      </c>
      <c r="B37" s="1" t="s">
        <v>84</v>
      </c>
      <c r="C37" s="1">
        <v>1703</v>
      </c>
      <c r="D37" s="1" t="s">
        <v>3</v>
      </c>
      <c r="E37" s="1" t="s">
        <v>155</v>
      </c>
      <c r="G37" s="1" t="e">
        <f t="shared" si="22"/>
        <v>#DIV/0!</v>
      </c>
      <c r="H37" s="1" t="e">
        <f t="shared" ref="H37" si="23">H35</f>
        <v>#DIV/0!</v>
      </c>
      <c r="I37" s="1" t="e">
        <f t="shared" si="18"/>
        <v>#DIV/0!</v>
      </c>
      <c r="J37" s="1" t="e">
        <f t="shared" si="19"/>
        <v>#DIV/0!</v>
      </c>
      <c r="K37" s="1" t="e">
        <f t="shared" si="0"/>
        <v>#DIV/0!</v>
      </c>
      <c r="L37" s="1" t="e">
        <f t="shared" si="1"/>
        <v>#DIV/0!</v>
      </c>
    </row>
    <row r="38" spans="1:12" s="1" customFormat="1" x14ac:dyDescent="0.2">
      <c r="A38" s="1" t="s">
        <v>152</v>
      </c>
      <c r="B38" s="1" t="s">
        <v>85</v>
      </c>
      <c r="C38" s="1">
        <v>1703</v>
      </c>
      <c r="D38" s="1" t="s">
        <v>5</v>
      </c>
      <c r="E38" s="1">
        <v>36.801148851443898</v>
      </c>
      <c r="G38" s="1" t="e">
        <f>AVERAGE(F38:F40)</f>
        <v>#DIV/0!</v>
      </c>
      <c r="H38" s="1" t="e">
        <f>STDEV(F38:F40)</f>
        <v>#DIV/0!</v>
      </c>
      <c r="I38" s="1" t="e">
        <f t="shared" si="18"/>
        <v>#DIV/0!</v>
      </c>
      <c r="J38" s="1">
        <f t="shared" si="19"/>
        <v>33.753726933743799</v>
      </c>
      <c r="K38" s="1" t="e">
        <f t="shared" si="0"/>
        <v>#DIV/0!</v>
      </c>
      <c r="L38" s="1" t="e">
        <f t="shared" si="1"/>
        <v>#DIV/0!</v>
      </c>
    </row>
    <row r="39" spans="1:12" s="1" customFormat="1" x14ac:dyDescent="0.2">
      <c r="A39" s="1" t="s">
        <v>152</v>
      </c>
      <c r="B39" s="1" t="s">
        <v>86</v>
      </c>
      <c r="C39" s="1">
        <v>1703</v>
      </c>
      <c r="D39" s="1" t="s">
        <v>5</v>
      </c>
      <c r="E39" s="1">
        <v>32.830162214111098</v>
      </c>
      <c r="G39" s="1" t="e">
        <f t="shared" ref="G39:H39" si="24">G38</f>
        <v>#DIV/0!</v>
      </c>
      <c r="H39" s="1" t="e">
        <f t="shared" si="24"/>
        <v>#DIV/0!</v>
      </c>
      <c r="I39" s="1" t="e">
        <f t="shared" si="18"/>
        <v>#DIV/0!</v>
      </c>
      <c r="J39" s="1">
        <f t="shared" si="19"/>
        <v>33.753726933743799</v>
      </c>
      <c r="K39" s="1" t="e">
        <f t="shared" si="0"/>
        <v>#DIV/0!</v>
      </c>
      <c r="L39" s="1" t="e">
        <f t="shared" si="1"/>
        <v>#DIV/0!</v>
      </c>
    </row>
    <row r="40" spans="1:12" s="1" customFormat="1" x14ac:dyDescent="0.2">
      <c r="A40" s="1" t="s">
        <v>152</v>
      </c>
      <c r="B40" s="1" t="s">
        <v>87</v>
      </c>
      <c r="C40" s="1">
        <v>1703</v>
      </c>
      <c r="D40" s="1" t="s">
        <v>5</v>
      </c>
      <c r="E40" s="1">
        <v>35.096921626049301</v>
      </c>
      <c r="G40" s="1" t="e">
        <f t="shared" ref="G40:H40" si="25">G38</f>
        <v>#DIV/0!</v>
      </c>
      <c r="H40" s="1" t="e">
        <f t="shared" si="25"/>
        <v>#DIV/0!</v>
      </c>
      <c r="I40" s="1" t="e">
        <f t="shared" si="18"/>
        <v>#DIV/0!</v>
      </c>
      <c r="J40" s="1">
        <f t="shared" si="19"/>
        <v>33.753726933743799</v>
      </c>
      <c r="K40" s="1" t="e">
        <f t="shared" si="0"/>
        <v>#DIV/0!</v>
      </c>
      <c r="L40" s="1" t="e">
        <f t="shared" si="1"/>
        <v>#DIV/0!</v>
      </c>
    </row>
    <row r="41" spans="1:12" x14ac:dyDescent="0.2">
      <c r="A41" t="s">
        <v>152</v>
      </c>
      <c r="B41" s="3" t="s">
        <v>88</v>
      </c>
      <c r="C41">
        <v>1703</v>
      </c>
      <c r="D41" t="s">
        <v>6</v>
      </c>
      <c r="E41">
        <v>34.675404339010797</v>
      </c>
      <c r="G41">
        <f>AVERAGE(F41:F43)</f>
        <v>33.753726933743799</v>
      </c>
      <c r="H41">
        <f>STDEV(F41:F43)</f>
        <v>1.3869297731444736E-2</v>
      </c>
      <c r="I41">
        <f t="shared" si="18"/>
        <v>33.753726933743799</v>
      </c>
      <c r="J41">
        <f t="shared" si="19"/>
        <v>31.631652536425168</v>
      </c>
      <c r="K41">
        <f t="shared" si="0"/>
        <v>0</v>
      </c>
      <c r="L41">
        <f t="shared" si="1"/>
        <v>2.1220743973186309</v>
      </c>
    </row>
    <row r="42" spans="1:12" x14ac:dyDescent="0.2">
      <c r="A42" t="s">
        <v>152</v>
      </c>
      <c r="B42" s="3" t="s">
        <v>89</v>
      </c>
      <c r="C42">
        <v>1703</v>
      </c>
      <c r="D42" t="s">
        <v>6</v>
      </c>
      <c r="E42">
        <v>33.743919859267599</v>
      </c>
      <c r="F42">
        <v>33.743919859267599</v>
      </c>
      <c r="G42">
        <f t="shared" ref="G42:H43" si="26">G41</f>
        <v>33.753726933743799</v>
      </c>
      <c r="H42">
        <f t="shared" si="26"/>
        <v>1.3869297731444736E-2</v>
      </c>
      <c r="I42">
        <f t="shared" si="18"/>
        <v>33.753726933743799</v>
      </c>
      <c r="J42">
        <f t="shared" si="19"/>
        <v>31.631652536425168</v>
      </c>
      <c r="K42">
        <f t="shared" si="0"/>
        <v>0</v>
      </c>
      <c r="L42">
        <f t="shared" si="1"/>
        <v>2.1220743973186309</v>
      </c>
    </row>
    <row r="43" spans="1:12" x14ac:dyDescent="0.2">
      <c r="A43" t="s">
        <v>152</v>
      </c>
      <c r="B43" s="3" t="s">
        <v>90</v>
      </c>
      <c r="C43">
        <v>1703</v>
      </c>
      <c r="D43" t="s">
        <v>6</v>
      </c>
      <c r="E43">
        <v>33.763534008219999</v>
      </c>
      <c r="F43">
        <v>33.763534008219999</v>
      </c>
      <c r="G43">
        <f t="shared" si="26"/>
        <v>33.753726933743799</v>
      </c>
      <c r="H43">
        <f t="shared" ref="H43" si="27">H41</f>
        <v>1.3869297731444736E-2</v>
      </c>
      <c r="I43">
        <f t="shared" si="18"/>
        <v>33.753726933743799</v>
      </c>
      <c r="J43">
        <f t="shared" si="19"/>
        <v>31.631652536425168</v>
      </c>
      <c r="K43">
        <f t="shared" si="0"/>
        <v>0</v>
      </c>
      <c r="L43">
        <f t="shared" si="1"/>
        <v>2.1220743973186309</v>
      </c>
    </row>
    <row r="44" spans="1:12" x14ac:dyDescent="0.2">
      <c r="A44" t="s">
        <v>152</v>
      </c>
      <c r="B44" s="3" t="s">
        <v>91</v>
      </c>
      <c r="C44">
        <v>1704</v>
      </c>
      <c r="D44" t="s">
        <v>1</v>
      </c>
      <c r="E44">
        <v>31.7577497648983</v>
      </c>
      <c r="F44">
        <v>31.7577497648983</v>
      </c>
      <c r="G44">
        <f>AVERAGE(F44:F46)</f>
        <v>31.631652536425168</v>
      </c>
      <c r="H44">
        <f>STDEV(F44:F46)</f>
        <v>0.12511083316121976</v>
      </c>
      <c r="I44">
        <f>G44</f>
        <v>31.631652536425168</v>
      </c>
      <c r="J44">
        <f>G47</f>
        <v>18.967461212273399</v>
      </c>
      <c r="K44">
        <f t="shared" si="0"/>
        <v>0</v>
      </c>
      <c r="L44">
        <f t="shared" si="1"/>
        <v>12.664191324151769</v>
      </c>
    </row>
    <row r="45" spans="1:12" x14ac:dyDescent="0.2">
      <c r="A45" t="s">
        <v>152</v>
      </c>
      <c r="B45" s="3" t="s">
        <v>92</v>
      </c>
      <c r="C45">
        <v>1704</v>
      </c>
      <c r="D45" t="s">
        <v>1</v>
      </c>
      <c r="E45">
        <v>31.629655845195501</v>
      </c>
      <c r="F45">
        <v>31.629655845195501</v>
      </c>
      <c r="G45">
        <f t="shared" ref="G45:H45" si="28">G44</f>
        <v>31.631652536425168</v>
      </c>
      <c r="H45">
        <f t="shared" si="28"/>
        <v>0.12511083316121976</v>
      </c>
      <c r="I45">
        <f>G45</f>
        <v>31.631652536425168</v>
      </c>
      <c r="J45">
        <f>G48</f>
        <v>18.967461212273399</v>
      </c>
      <c r="K45">
        <f t="shared" si="0"/>
        <v>0</v>
      </c>
      <c r="L45">
        <f t="shared" si="1"/>
        <v>12.664191324151769</v>
      </c>
    </row>
    <row r="46" spans="1:12" x14ac:dyDescent="0.2">
      <c r="A46" t="s">
        <v>152</v>
      </c>
      <c r="B46" s="3" t="s">
        <v>93</v>
      </c>
      <c r="C46">
        <v>1704</v>
      </c>
      <c r="D46" t="s">
        <v>1</v>
      </c>
      <c r="E46">
        <v>31.5075519991817</v>
      </c>
      <c r="F46">
        <v>31.5075519991817</v>
      </c>
      <c r="G46">
        <f t="shared" ref="G46:H46" si="29">G44</f>
        <v>31.631652536425168</v>
      </c>
      <c r="H46">
        <f t="shared" si="29"/>
        <v>0.12511083316121976</v>
      </c>
      <c r="I46">
        <f>G46</f>
        <v>31.631652536425168</v>
      </c>
      <c r="J46">
        <f>G49</f>
        <v>18.967461212273399</v>
      </c>
      <c r="K46">
        <f t="shared" si="0"/>
        <v>0</v>
      </c>
      <c r="L46">
        <f t="shared" si="1"/>
        <v>12.664191324151769</v>
      </c>
    </row>
    <row r="47" spans="1:12" x14ac:dyDescent="0.2">
      <c r="A47" t="s">
        <v>152</v>
      </c>
      <c r="B47" s="3" t="s">
        <v>94</v>
      </c>
      <c r="C47">
        <v>1704</v>
      </c>
      <c r="D47" t="s">
        <v>2</v>
      </c>
      <c r="E47">
        <v>18.900240660481199</v>
      </c>
      <c r="F47">
        <v>18.900240660481199</v>
      </c>
      <c r="G47">
        <f>AVERAGE(F47:F49)</f>
        <v>18.967461212273399</v>
      </c>
      <c r="H47">
        <f>STDEV(F47:F49)</f>
        <v>9.5064216014732597E-2</v>
      </c>
      <c r="I47">
        <f t="shared" ref="I47:I59" si="30">G47</f>
        <v>18.967461212273399</v>
      </c>
      <c r="J47">
        <f t="shared" ref="J47:J59" si="31">G50</f>
        <v>33.920440500297602</v>
      </c>
      <c r="K47">
        <f t="shared" si="0"/>
        <v>0</v>
      </c>
      <c r="L47">
        <f t="shared" si="1"/>
        <v>-14.952979288024203</v>
      </c>
    </row>
    <row r="48" spans="1:12" x14ac:dyDescent="0.2">
      <c r="A48" t="s">
        <v>152</v>
      </c>
      <c r="B48" s="3" t="s">
        <v>95</v>
      </c>
      <c r="C48">
        <v>1704</v>
      </c>
      <c r="D48" t="s">
        <v>2</v>
      </c>
      <c r="E48">
        <v>19.034681764065599</v>
      </c>
      <c r="F48">
        <v>19.034681764065599</v>
      </c>
      <c r="G48">
        <f t="shared" ref="G48:H49" si="32">G47</f>
        <v>18.967461212273399</v>
      </c>
      <c r="H48">
        <f t="shared" si="32"/>
        <v>9.5064216014732597E-2</v>
      </c>
      <c r="I48">
        <f t="shared" si="30"/>
        <v>18.967461212273399</v>
      </c>
      <c r="J48">
        <f t="shared" si="31"/>
        <v>33.920440500297602</v>
      </c>
      <c r="K48">
        <f t="shared" si="0"/>
        <v>0</v>
      </c>
      <c r="L48">
        <f t="shared" si="1"/>
        <v>-14.952979288024203</v>
      </c>
    </row>
    <row r="49" spans="1:12" x14ac:dyDescent="0.2">
      <c r="A49" t="s">
        <v>152</v>
      </c>
      <c r="B49" s="3" t="s">
        <v>96</v>
      </c>
      <c r="C49">
        <v>1704</v>
      </c>
      <c r="D49" t="s">
        <v>2</v>
      </c>
      <c r="E49">
        <v>33.639128094292097</v>
      </c>
      <c r="G49">
        <f t="shared" si="32"/>
        <v>18.967461212273399</v>
      </c>
      <c r="H49">
        <f t="shared" ref="H49" si="33">H47</f>
        <v>9.5064216014732597E-2</v>
      </c>
      <c r="I49">
        <f t="shared" si="30"/>
        <v>18.967461212273399</v>
      </c>
      <c r="J49">
        <f t="shared" si="31"/>
        <v>33.920440500297602</v>
      </c>
      <c r="K49">
        <f t="shared" si="0"/>
        <v>0</v>
      </c>
      <c r="L49">
        <f t="shared" si="1"/>
        <v>-14.952979288024203</v>
      </c>
    </row>
    <row r="50" spans="1:12" x14ac:dyDescent="0.2">
      <c r="A50" t="s">
        <v>152</v>
      </c>
      <c r="B50" s="3" t="s">
        <v>97</v>
      </c>
      <c r="C50">
        <v>1704</v>
      </c>
      <c r="D50" t="s">
        <v>3</v>
      </c>
      <c r="E50">
        <v>36.730171179506499</v>
      </c>
      <c r="G50">
        <f>AVERAGE(F50:F52)</f>
        <v>33.920440500297602</v>
      </c>
      <c r="H50">
        <f>STDEV(F50:F52)</f>
        <v>0.1659635804917296</v>
      </c>
      <c r="I50">
        <f t="shared" si="30"/>
        <v>33.920440500297602</v>
      </c>
      <c r="J50">
        <f t="shared" si="31"/>
        <v>34.586657231950596</v>
      </c>
      <c r="K50">
        <f t="shared" si="0"/>
        <v>0</v>
      </c>
      <c r="L50">
        <f t="shared" si="1"/>
        <v>-0.66621673165299455</v>
      </c>
    </row>
    <row r="51" spans="1:12" x14ac:dyDescent="0.2">
      <c r="A51" t="s">
        <v>152</v>
      </c>
      <c r="B51" s="3" t="s">
        <v>98</v>
      </c>
      <c r="C51">
        <v>1704</v>
      </c>
      <c r="D51" t="s">
        <v>3</v>
      </c>
      <c r="E51">
        <v>33.803086527101897</v>
      </c>
      <c r="F51">
        <v>33.803086527101897</v>
      </c>
      <c r="G51">
        <f t="shared" ref="G51:H51" si="34">G50</f>
        <v>33.920440500297602</v>
      </c>
      <c r="H51">
        <f t="shared" si="34"/>
        <v>0.1659635804917296</v>
      </c>
      <c r="I51">
        <f t="shared" si="30"/>
        <v>33.920440500297602</v>
      </c>
      <c r="J51">
        <f t="shared" si="31"/>
        <v>34.586657231950596</v>
      </c>
      <c r="K51">
        <f t="shared" si="0"/>
        <v>0</v>
      </c>
      <c r="L51">
        <f t="shared" si="1"/>
        <v>-0.66621673165299455</v>
      </c>
    </row>
    <row r="52" spans="1:12" x14ac:dyDescent="0.2">
      <c r="A52" t="s">
        <v>152</v>
      </c>
      <c r="B52" s="3" t="s">
        <v>99</v>
      </c>
      <c r="C52">
        <v>1704</v>
      </c>
      <c r="D52" t="s">
        <v>3</v>
      </c>
      <c r="E52">
        <v>34.0377944734933</v>
      </c>
      <c r="F52">
        <v>34.0377944734933</v>
      </c>
      <c r="G52">
        <f t="shared" ref="G52:H52" si="35">G50</f>
        <v>33.920440500297602</v>
      </c>
      <c r="H52">
        <f t="shared" si="35"/>
        <v>0.1659635804917296</v>
      </c>
      <c r="I52">
        <f t="shared" si="30"/>
        <v>33.920440500297602</v>
      </c>
      <c r="J52">
        <f t="shared" si="31"/>
        <v>34.586657231950596</v>
      </c>
      <c r="K52">
        <f t="shared" si="0"/>
        <v>0</v>
      </c>
      <c r="L52">
        <f t="shared" si="1"/>
        <v>-0.66621673165299455</v>
      </c>
    </row>
    <row r="53" spans="1:12" x14ac:dyDescent="0.2">
      <c r="A53" t="s">
        <v>152</v>
      </c>
      <c r="B53" s="3" t="s">
        <v>100</v>
      </c>
      <c r="C53">
        <v>1704</v>
      </c>
      <c r="D53" t="s">
        <v>5</v>
      </c>
      <c r="E53">
        <v>34.676332772739798</v>
      </c>
      <c r="F53">
        <v>34.676332772739798</v>
      </c>
      <c r="G53">
        <f>AVERAGE(F53:F55)</f>
        <v>34.586657231950596</v>
      </c>
      <c r="H53">
        <f>STDEV(F53:F55)</f>
        <v>0.1548803644919774</v>
      </c>
      <c r="I53">
        <f t="shared" si="30"/>
        <v>34.586657231950596</v>
      </c>
      <c r="J53">
        <f t="shared" si="31"/>
        <v>33.59493750820485</v>
      </c>
      <c r="K53">
        <f t="shared" si="0"/>
        <v>0</v>
      </c>
      <c r="L53">
        <f t="shared" si="1"/>
        <v>0.9917197237457458</v>
      </c>
    </row>
    <row r="54" spans="1:12" x14ac:dyDescent="0.2">
      <c r="A54" t="s">
        <v>152</v>
      </c>
      <c r="B54" s="3" t="s">
        <v>101</v>
      </c>
      <c r="C54">
        <v>1704</v>
      </c>
      <c r="D54" t="s">
        <v>5</v>
      </c>
      <c r="E54">
        <v>34.407817034923902</v>
      </c>
      <c r="F54">
        <v>34.407817034923902</v>
      </c>
      <c r="G54">
        <f t="shared" ref="G54:H55" si="36">G53</f>
        <v>34.586657231950596</v>
      </c>
      <c r="H54">
        <f t="shared" si="36"/>
        <v>0.1548803644919774</v>
      </c>
      <c r="I54">
        <f t="shared" si="30"/>
        <v>34.586657231950596</v>
      </c>
      <c r="J54">
        <f t="shared" si="31"/>
        <v>33.59493750820485</v>
      </c>
      <c r="K54">
        <f t="shared" si="0"/>
        <v>0</v>
      </c>
      <c r="L54">
        <f t="shared" si="1"/>
        <v>0.9917197237457458</v>
      </c>
    </row>
    <row r="55" spans="1:12" x14ac:dyDescent="0.2">
      <c r="A55" t="s">
        <v>152</v>
      </c>
      <c r="B55" s="3" t="s">
        <v>102</v>
      </c>
      <c r="C55">
        <v>1704</v>
      </c>
      <c r="D55" t="s">
        <v>5</v>
      </c>
      <c r="E55">
        <v>34.675821888188104</v>
      </c>
      <c r="F55">
        <v>34.675821888188104</v>
      </c>
      <c r="G55">
        <f t="shared" si="36"/>
        <v>34.586657231950596</v>
      </c>
      <c r="H55">
        <f t="shared" ref="H55" si="37">H53</f>
        <v>0.1548803644919774</v>
      </c>
      <c r="I55">
        <f t="shared" si="30"/>
        <v>34.586657231950596</v>
      </c>
      <c r="J55">
        <f t="shared" si="31"/>
        <v>33.59493750820485</v>
      </c>
      <c r="K55">
        <f t="shared" si="0"/>
        <v>0</v>
      </c>
      <c r="L55">
        <f t="shared" si="1"/>
        <v>0.9917197237457458</v>
      </c>
    </row>
    <row r="56" spans="1:12" x14ac:dyDescent="0.2">
      <c r="A56" t="s">
        <v>152</v>
      </c>
      <c r="B56" s="3" t="s">
        <v>103</v>
      </c>
      <c r="C56">
        <v>1704</v>
      </c>
      <c r="D56" t="s">
        <v>14</v>
      </c>
      <c r="E56">
        <v>33.807970411151302</v>
      </c>
      <c r="F56">
        <v>33.807970411151302</v>
      </c>
      <c r="G56">
        <f>AVERAGE(F56:F58)</f>
        <v>33.59493750820485</v>
      </c>
      <c r="H56">
        <f>STDEV(F56:F58)</f>
        <v>0.3012740205785836</v>
      </c>
      <c r="I56">
        <f t="shared" si="30"/>
        <v>33.59493750820485</v>
      </c>
      <c r="J56">
        <f t="shared" si="31"/>
        <v>34.421442627380301</v>
      </c>
      <c r="K56">
        <f t="shared" si="0"/>
        <v>0</v>
      </c>
      <c r="L56">
        <f t="shared" si="1"/>
        <v>-0.82650511917545089</v>
      </c>
    </row>
    <row r="57" spans="1:12" x14ac:dyDescent="0.2">
      <c r="A57" t="s">
        <v>152</v>
      </c>
      <c r="B57" s="3" t="s">
        <v>104</v>
      </c>
      <c r="C57">
        <v>1704</v>
      </c>
      <c r="D57" t="s">
        <v>14</v>
      </c>
      <c r="E57">
        <v>32.043065098510603</v>
      </c>
      <c r="G57">
        <f t="shared" ref="G57:H57" si="38">G56</f>
        <v>33.59493750820485</v>
      </c>
      <c r="H57">
        <f t="shared" si="38"/>
        <v>0.3012740205785836</v>
      </c>
      <c r="I57">
        <f t="shared" si="30"/>
        <v>33.59493750820485</v>
      </c>
      <c r="J57">
        <f t="shared" si="31"/>
        <v>34.421442627380301</v>
      </c>
      <c r="K57">
        <f t="shared" si="0"/>
        <v>0</v>
      </c>
      <c r="L57">
        <f t="shared" si="1"/>
        <v>-0.82650511917545089</v>
      </c>
    </row>
    <row r="58" spans="1:12" x14ac:dyDescent="0.2">
      <c r="A58" t="s">
        <v>152</v>
      </c>
      <c r="B58" s="3" t="s">
        <v>105</v>
      </c>
      <c r="C58">
        <v>1704</v>
      </c>
      <c r="D58" t="s">
        <v>14</v>
      </c>
      <c r="E58">
        <v>33.381904605258399</v>
      </c>
      <c r="F58">
        <v>33.381904605258399</v>
      </c>
      <c r="G58">
        <f t="shared" ref="G58:H58" si="39">G56</f>
        <v>33.59493750820485</v>
      </c>
      <c r="H58">
        <f t="shared" si="39"/>
        <v>0.3012740205785836</v>
      </c>
      <c r="I58">
        <f t="shared" si="30"/>
        <v>33.59493750820485</v>
      </c>
      <c r="J58">
        <f t="shared" si="31"/>
        <v>34.421442627380301</v>
      </c>
      <c r="K58">
        <f t="shared" si="0"/>
        <v>0</v>
      </c>
      <c r="L58">
        <f t="shared" si="1"/>
        <v>-0.82650511917545089</v>
      </c>
    </row>
    <row r="59" spans="1:12" x14ac:dyDescent="0.2">
      <c r="A59" t="s">
        <v>152</v>
      </c>
      <c r="B59" s="3" t="s">
        <v>106</v>
      </c>
      <c r="C59">
        <v>1704</v>
      </c>
      <c r="D59" t="s">
        <v>13</v>
      </c>
      <c r="E59">
        <v>32.338249536522298</v>
      </c>
      <c r="G59">
        <f>AVERAGE(F59:F61)</f>
        <v>34.421442627380301</v>
      </c>
      <c r="H59">
        <f>STDEV(F59:F61)</f>
        <v>0.32228743649607089</v>
      </c>
      <c r="I59">
        <f t="shared" si="30"/>
        <v>34.421442627380301</v>
      </c>
      <c r="J59">
        <f t="shared" si="31"/>
        <v>32.182579184016049</v>
      </c>
      <c r="K59">
        <f t="shared" si="0"/>
        <v>0</v>
      </c>
      <c r="L59">
        <f t="shared" si="1"/>
        <v>2.2388634433642522</v>
      </c>
    </row>
    <row r="60" spans="1:12" x14ac:dyDescent="0.2">
      <c r="A60" t="s">
        <v>152</v>
      </c>
      <c r="B60" s="3" t="s">
        <v>107</v>
      </c>
      <c r="C60">
        <v>1704</v>
      </c>
      <c r="D60" t="s">
        <v>13</v>
      </c>
      <c r="E60">
        <v>34.193550995542701</v>
      </c>
      <c r="F60">
        <v>34.193550995542701</v>
      </c>
      <c r="G60">
        <f t="shared" ref="G60:H61" si="40">G59</f>
        <v>34.421442627380301</v>
      </c>
      <c r="H60">
        <f t="shared" si="40"/>
        <v>0.32228743649607089</v>
      </c>
      <c r="I60">
        <f>G60</f>
        <v>34.421442627380301</v>
      </c>
      <c r="J60">
        <f>G63</f>
        <v>32.182579184016049</v>
      </c>
      <c r="K60">
        <f t="shared" si="0"/>
        <v>0</v>
      </c>
      <c r="L60">
        <f t="shared" si="1"/>
        <v>2.2388634433642522</v>
      </c>
    </row>
    <row r="61" spans="1:12" x14ac:dyDescent="0.2">
      <c r="A61" t="s">
        <v>152</v>
      </c>
      <c r="B61" s="3" t="s">
        <v>108</v>
      </c>
      <c r="C61">
        <v>1704</v>
      </c>
      <c r="D61" t="s">
        <v>13</v>
      </c>
      <c r="E61">
        <v>34.649334259217902</v>
      </c>
      <c r="F61">
        <v>34.649334259217902</v>
      </c>
      <c r="G61">
        <f t="shared" si="40"/>
        <v>34.421442627380301</v>
      </c>
      <c r="H61">
        <f t="shared" ref="H61" si="41">H59</f>
        <v>0.32228743649607089</v>
      </c>
      <c r="I61">
        <f>G61</f>
        <v>34.421442627380301</v>
      </c>
      <c r="J61">
        <f>G64</f>
        <v>32.182579184016049</v>
      </c>
      <c r="K61">
        <f t="shared" si="0"/>
        <v>0</v>
      </c>
      <c r="L61">
        <f t="shared" si="1"/>
        <v>2.2388634433642522</v>
      </c>
    </row>
    <row r="62" spans="1:12" x14ac:dyDescent="0.2">
      <c r="A62" t="s">
        <v>152</v>
      </c>
      <c r="B62" s="3" t="s">
        <v>109</v>
      </c>
      <c r="C62">
        <v>1704</v>
      </c>
      <c r="D62" t="s">
        <v>10</v>
      </c>
      <c r="E62">
        <v>33.137141787082399</v>
      </c>
      <c r="G62">
        <f>AVERAGE(F62:F64)</f>
        <v>32.182579184016049</v>
      </c>
      <c r="H62">
        <f>STDEV(F62:F64)</f>
        <v>9.8700953853442963E-2</v>
      </c>
      <c r="I62">
        <f t="shared" ref="I62:I64" si="42">G62</f>
        <v>32.182579184016049</v>
      </c>
      <c r="J62">
        <f t="shared" ref="J62:J64" si="43">G65</f>
        <v>32.413949889809444</v>
      </c>
      <c r="K62">
        <f t="shared" si="0"/>
        <v>0</v>
      </c>
      <c r="L62">
        <f t="shared" si="1"/>
        <v>-0.23137070579339536</v>
      </c>
    </row>
    <row r="63" spans="1:12" x14ac:dyDescent="0.2">
      <c r="A63" t="s">
        <v>152</v>
      </c>
      <c r="B63" s="3" t="s">
        <v>110</v>
      </c>
      <c r="C63">
        <v>1704</v>
      </c>
      <c r="D63" t="s">
        <v>10</v>
      </c>
      <c r="E63">
        <v>32.252371297795399</v>
      </c>
      <c r="F63">
        <v>32.252371297795399</v>
      </c>
      <c r="G63">
        <f t="shared" ref="G63:H63" si="44">G62</f>
        <v>32.182579184016049</v>
      </c>
      <c r="H63">
        <f t="shared" si="44"/>
        <v>9.8700953853442963E-2</v>
      </c>
      <c r="I63">
        <f t="shared" si="42"/>
        <v>32.182579184016049</v>
      </c>
      <c r="J63">
        <f t="shared" si="43"/>
        <v>32.413949889809444</v>
      </c>
      <c r="K63">
        <f t="shared" si="0"/>
        <v>0</v>
      </c>
      <c r="L63">
        <f t="shared" si="1"/>
        <v>-0.23137070579339536</v>
      </c>
    </row>
    <row r="64" spans="1:12" x14ac:dyDescent="0.2">
      <c r="A64" t="s">
        <v>152</v>
      </c>
      <c r="B64" s="3" t="s">
        <v>111</v>
      </c>
      <c r="C64">
        <v>1704</v>
      </c>
      <c r="D64" t="s">
        <v>10</v>
      </c>
      <c r="E64">
        <v>32.112787070236699</v>
      </c>
      <c r="F64">
        <v>32.112787070236699</v>
      </c>
      <c r="G64">
        <f t="shared" ref="G64:H64" si="45">G62</f>
        <v>32.182579184016049</v>
      </c>
      <c r="H64">
        <f t="shared" si="45"/>
        <v>9.8700953853442963E-2</v>
      </c>
      <c r="I64">
        <f t="shared" si="42"/>
        <v>32.182579184016049</v>
      </c>
      <c r="J64">
        <f t="shared" si="43"/>
        <v>32.413949889809444</v>
      </c>
      <c r="K64">
        <f t="shared" si="0"/>
        <v>0</v>
      </c>
      <c r="L64">
        <f t="shared" si="1"/>
        <v>-0.23137070579339536</v>
      </c>
    </row>
    <row r="65" spans="1:12" x14ac:dyDescent="0.2">
      <c r="A65" t="s">
        <v>152</v>
      </c>
      <c r="B65" s="3" t="s">
        <v>112</v>
      </c>
      <c r="C65">
        <v>1705</v>
      </c>
      <c r="D65" t="s">
        <v>1</v>
      </c>
      <c r="E65">
        <v>32.201349363180498</v>
      </c>
      <c r="F65">
        <v>32.201349363180498</v>
      </c>
      <c r="G65">
        <f>AVERAGE(F65:F67)</f>
        <v>32.413949889809444</v>
      </c>
      <c r="H65">
        <f>STDEV(F65:F67)</f>
        <v>0.30066254812632393</v>
      </c>
      <c r="I65">
        <f>G65</f>
        <v>32.413949889809444</v>
      </c>
      <c r="J65">
        <f>G68</f>
        <v>18.253938437708001</v>
      </c>
      <c r="K65">
        <f t="shared" si="0"/>
        <v>0</v>
      </c>
      <c r="L65">
        <f t="shared" si="1"/>
        <v>14.160011452101443</v>
      </c>
    </row>
    <row r="66" spans="1:12" x14ac:dyDescent="0.2">
      <c r="A66" t="s">
        <v>152</v>
      </c>
      <c r="B66" s="3" t="s">
        <v>113</v>
      </c>
      <c r="C66">
        <v>1705</v>
      </c>
      <c r="D66" t="s">
        <v>1</v>
      </c>
      <c r="E66">
        <v>32.626550416438398</v>
      </c>
      <c r="F66">
        <v>32.626550416438398</v>
      </c>
      <c r="G66">
        <f t="shared" ref="G66:H67" si="46">G65</f>
        <v>32.413949889809444</v>
      </c>
      <c r="H66">
        <f t="shared" si="46"/>
        <v>0.30066254812632393</v>
      </c>
      <c r="I66">
        <v>32.413949889809444</v>
      </c>
      <c r="J66">
        <v>18.253938437708001</v>
      </c>
      <c r="K66">
        <f t="shared" si="0"/>
        <v>0</v>
      </c>
      <c r="L66">
        <f t="shared" si="1"/>
        <v>14.160011452101443</v>
      </c>
    </row>
    <row r="67" spans="1:12" x14ac:dyDescent="0.2">
      <c r="A67" t="s">
        <v>152</v>
      </c>
      <c r="B67" s="3" t="s">
        <v>114</v>
      </c>
      <c r="C67">
        <v>1705</v>
      </c>
      <c r="D67" t="s">
        <v>1</v>
      </c>
      <c r="E67">
        <v>31.565224156545899</v>
      </c>
      <c r="G67">
        <f t="shared" si="46"/>
        <v>32.413949889809444</v>
      </c>
      <c r="H67">
        <f t="shared" ref="H67" si="47">H65</f>
        <v>0.30066254812632393</v>
      </c>
      <c r="I67">
        <v>32.413949889809444</v>
      </c>
      <c r="J67">
        <v>18.253938437708001</v>
      </c>
      <c r="K67">
        <f t="shared" ref="K67:K97" si="48">G67-I67</f>
        <v>0</v>
      </c>
      <c r="L67">
        <f t="shared" ref="L67:L97" si="49">G67-J67</f>
        <v>14.160011452101443</v>
      </c>
    </row>
    <row r="68" spans="1:12" x14ac:dyDescent="0.2">
      <c r="A68" t="s">
        <v>152</v>
      </c>
      <c r="B68" s="3" t="s">
        <v>115</v>
      </c>
      <c r="C68">
        <v>1705</v>
      </c>
      <c r="D68" t="s">
        <v>2</v>
      </c>
      <c r="E68">
        <v>18.157193928478801</v>
      </c>
      <c r="F68">
        <v>18.157193928478801</v>
      </c>
      <c r="G68">
        <f>AVERAGE(F68:F70)</f>
        <v>18.253938437708001</v>
      </c>
      <c r="H68">
        <f>STDEV(F68:F70)</f>
        <v>8.8459574920775663E-2</v>
      </c>
      <c r="I68">
        <v>32.413949889809402</v>
      </c>
      <c r="J68">
        <v>18.253938437708001</v>
      </c>
      <c r="K68">
        <f t="shared" si="48"/>
        <v>-14.160011452101401</v>
      </c>
      <c r="L68">
        <f t="shared" si="49"/>
        <v>0</v>
      </c>
    </row>
    <row r="69" spans="1:12" x14ac:dyDescent="0.2">
      <c r="A69" t="s">
        <v>152</v>
      </c>
      <c r="B69" s="3" t="s">
        <v>116</v>
      </c>
      <c r="C69">
        <v>1705</v>
      </c>
      <c r="D69" t="s">
        <v>2</v>
      </c>
      <c r="E69">
        <v>18.273929865244</v>
      </c>
      <c r="F69">
        <v>18.273929865244</v>
      </c>
      <c r="G69">
        <f t="shared" ref="G69:H69" si="50">G68</f>
        <v>18.253938437708001</v>
      </c>
      <c r="H69">
        <f t="shared" si="50"/>
        <v>8.8459574920775663E-2</v>
      </c>
      <c r="I69">
        <v>32.413949889809402</v>
      </c>
      <c r="J69">
        <v>18.253938437708001</v>
      </c>
      <c r="K69">
        <f t="shared" si="48"/>
        <v>-14.160011452101401</v>
      </c>
      <c r="L69">
        <f t="shared" si="49"/>
        <v>0</v>
      </c>
    </row>
    <row r="70" spans="1:12" x14ac:dyDescent="0.2">
      <c r="A70" t="s">
        <v>152</v>
      </c>
      <c r="B70" s="3" t="s">
        <v>117</v>
      </c>
      <c r="C70">
        <v>1705</v>
      </c>
      <c r="D70" t="s">
        <v>2</v>
      </c>
      <c r="E70">
        <v>18.330691519401199</v>
      </c>
      <c r="F70">
        <v>18.330691519401199</v>
      </c>
      <c r="G70">
        <f t="shared" ref="G70:H70" si="51">G68</f>
        <v>18.253938437708001</v>
      </c>
      <c r="H70">
        <f t="shared" si="51"/>
        <v>8.8459574920775663E-2</v>
      </c>
      <c r="I70">
        <v>32.413949889809402</v>
      </c>
      <c r="J70">
        <v>18.253938437708001</v>
      </c>
      <c r="K70">
        <f t="shared" si="48"/>
        <v>-14.160011452101401</v>
      </c>
      <c r="L70">
        <f t="shared" si="49"/>
        <v>0</v>
      </c>
    </row>
    <row r="71" spans="1:12" x14ac:dyDescent="0.2">
      <c r="A71" t="s">
        <v>152</v>
      </c>
      <c r="B71" s="3" t="s">
        <v>118</v>
      </c>
      <c r="C71">
        <v>1705</v>
      </c>
      <c r="D71" t="s">
        <v>3</v>
      </c>
      <c r="E71">
        <v>33.684982648280403</v>
      </c>
      <c r="F71">
        <v>33.684982648280403</v>
      </c>
      <c r="G71">
        <f>AVERAGE(F71:F73)</f>
        <v>33.925912115579948</v>
      </c>
      <c r="H71">
        <f>STDEV(F71:F73)</f>
        <v>0.34072572023034575</v>
      </c>
      <c r="I71">
        <v>32.413949889809402</v>
      </c>
      <c r="J71">
        <v>18.253938437708001</v>
      </c>
      <c r="K71">
        <f t="shared" si="48"/>
        <v>1.5119622257705458</v>
      </c>
      <c r="L71">
        <f t="shared" si="49"/>
        <v>15.671973677871947</v>
      </c>
    </row>
    <row r="72" spans="1:12" x14ac:dyDescent="0.2">
      <c r="A72" t="s">
        <v>152</v>
      </c>
      <c r="B72" s="3" t="s">
        <v>119</v>
      </c>
      <c r="C72">
        <v>1705</v>
      </c>
      <c r="D72" t="s">
        <v>3</v>
      </c>
      <c r="E72">
        <v>34.166841582879499</v>
      </c>
      <c r="F72">
        <v>34.166841582879499</v>
      </c>
      <c r="G72">
        <f t="shared" ref="G72:H73" si="52">G71</f>
        <v>33.925912115579948</v>
      </c>
      <c r="H72">
        <f t="shared" si="52"/>
        <v>0.34072572023034575</v>
      </c>
      <c r="I72">
        <v>32.413949889809402</v>
      </c>
      <c r="J72">
        <v>18.253938437708001</v>
      </c>
      <c r="K72">
        <f t="shared" si="48"/>
        <v>1.5119622257705458</v>
      </c>
      <c r="L72">
        <f t="shared" si="49"/>
        <v>15.671973677871947</v>
      </c>
    </row>
    <row r="73" spans="1:12" x14ac:dyDescent="0.2">
      <c r="A73" t="s">
        <v>152</v>
      </c>
      <c r="B73" s="3" t="s">
        <v>120</v>
      </c>
      <c r="C73">
        <v>1705</v>
      </c>
      <c r="D73" t="s">
        <v>3</v>
      </c>
      <c r="E73">
        <v>32.314247551221399</v>
      </c>
      <c r="G73">
        <f t="shared" si="52"/>
        <v>33.925912115579948</v>
      </c>
      <c r="H73">
        <f t="shared" ref="H73" si="53">H71</f>
        <v>0.34072572023034575</v>
      </c>
      <c r="I73">
        <v>32.413949889809402</v>
      </c>
      <c r="J73">
        <v>18.253938437708001</v>
      </c>
      <c r="K73">
        <f t="shared" si="48"/>
        <v>1.5119622257705458</v>
      </c>
      <c r="L73">
        <f t="shared" si="49"/>
        <v>15.671973677871947</v>
      </c>
    </row>
    <row r="74" spans="1:12" x14ac:dyDescent="0.2">
      <c r="A74" t="s">
        <v>152</v>
      </c>
      <c r="B74" s="3" t="s">
        <v>121</v>
      </c>
      <c r="C74">
        <v>1705</v>
      </c>
      <c r="D74" t="s">
        <v>14</v>
      </c>
      <c r="E74">
        <v>34.850569541788303</v>
      </c>
      <c r="G74">
        <f>AVERAGE(F74:F76)</f>
        <v>32.711109758232695</v>
      </c>
      <c r="H74">
        <f>STDEV(F74:F76)</f>
        <v>0.47914445860110882</v>
      </c>
      <c r="I74">
        <v>32.413949889809402</v>
      </c>
      <c r="J74">
        <v>18.253938437708001</v>
      </c>
      <c r="K74">
        <f t="shared" si="48"/>
        <v>0.29715986842329301</v>
      </c>
      <c r="L74">
        <f t="shared" si="49"/>
        <v>14.457171320524694</v>
      </c>
    </row>
    <row r="75" spans="1:12" x14ac:dyDescent="0.2">
      <c r="A75" t="s">
        <v>152</v>
      </c>
      <c r="B75" s="3" t="s">
        <v>122</v>
      </c>
      <c r="C75">
        <v>1705</v>
      </c>
      <c r="D75" t="s">
        <v>14</v>
      </c>
      <c r="E75">
        <v>33.049916054077499</v>
      </c>
      <c r="F75">
        <v>33.049916054077499</v>
      </c>
      <c r="G75">
        <f t="shared" ref="G75:H75" si="54">G74</f>
        <v>32.711109758232695</v>
      </c>
      <c r="H75">
        <f t="shared" si="54"/>
        <v>0.47914445860110882</v>
      </c>
      <c r="I75">
        <v>32.413949889809402</v>
      </c>
      <c r="J75">
        <v>18.253938437708001</v>
      </c>
      <c r="K75">
        <f t="shared" si="48"/>
        <v>0.29715986842329301</v>
      </c>
      <c r="L75">
        <f t="shared" si="49"/>
        <v>14.457171320524694</v>
      </c>
    </row>
    <row r="76" spans="1:12" x14ac:dyDescent="0.2">
      <c r="A76" t="s">
        <v>152</v>
      </c>
      <c r="B76" s="3" t="s">
        <v>123</v>
      </c>
      <c r="C76">
        <v>1705</v>
      </c>
      <c r="D76" t="s">
        <v>14</v>
      </c>
      <c r="E76">
        <v>32.372303462387897</v>
      </c>
      <c r="F76">
        <v>32.372303462387897</v>
      </c>
      <c r="G76">
        <f t="shared" ref="G76:H76" si="55">G74</f>
        <v>32.711109758232695</v>
      </c>
      <c r="H76">
        <f t="shared" si="55"/>
        <v>0.47914445860110882</v>
      </c>
      <c r="I76">
        <v>32.413949889809402</v>
      </c>
      <c r="J76">
        <v>18.253938437708001</v>
      </c>
      <c r="K76">
        <f t="shared" si="48"/>
        <v>0.29715986842329301</v>
      </c>
      <c r="L76">
        <f t="shared" si="49"/>
        <v>14.457171320524694</v>
      </c>
    </row>
    <row r="77" spans="1:12" x14ac:dyDescent="0.2">
      <c r="A77" t="s">
        <v>152</v>
      </c>
      <c r="B77" s="3" t="s">
        <v>124</v>
      </c>
      <c r="C77">
        <v>1705</v>
      </c>
      <c r="D77" t="s">
        <v>10</v>
      </c>
      <c r="E77">
        <v>38.280678756915002</v>
      </c>
      <c r="G77">
        <f>AVERAGE(F77:F79)</f>
        <v>32.431652189507645</v>
      </c>
      <c r="H77">
        <f>STDEV(F77:F79)</f>
        <v>0.52429293500289964</v>
      </c>
      <c r="I77">
        <v>32.413949889809402</v>
      </c>
      <c r="J77">
        <v>18.253938437708001</v>
      </c>
      <c r="K77">
        <f t="shared" si="48"/>
        <v>1.7702299698242996E-2</v>
      </c>
      <c r="L77">
        <f t="shared" si="49"/>
        <v>14.177713751799644</v>
      </c>
    </row>
    <row r="78" spans="1:12" x14ac:dyDescent="0.2">
      <c r="A78" t="s">
        <v>152</v>
      </c>
      <c r="B78" s="3" t="s">
        <v>125</v>
      </c>
      <c r="C78">
        <v>1705</v>
      </c>
      <c r="D78" t="s">
        <v>10</v>
      </c>
      <c r="E78">
        <v>32.802383279176397</v>
      </c>
      <c r="F78">
        <v>32.802383279176397</v>
      </c>
      <c r="G78">
        <f t="shared" ref="G78:H79" si="56">G77</f>
        <v>32.431652189507645</v>
      </c>
      <c r="H78">
        <f t="shared" si="56"/>
        <v>0.52429293500289964</v>
      </c>
      <c r="I78">
        <v>32.413949889809402</v>
      </c>
      <c r="J78">
        <v>18.253938437708001</v>
      </c>
      <c r="K78">
        <f t="shared" si="48"/>
        <v>1.7702299698242996E-2</v>
      </c>
      <c r="L78">
        <f t="shared" si="49"/>
        <v>14.177713751799644</v>
      </c>
    </row>
    <row r="79" spans="1:12" x14ac:dyDescent="0.2">
      <c r="A79" t="s">
        <v>152</v>
      </c>
      <c r="B79" s="3" t="s">
        <v>126</v>
      </c>
      <c r="C79">
        <v>1705</v>
      </c>
      <c r="D79" t="s">
        <v>10</v>
      </c>
      <c r="E79">
        <v>32.0609210998389</v>
      </c>
      <c r="F79">
        <v>32.0609210998389</v>
      </c>
      <c r="G79">
        <f t="shared" si="56"/>
        <v>32.431652189507645</v>
      </c>
      <c r="H79">
        <f t="shared" ref="H79" si="57">H77</f>
        <v>0.52429293500289964</v>
      </c>
      <c r="I79">
        <v>32.413949889809402</v>
      </c>
      <c r="J79">
        <v>18.253938437708001</v>
      </c>
      <c r="K79">
        <f t="shared" si="48"/>
        <v>1.7702299698242996E-2</v>
      </c>
      <c r="L79">
        <f t="shared" si="49"/>
        <v>14.177713751799644</v>
      </c>
    </row>
    <row r="80" spans="1:12" x14ac:dyDescent="0.2">
      <c r="A80" t="s">
        <v>152</v>
      </c>
      <c r="B80" s="3" t="s">
        <v>127</v>
      </c>
      <c r="C80">
        <v>1705</v>
      </c>
      <c r="D80" t="s">
        <v>6</v>
      </c>
      <c r="E80">
        <v>32.182755753343002</v>
      </c>
      <c r="F80">
        <v>32.182755753343002</v>
      </c>
      <c r="G80">
        <f>AVERAGE(F80:F82)</f>
        <v>32.2790166851482</v>
      </c>
      <c r="H80">
        <f>STDEV(F80:F82)</f>
        <v>0.26941523682843016</v>
      </c>
      <c r="I80">
        <v>32.413949889809402</v>
      </c>
      <c r="J80">
        <v>18.253938437708001</v>
      </c>
      <c r="K80">
        <f t="shared" si="48"/>
        <v>-0.13493320466120196</v>
      </c>
      <c r="L80">
        <f t="shared" si="49"/>
        <v>14.025078247440199</v>
      </c>
    </row>
    <row r="81" spans="1:12" x14ac:dyDescent="0.2">
      <c r="A81" t="s">
        <v>152</v>
      </c>
      <c r="B81" s="3" t="s">
        <v>128</v>
      </c>
      <c r="C81">
        <v>1705</v>
      </c>
      <c r="D81" t="s">
        <v>6</v>
      </c>
      <c r="E81">
        <v>32.070953972782299</v>
      </c>
      <c r="F81">
        <v>32.070953972782299</v>
      </c>
      <c r="G81">
        <f t="shared" ref="G81:H81" si="58">G80</f>
        <v>32.2790166851482</v>
      </c>
      <c r="H81">
        <f t="shared" si="58"/>
        <v>0.26941523682843016</v>
      </c>
      <c r="I81">
        <v>32.413949889809402</v>
      </c>
      <c r="J81">
        <v>18.253938437708001</v>
      </c>
      <c r="K81">
        <f t="shared" si="48"/>
        <v>-0.13493320466120196</v>
      </c>
      <c r="L81">
        <f t="shared" si="49"/>
        <v>14.025078247440199</v>
      </c>
    </row>
    <row r="82" spans="1:12" x14ac:dyDescent="0.2">
      <c r="A82" t="s">
        <v>152</v>
      </c>
      <c r="B82" s="3" t="s">
        <v>129</v>
      </c>
      <c r="C82">
        <v>1705</v>
      </c>
      <c r="D82" t="s">
        <v>6</v>
      </c>
      <c r="E82">
        <v>32.583340329319299</v>
      </c>
      <c r="F82">
        <v>32.583340329319299</v>
      </c>
      <c r="G82">
        <f t="shared" ref="G82:H82" si="59">G80</f>
        <v>32.2790166851482</v>
      </c>
      <c r="H82">
        <f t="shared" si="59"/>
        <v>0.26941523682843016</v>
      </c>
      <c r="I82">
        <v>32.413949889809402</v>
      </c>
      <c r="J82">
        <v>18.253938437708001</v>
      </c>
      <c r="K82">
        <f t="shared" si="48"/>
        <v>-0.13493320466120196</v>
      </c>
      <c r="L82">
        <f t="shared" si="49"/>
        <v>14.025078247440199</v>
      </c>
    </row>
    <row r="83" spans="1:12" s="1" customFormat="1" x14ac:dyDescent="0.2">
      <c r="A83" s="1" t="s">
        <v>152</v>
      </c>
      <c r="B83" s="1" t="s">
        <v>130</v>
      </c>
      <c r="C83" s="1">
        <v>1705</v>
      </c>
      <c r="D83" s="1" t="s">
        <v>4</v>
      </c>
      <c r="E83" s="1">
        <v>33.207043504336198</v>
      </c>
      <c r="G83" s="1" t="e">
        <f>AVERAGE(F83:F85)</f>
        <v>#DIV/0!</v>
      </c>
      <c r="H83" s="1" t="e">
        <f>STDEV(F83:F85)</f>
        <v>#DIV/0!</v>
      </c>
      <c r="I83" s="1">
        <v>32.413949889809402</v>
      </c>
      <c r="J83" s="1">
        <v>18.253938437708001</v>
      </c>
      <c r="K83" s="1" t="e">
        <f t="shared" si="48"/>
        <v>#DIV/0!</v>
      </c>
      <c r="L83" s="1" t="e">
        <f t="shared" si="49"/>
        <v>#DIV/0!</v>
      </c>
    </row>
    <row r="84" spans="1:12" s="1" customFormat="1" x14ac:dyDescent="0.2">
      <c r="A84" s="1" t="s">
        <v>152</v>
      </c>
      <c r="B84" s="1" t="s">
        <v>131</v>
      </c>
      <c r="C84" s="1">
        <v>1705</v>
      </c>
      <c r="D84" s="1" t="s">
        <v>4</v>
      </c>
      <c r="E84" s="1">
        <v>34.334973443812999</v>
      </c>
      <c r="G84" s="1" t="e">
        <f t="shared" ref="G84:H85" si="60">G83</f>
        <v>#DIV/0!</v>
      </c>
      <c r="H84" s="1" t="e">
        <f t="shared" si="60"/>
        <v>#DIV/0!</v>
      </c>
      <c r="I84" s="1">
        <v>32.413949889809402</v>
      </c>
      <c r="J84" s="1">
        <v>18.253938437708001</v>
      </c>
      <c r="K84" s="1" t="e">
        <f t="shared" si="48"/>
        <v>#DIV/0!</v>
      </c>
      <c r="L84" s="1" t="e">
        <f t="shared" si="49"/>
        <v>#DIV/0!</v>
      </c>
    </row>
    <row r="85" spans="1:12" s="1" customFormat="1" x14ac:dyDescent="0.2">
      <c r="A85" s="1" t="s">
        <v>152</v>
      </c>
      <c r="B85" s="1" t="s">
        <v>132</v>
      </c>
      <c r="C85" s="1">
        <v>1705</v>
      </c>
      <c r="D85" s="1" t="s">
        <v>4</v>
      </c>
      <c r="E85" s="1">
        <v>36.428201916202703</v>
      </c>
      <c r="G85" s="1" t="e">
        <f t="shared" si="60"/>
        <v>#DIV/0!</v>
      </c>
      <c r="H85" s="1" t="e">
        <f t="shared" ref="H85" si="61">H83</f>
        <v>#DIV/0!</v>
      </c>
      <c r="I85" s="1">
        <v>32.413949889809402</v>
      </c>
      <c r="J85" s="1">
        <v>18.253938437708001</v>
      </c>
      <c r="K85" s="1" t="e">
        <f t="shared" si="48"/>
        <v>#DIV/0!</v>
      </c>
      <c r="L85" s="1" t="e">
        <f t="shared" si="49"/>
        <v>#DIV/0!</v>
      </c>
    </row>
    <row r="86" spans="1:12" x14ac:dyDescent="0.2">
      <c r="A86" t="s">
        <v>152</v>
      </c>
      <c r="B86" s="3" t="s">
        <v>133</v>
      </c>
      <c r="K86">
        <f t="shared" si="48"/>
        <v>0</v>
      </c>
      <c r="L86">
        <f t="shared" si="49"/>
        <v>0</v>
      </c>
    </row>
    <row r="87" spans="1:12" x14ac:dyDescent="0.2">
      <c r="A87" t="s">
        <v>152</v>
      </c>
      <c r="B87" s="3" t="s">
        <v>134</v>
      </c>
      <c r="K87">
        <f t="shared" si="48"/>
        <v>0</v>
      </c>
      <c r="L87">
        <f t="shared" si="49"/>
        <v>0</v>
      </c>
    </row>
    <row r="88" spans="1:12" x14ac:dyDescent="0.2">
      <c r="A88" t="s">
        <v>152</v>
      </c>
      <c r="B88" s="3" t="s">
        <v>135</v>
      </c>
      <c r="K88">
        <f t="shared" si="48"/>
        <v>0</v>
      </c>
      <c r="L88">
        <f t="shared" si="49"/>
        <v>0</v>
      </c>
    </row>
    <row r="89" spans="1:12" x14ac:dyDescent="0.2">
      <c r="A89" t="s">
        <v>152</v>
      </c>
      <c r="B89" s="3" t="s">
        <v>136</v>
      </c>
      <c r="K89">
        <f t="shared" si="48"/>
        <v>0</v>
      </c>
      <c r="L89">
        <f t="shared" si="49"/>
        <v>0</v>
      </c>
    </row>
    <row r="90" spans="1:12" x14ac:dyDescent="0.2">
      <c r="A90" t="s">
        <v>152</v>
      </c>
      <c r="B90" s="3" t="s">
        <v>137</v>
      </c>
      <c r="K90">
        <f t="shared" si="48"/>
        <v>0</v>
      </c>
      <c r="L90">
        <f t="shared" si="49"/>
        <v>0</v>
      </c>
    </row>
    <row r="91" spans="1:12" x14ac:dyDescent="0.2">
      <c r="A91" t="s">
        <v>152</v>
      </c>
      <c r="B91" s="3" t="s">
        <v>138</v>
      </c>
      <c r="K91">
        <f t="shared" si="48"/>
        <v>0</v>
      </c>
      <c r="L91">
        <f t="shared" si="49"/>
        <v>0</v>
      </c>
    </row>
    <row r="92" spans="1:12" x14ac:dyDescent="0.2">
      <c r="A92" t="s">
        <v>152</v>
      </c>
      <c r="B92" s="3" t="s">
        <v>139</v>
      </c>
      <c r="K92">
        <f t="shared" si="48"/>
        <v>0</v>
      </c>
      <c r="L92">
        <f t="shared" si="49"/>
        <v>0</v>
      </c>
    </row>
    <row r="93" spans="1:12" x14ac:dyDescent="0.2">
      <c r="A93" t="s">
        <v>152</v>
      </c>
      <c r="B93" s="3" t="s">
        <v>140</v>
      </c>
      <c r="K93">
        <f t="shared" si="48"/>
        <v>0</v>
      </c>
      <c r="L93">
        <f t="shared" si="49"/>
        <v>0</v>
      </c>
    </row>
    <row r="94" spans="1:12" x14ac:dyDescent="0.2">
      <c r="A94" t="s">
        <v>152</v>
      </c>
      <c r="B94" s="3" t="s">
        <v>141</v>
      </c>
      <c r="K94">
        <f t="shared" si="48"/>
        <v>0</v>
      </c>
      <c r="L94">
        <f t="shared" si="49"/>
        <v>0</v>
      </c>
    </row>
    <row r="95" spans="1:12" x14ac:dyDescent="0.2">
      <c r="A95" t="s">
        <v>152</v>
      </c>
      <c r="B95" s="3" t="s">
        <v>142</v>
      </c>
      <c r="K95">
        <f t="shared" si="48"/>
        <v>0</v>
      </c>
      <c r="L95">
        <f t="shared" si="49"/>
        <v>0</v>
      </c>
    </row>
    <row r="96" spans="1:12" x14ac:dyDescent="0.2">
      <c r="A96" t="s">
        <v>152</v>
      </c>
      <c r="B96" s="3" t="s">
        <v>143</v>
      </c>
      <c r="K96">
        <f t="shared" si="48"/>
        <v>0</v>
      </c>
      <c r="L96">
        <f t="shared" si="49"/>
        <v>0</v>
      </c>
    </row>
    <row r="97" spans="1:12" x14ac:dyDescent="0.2">
      <c r="A97" t="s">
        <v>152</v>
      </c>
      <c r="B97" s="3" t="s">
        <v>144</v>
      </c>
      <c r="K97">
        <f t="shared" si="48"/>
        <v>0</v>
      </c>
      <c r="L97">
        <f t="shared" si="49"/>
        <v>0</v>
      </c>
    </row>
  </sheetData>
  <phoneticPr fontId="2" type="noConversion"/>
  <conditionalFormatting sqref="H2:H97">
    <cfRule type="cellIs" dxfId="5" priority="1" operator="greaterThan">
      <formula>0.3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80AEB-2779-7647-A7D0-750AF3F256F5}">
  <dimension ref="A1:L97"/>
  <sheetViews>
    <sheetView zoomScale="120" zoomScaleNormal="120" workbookViewId="0">
      <selection sqref="A1:XFD1"/>
    </sheetView>
  </sheetViews>
  <sheetFormatPr baseColWidth="10" defaultRowHeight="16" x14ac:dyDescent="0.2"/>
  <cols>
    <col min="7" max="8" width="11" bestFit="1" customWidth="1"/>
  </cols>
  <sheetData>
    <row r="1" spans="1:12" x14ac:dyDescent="0.2">
      <c r="A1" t="s">
        <v>147</v>
      </c>
      <c r="B1" t="s">
        <v>48</v>
      </c>
      <c r="C1" t="s">
        <v>0</v>
      </c>
      <c r="D1" t="s">
        <v>145</v>
      </c>
      <c r="E1" t="s">
        <v>154</v>
      </c>
      <c r="F1" t="s">
        <v>158</v>
      </c>
      <c r="G1" t="s">
        <v>156</v>
      </c>
      <c r="H1" t="s">
        <v>157</v>
      </c>
      <c r="I1" t="s">
        <v>1</v>
      </c>
      <c r="J1" t="s">
        <v>2</v>
      </c>
      <c r="K1" t="s">
        <v>159</v>
      </c>
      <c r="L1" t="s">
        <v>160</v>
      </c>
    </row>
    <row r="2" spans="1:12" x14ac:dyDescent="0.2">
      <c r="A2" t="s">
        <v>153</v>
      </c>
      <c r="B2" s="3" t="s">
        <v>49</v>
      </c>
      <c r="C2">
        <v>1710</v>
      </c>
      <c r="D2" t="s">
        <v>1</v>
      </c>
      <c r="E2">
        <v>32.8267320872177</v>
      </c>
      <c r="F2">
        <v>32.8267320872177</v>
      </c>
      <c r="G2">
        <f>AVERAGE(F2:F4)</f>
        <v>32.361832480498499</v>
      </c>
      <c r="H2">
        <f>STDEV(F2:F4)</f>
        <v>0.46828347645055951</v>
      </c>
      <c r="I2">
        <f>G2</f>
        <v>32.361832480498499</v>
      </c>
      <c r="J2">
        <f>G5</f>
        <v>19.465299669922231</v>
      </c>
      <c r="K2">
        <f>G2-I2</f>
        <v>0</v>
      </c>
      <c r="L2">
        <f>G2-J2</f>
        <v>12.896532810576268</v>
      </c>
    </row>
    <row r="3" spans="1:12" x14ac:dyDescent="0.2">
      <c r="A3" t="s">
        <v>153</v>
      </c>
      <c r="B3" s="3" t="s">
        <v>50</v>
      </c>
      <c r="C3">
        <v>1710</v>
      </c>
      <c r="D3" t="s">
        <v>1</v>
      </c>
      <c r="E3">
        <v>31.890236945270502</v>
      </c>
      <c r="F3">
        <v>31.890236945270502</v>
      </c>
      <c r="G3">
        <f>G2</f>
        <v>32.361832480498499</v>
      </c>
      <c r="H3">
        <f>H2</f>
        <v>0.46828347645055951</v>
      </c>
      <c r="I3">
        <v>32.654498324639867</v>
      </c>
      <c r="J3">
        <v>21.545988693585169</v>
      </c>
      <c r="K3">
        <f t="shared" ref="K3:K66" si="0">G3-I3</f>
        <v>-0.29266584414136787</v>
      </c>
      <c r="L3">
        <f t="shared" ref="L3:L66" si="1">G3-J3</f>
        <v>10.81584378691333</v>
      </c>
    </row>
    <row r="4" spans="1:12" x14ac:dyDescent="0.2">
      <c r="A4" t="s">
        <v>153</v>
      </c>
      <c r="B4" s="3" t="s">
        <v>51</v>
      </c>
      <c r="C4">
        <v>1710</v>
      </c>
      <c r="D4" t="s">
        <v>1</v>
      </c>
      <c r="E4">
        <v>32.368528409007297</v>
      </c>
      <c r="F4">
        <v>32.368528409007297</v>
      </c>
      <c r="G4">
        <f>G2</f>
        <v>32.361832480498499</v>
      </c>
      <c r="H4">
        <f>H2</f>
        <v>0.46828347645055951</v>
      </c>
      <c r="I4">
        <v>32.654498324639867</v>
      </c>
      <c r="J4">
        <v>21.545988693585169</v>
      </c>
      <c r="K4">
        <f t="shared" si="0"/>
        <v>-0.29266584414136787</v>
      </c>
      <c r="L4">
        <f t="shared" si="1"/>
        <v>10.81584378691333</v>
      </c>
    </row>
    <row r="5" spans="1:12" x14ac:dyDescent="0.2">
      <c r="A5" t="s">
        <v>153</v>
      </c>
      <c r="B5" s="3" t="s">
        <v>52</v>
      </c>
      <c r="C5">
        <v>1710</v>
      </c>
      <c r="D5" t="s">
        <v>2</v>
      </c>
      <c r="E5">
        <v>19.381981058415199</v>
      </c>
      <c r="F5">
        <v>19.381981058415199</v>
      </c>
      <c r="G5">
        <f>AVERAGE(F5:F7)</f>
        <v>19.465299669922231</v>
      </c>
      <c r="H5">
        <f>STDEV(F5:F7)</f>
        <v>8.8718839042999945E-2</v>
      </c>
      <c r="I5">
        <v>32.654498324639903</v>
      </c>
      <c r="J5">
        <v>21.545988693585201</v>
      </c>
      <c r="K5">
        <f t="shared" si="0"/>
        <v>-13.189198654717671</v>
      </c>
      <c r="L5">
        <f t="shared" si="1"/>
        <v>-2.0806890236629698</v>
      </c>
    </row>
    <row r="6" spans="1:12" x14ac:dyDescent="0.2">
      <c r="A6" t="s">
        <v>153</v>
      </c>
      <c r="B6" s="3" t="s">
        <v>53</v>
      </c>
      <c r="C6">
        <v>1710</v>
      </c>
      <c r="D6" t="s">
        <v>2</v>
      </c>
      <c r="E6">
        <v>19.455339801587598</v>
      </c>
      <c r="F6">
        <v>19.455339801587598</v>
      </c>
      <c r="G6">
        <f>G5</f>
        <v>19.465299669922231</v>
      </c>
      <c r="H6">
        <f>H5</f>
        <v>8.8718839042999945E-2</v>
      </c>
      <c r="I6">
        <v>32.654498324639903</v>
      </c>
      <c r="J6">
        <v>21.545988693585201</v>
      </c>
      <c r="K6">
        <f t="shared" si="0"/>
        <v>-13.189198654717671</v>
      </c>
      <c r="L6">
        <f t="shared" si="1"/>
        <v>-2.0806890236629698</v>
      </c>
    </row>
    <row r="7" spans="1:12" x14ac:dyDescent="0.2">
      <c r="A7" t="s">
        <v>153</v>
      </c>
      <c r="B7" s="3" t="s">
        <v>54</v>
      </c>
      <c r="C7">
        <v>1710</v>
      </c>
      <c r="D7" t="s">
        <v>2</v>
      </c>
      <c r="E7">
        <v>19.5585781497639</v>
      </c>
      <c r="F7">
        <v>19.5585781497639</v>
      </c>
      <c r="G7">
        <f>G6</f>
        <v>19.465299669922231</v>
      </c>
      <c r="H7">
        <f>H5</f>
        <v>8.8718839042999945E-2</v>
      </c>
      <c r="I7">
        <v>32.654498324639903</v>
      </c>
      <c r="J7">
        <v>21.545988693585201</v>
      </c>
      <c r="K7">
        <f t="shared" si="0"/>
        <v>-13.189198654717671</v>
      </c>
      <c r="L7">
        <f t="shared" si="1"/>
        <v>-2.0806890236629698</v>
      </c>
    </row>
    <row r="8" spans="1:12" s="1" customFormat="1" x14ac:dyDescent="0.2">
      <c r="A8" s="1" t="s">
        <v>153</v>
      </c>
      <c r="B8" s="1" t="s">
        <v>55</v>
      </c>
      <c r="C8" s="1">
        <v>1710</v>
      </c>
      <c r="D8" s="1" t="s">
        <v>14</v>
      </c>
      <c r="E8" s="1">
        <v>33.857966634132502</v>
      </c>
      <c r="G8" s="1" t="e">
        <f>AVERAGE(F8:F10)</f>
        <v>#DIV/0!</v>
      </c>
      <c r="H8" s="1" t="e">
        <f>STDEV(F8:F10)</f>
        <v>#DIV/0!</v>
      </c>
      <c r="I8">
        <v>32.654498324639903</v>
      </c>
      <c r="J8">
        <v>21.545988693585201</v>
      </c>
      <c r="K8" s="1" t="e">
        <f t="shared" si="0"/>
        <v>#DIV/0!</v>
      </c>
      <c r="L8" s="1" t="e">
        <f t="shared" si="1"/>
        <v>#DIV/0!</v>
      </c>
    </row>
    <row r="9" spans="1:12" s="1" customFormat="1" x14ac:dyDescent="0.2">
      <c r="A9" s="1" t="s">
        <v>153</v>
      </c>
      <c r="B9" s="1" t="s">
        <v>56</v>
      </c>
      <c r="C9" s="1">
        <v>1710</v>
      </c>
      <c r="D9" s="1" t="s">
        <v>14</v>
      </c>
      <c r="E9" s="1" t="s">
        <v>155</v>
      </c>
      <c r="G9" s="1" t="e">
        <f t="shared" ref="G9:H9" si="2">G8</f>
        <v>#DIV/0!</v>
      </c>
      <c r="H9" s="1" t="e">
        <f t="shared" si="2"/>
        <v>#DIV/0!</v>
      </c>
      <c r="I9">
        <v>32.654498324639903</v>
      </c>
      <c r="J9">
        <v>21.545988693585201</v>
      </c>
      <c r="K9" s="1" t="e">
        <f t="shared" si="0"/>
        <v>#DIV/0!</v>
      </c>
      <c r="L9" s="1" t="e">
        <f t="shared" si="1"/>
        <v>#DIV/0!</v>
      </c>
    </row>
    <row r="10" spans="1:12" s="1" customFormat="1" x14ac:dyDescent="0.2">
      <c r="A10" s="1" t="s">
        <v>153</v>
      </c>
      <c r="B10" s="1" t="s">
        <v>57</v>
      </c>
      <c r="C10" s="1">
        <v>1710</v>
      </c>
      <c r="D10" s="1" t="s">
        <v>14</v>
      </c>
      <c r="E10" s="1">
        <v>37.186897457561898</v>
      </c>
      <c r="G10" s="1" t="e">
        <f t="shared" ref="G10:H10" si="3">G8</f>
        <v>#DIV/0!</v>
      </c>
      <c r="H10" s="1" t="e">
        <f t="shared" si="3"/>
        <v>#DIV/0!</v>
      </c>
      <c r="I10">
        <v>32.654498324639903</v>
      </c>
      <c r="J10">
        <v>21.545988693585201</v>
      </c>
      <c r="K10" s="1" t="e">
        <f t="shared" si="0"/>
        <v>#DIV/0!</v>
      </c>
      <c r="L10" s="1" t="e">
        <f t="shared" si="1"/>
        <v>#DIV/0!</v>
      </c>
    </row>
    <row r="11" spans="1:12" s="1" customFormat="1" x14ac:dyDescent="0.2">
      <c r="A11" s="1" t="s">
        <v>153</v>
      </c>
      <c r="B11" s="1" t="s">
        <v>58</v>
      </c>
      <c r="C11" s="1">
        <v>1710</v>
      </c>
      <c r="D11" s="1" t="s">
        <v>10</v>
      </c>
      <c r="E11" s="1">
        <v>34.662616801172703</v>
      </c>
      <c r="G11" s="1" t="e">
        <f>AVERAGE(F11:F13)</f>
        <v>#DIV/0!</v>
      </c>
      <c r="H11" s="1" t="e">
        <f>STDEV(F11:F13)</f>
        <v>#DIV/0!</v>
      </c>
      <c r="I11">
        <v>32.654498324639903</v>
      </c>
      <c r="J11">
        <v>21.545988693585201</v>
      </c>
      <c r="K11" s="1" t="e">
        <f t="shared" si="0"/>
        <v>#DIV/0!</v>
      </c>
      <c r="L11" s="1" t="e">
        <f t="shared" si="1"/>
        <v>#DIV/0!</v>
      </c>
    </row>
    <row r="12" spans="1:12" s="1" customFormat="1" x14ac:dyDescent="0.2">
      <c r="A12" s="1" t="s">
        <v>153</v>
      </c>
      <c r="B12" s="1" t="s">
        <v>59</v>
      </c>
      <c r="C12" s="1">
        <v>1710</v>
      </c>
      <c r="D12" s="1" t="s">
        <v>10</v>
      </c>
      <c r="E12" s="1">
        <v>35.6718210024504</v>
      </c>
      <c r="G12" s="1" t="e">
        <f t="shared" ref="G12:H13" si="4">G11</f>
        <v>#DIV/0!</v>
      </c>
      <c r="H12" s="1" t="e">
        <f t="shared" si="4"/>
        <v>#DIV/0!</v>
      </c>
      <c r="I12">
        <v>32.654498324639903</v>
      </c>
      <c r="J12">
        <v>21.545988693585201</v>
      </c>
      <c r="K12" s="1" t="e">
        <f t="shared" si="0"/>
        <v>#DIV/0!</v>
      </c>
      <c r="L12" s="1" t="e">
        <f t="shared" si="1"/>
        <v>#DIV/0!</v>
      </c>
    </row>
    <row r="13" spans="1:12" s="1" customFormat="1" x14ac:dyDescent="0.2">
      <c r="A13" s="1" t="s">
        <v>153</v>
      </c>
      <c r="B13" s="1" t="s">
        <v>60</v>
      </c>
      <c r="C13" s="1">
        <v>1710</v>
      </c>
      <c r="D13" s="1" t="s">
        <v>10</v>
      </c>
      <c r="E13" s="1" t="s">
        <v>155</v>
      </c>
      <c r="G13" s="1" t="e">
        <f t="shared" si="4"/>
        <v>#DIV/0!</v>
      </c>
      <c r="H13" s="1" t="e">
        <f t="shared" ref="H13" si="5">H11</f>
        <v>#DIV/0!</v>
      </c>
      <c r="I13">
        <v>32.654498324639903</v>
      </c>
      <c r="J13">
        <v>21.545988693585201</v>
      </c>
      <c r="K13" s="1" t="e">
        <f t="shared" si="0"/>
        <v>#DIV/0!</v>
      </c>
      <c r="L13" s="1" t="e">
        <f t="shared" si="1"/>
        <v>#DIV/0!</v>
      </c>
    </row>
    <row r="14" spans="1:12" s="1" customFormat="1" x14ac:dyDescent="0.2">
      <c r="A14" s="1" t="s">
        <v>153</v>
      </c>
      <c r="B14" s="1" t="s">
        <v>61</v>
      </c>
      <c r="C14" s="1">
        <v>1710</v>
      </c>
      <c r="D14" s="1" t="s">
        <v>13</v>
      </c>
      <c r="E14" s="1">
        <v>34.715537757797797</v>
      </c>
      <c r="G14" s="1" t="e">
        <f>AVERAGE(F14:F16)</f>
        <v>#DIV/0!</v>
      </c>
      <c r="H14" s="1" t="e">
        <f>STDEV(F14:F16)</f>
        <v>#DIV/0!</v>
      </c>
      <c r="I14">
        <v>32.654498324639903</v>
      </c>
      <c r="J14">
        <v>21.545988693585201</v>
      </c>
      <c r="K14" s="1" t="e">
        <f t="shared" si="0"/>
        <v>#DIV/0!</v>
      </c>
      <c r="L14" s="1" t="e">
        <f t="shared" si="1"/>
        <v>#DIV/0!</v>
      </c>
    </row>
    <row r="15" spans="1:12" s="1" customFormat="1" x14ac:dyDescent="0.2">
      <c r="A15" s="1" t="s">
        <v>153</v>
      </c>
      <c r="B15" s="1" t="s">
        <v>62</v>
      </c>
      <c r="C15" s="1">
        <v>1710</v>
      </c>
      <c r="D15" s="1" t="s">
        <v>13</v>
      </c>
      <c r="E15" s="1">
        <v>33.462155252193902</v>
      </c>
      <c r="G15" s="1" t="e">
        <f t="shared" ref="G15:H15" si="6">G14</f>
        <v>#DIV/0!</v>
      </c>
      <c r="H15" s="1" t="e">
        <f t="shared" si="6"/>
        <v>#DIV/0!</v>
      </c>
      <c r="I15">
        <v>32.654498324639903</v>
      </c>
      <c r="J15">
        <v>21.545988693585201</v>
      </c>
      <c r="K15" s="1" t="e">
        <f t="shared" si="0"/>
        <v>#DIV/0!</v>
      </c>
      <c r="L15" s="1" t="e">
        <f t="shared" si="1"/>
        <v>#DIV/0!</v>
      </c>
    </row>
    <row r="16" spans="1:12" s="1" customFormat="1" x14ac:dyDescent="0.2">
      <c r="A16" s="1" t="s">
        <v>153</v>
      </c>
      <c r="B16" s="1" t="s">
        <v>63</v>
      </c>
      <c r="C16" s="1">
        <v>1710</v>
      </c>
      <c r="D16" s="1" t="s">
        <v>13</v>
      </c>
      <c r="E16" s="1">
        <v>39.113867299796901</v>
      </c>
      <c r="G16" s="1" t="e">
        <f t="shared" ref="G16:H16" si="7">G14</f>
        <v>#DIV/0!</v>
      </c>
      <c r="H16" s="1" t="e">
        <f t="shared" si="7"/>
        <v>#DIV/0!</v>
      </c>
      <c r="I16">
        <v>32.654498324639903</v>
      </c>
      <c r="J16">
        <v>21.545988693585201</v>
      </c>
      <c r="K16" s="1" t="e">
        <f t="shared" si="0"/>
        <v>#DIV/0!</v>
      </c>
      <c r="L16" s="1" t="e">
        <f t="shared" si="1"/>
        <v>#DIV/0!</v>
      </c>
    </row>
    <row r="17" spans="1:12" x14ac:dyDescent="0.2">
      <c r="A17" t="s">
        <v>153</v>
      </c>
      <c r="B17" s="3" t="s">
        <v>64</v>
      </c>
      <c r="C17">
        <v>1710</v>
      </c>
      <c r="D17" t="s">
        <v>5</v>
      </c>
      <c r="E17">
        <v>32.429402751168801</v>
      </c>
      <c r="F17">
        <v>32.429402751168801</v>
      </c>
      <c r="G17">
        <f>AVERAGE(F17:F19)</f>
        <v>32.258699826813654</v>
      </c>
      <c r="H17">
        <f>STDEV(F17:F19)</f>
        <v>0.24141039075980308</v>
      </c>
      <c r="I17">
        <v>32.654498324639903</v>
      </c>
      <c r="J17">
        <v>21.545988693585201</v>
      </c>
      <c r="K17">
        <f t="shared" si="0"/>
        <v>-0.39579849782624876</v>
      </c>
      <c r="L17">
        <f t="shared" si="1"/>
        <v>10.712711133228453</v>
      </c>
    </row>
    <row r="18" spans="1:12" x14ac:dyDescent="0.2">
      <c r="A18" t="s">
        <v>153</v>
      </c>
      <c r="B18" s="3" t="s">
        <v>65</v>
      </c>
      <c r="C18">
        <v>1710</v>
      </c>
      <c r="D18" t="s">
        <v>5</v>
      </c>
      <c r="E18">
        <v>32.087996902458499</v>
      </c>
      <c r="F18">
        <v>32.087996902458499</v>
      </c>
      <c r="G18">
        <f t="shared" ref="G18:H19" si="8">G17</f>
        <v>32.258699826813654</v>
      </c>
      <c r="H18">
        <f t="shared" si="8"/>
        <v>0.24141039075980308</v>
      </c>
      <c r="I18">
        <v>32.654498324639903</v>
      </c>
      <c r="J18">
        <v>21.545988693585201</v>
      </c>
      <c r="K18">
        <f t="shared" si="0"/>
        <v>-0.39579849782624876</v>
      </c>
      <c r="L18">
        <f t="shared" si="1"/>
        <v>10.712711133228453</v>
      </c>
    </row>
    <row r="19" spans="1:12" x14ac:dyDescent="0.2">
      <c r="A19" t="s">
        <v>153</v>
      </c>
      <c r="B19" s="3" t="s">
        <v>66</v>
      </c>
      <c r="C19">
        <v>1710</v>
      </c>
      <c r="D19" t="s">
        <v>5</v>
      </c>
      <c r="E19">
        <v>36.578774814664399</v>
      </c>
      <c r="G19">
        <f t="shared" si="8"/>
        <v>32.258699826813654</v>
      </c>
      <c r="H19">
        <f t="shared" ref="H19" si="9">H17</f>
        <v>0.24141039075980308</v>
      </c>
      <c r="I19">
        <v>32.654498324639903</v>
      </c>
      <c r="J19">
        <v>21.545988693585201</v>
      </c>
      <c r="K19">
        <f t="shared" si="0"/>
        <v>-0.39579849782624876</v>
      </c>
      <c r="L19">
        <f t="shared" si="1"/>
        <v>10.712711133228453</v>
      </c>
    </row>
    <row r="20" spans="1:12" x14ac:dyDescent="0.2">
      <c r="A20" t="s">
        <v>153</v>
      </c>
      <c r="B20" s="3" t="s">
        <v>67</v>
      </c>
      <c r="C20">
        <v>1713</v>
      </c>
      <c r="D20" t="s">
        <v>1</v>
      </c>
      <c r="E20">
        <v>32.100689660290399</v>
      </c>
      <c r="F20">
        <v>32.100689660290399</v>
      </c>
      <c r="G20">
        <f>AVERAGE(F20:F22)</f>
        <v>31.989804998421299</v>
      </c>
      <c r="H20">
        <f>STDEV(F20:F22)</f>
        <v>0.15681459267443656</v>
      </c>
      <c r="I20">
        <f>G20</f>
        <v>31.989804998421299</v>
      </c>
      <c r="J20">
        <f>G23</f>
        <v>15.360604895080749</v>
      </c>
      <c r="K20">
        <f t="shared" si="0"/>
        <v>0</v>
      </c>
      <c r="L20">
        <f t="shared" si="1"/>
        <v>16.629200103340551</v>
      </c>
    </row>
    <row r="21" spans="1:12" x14ac:dyDescent="0.2">
      <c r="A21" t="s">
        <v>153</v>
      </c>
      <c r="B21" s="3" t="s">
        <v>68</v>
      </c>
      <c r="C21">
        <v>1713</v>
      </c>
      <c r="D21" t="s">
        <v>1</v>
      </c>
      <c r="E21">
        <v>31.878920336552198</v>
      </c>
      <c r="F21">
        <v>31.878920336552198</v>
      </c>
      <c r="G21">
        <f t="shared" ref="G21:H21" si="10">G20</f>
        <v>31.989804998421299</v>
      </c>
      <c r="H21">
        <f t="shared" si="10"/>
        <v>0.15681459267443656</v>
      </c>
      <c r="I21">
        <v>31.989804998421299</v>
      </c>
      <c r="J21">
        <v>15.360604895080749</v>
      </c>
      <c r="K21">
        <f t="shared" si="0"/>
        <v>0</v>
      </c>
      <c r="L21">
        <f t="shared" si="1"/>
        <v>16.629200103340551</v>
      </c>
    </row>
    <row r="22" spans="1:12" x14ac:dyDescent="0.2">
      <c r="A22" t="s">
        <v>153</v>
      </c>
      <c r="B22" s="3" t="s">
        <v>69</v>
      </c>
      <c r="C22">
        <v>1713</v>
      </c>
      <c r="D22" t="s">
        <v>1</v>
      </c>
      <c r="E22">
        <v>33.381343664013897</v>
      </c>
      <c r="G22">
        <f t="shared" ref="G22:H22" si="11">G20</f>
        <v>31.989804998421299</v>
      </c>
      <c r="H22">
        <f t="shared" si="11"/>
        <v>0.15681459267443656</v>
      </c>
      <c r="I22">
        <v>31.989804998421299</v>
      </c>
      <c r="J22">
        <v>15.360604895080749</v>
      </c>
      <c r="K22">
        <f t="shared" si="0"/>
        <v>0</v>
      </c>
      <c r="L22">
        <f t="shared" si="1"/>
        <v>16.629200103340551</v>
      </c>
    </row>
    <row r="23" spans="1:12" x14ac:dyDescent="0.2">
      <c r="A23" t="s">
        <v>153</v>
      </c>
      <c r="B23" s="3" t="s">
        <v>70</v>
      </c>
      <c r="C23">
        <v>1713</v>
      </c>
      <c r="D23" t="s">
        <v>2</v>
      </c>
      <c r="E23">
        <v>15.0740965371216</v>
      </c>
      <c r="F23">
        <v>15.0740965371216</v>
      </c>
      <c r="G23">
        <f>AVERAGE(F23:F25)</f>
        <v>15.360604895080749</v>
      </c>
      <c r="H23">
        <f>STDEV(F23:F25)</f>
        <v>0.40518400555907524</v>
      </c>
      <c r="I23">
        <v>31.989804998421299</v>
      </c>
      <c r="J23">
        <v>15.3606048950807</v>
      </c>
      <c r="K23">
        <f t="shared" si="0"/>
        <v>-16.629200103340551</v>
      </c>
      <c r="L23">
        <f t="shared" si="1"/>
        <v>4.9737991503207013E-14</v>
      </c>
    </row>
    <row r="24" spans="1:12" x14ac:dyDescent="0.2">
      <c r="A24" t="s">
        <v>153</v>
      </c>
      <c r="B24" s="3" t="s">
        <v>71</v>
      </c>
      <c r="C24">
        <v>1713</v>
      </c>
      <c r="D24" t="s">
        <v>2</v>
      </c>
      <c r="E24">
        <v>15.647113253039899</v>
      </c>
      <c r="F24">
        <v>15.647113253039899</v>
      </c>
      <c r="G24">
        <f t="shared" ref="G24:H25" si="12">G23</f>
        <v>15.360604895080749</v>
      </c>
      <c r="H24">
        <f t="shared" si="12"/>
        <v>0.40518400555907524</v>
      </c>
      <c r="I24">
        <v>31.989804998421299</v>
      </c>
      <c r="J24">
        <v>15.3606048950807</v>
      </c>
      <c r="K24">
        <f t="shared" si="0"/>
        <v>-16.629200103340551</v>
      </c>
      <c r="L24">
        <f t="shared" si="1"/>
        <v>4.9737991503207013E-14</v>
      </c>
    </row>
    <row r="25" spans="1:12" x14ac:dyDescent="0.2">
      <c r="A25" t="s">
        <v>153</v>
      </c>
      <c r="B25" s="3" t="s">
        <v>72</v>
      </c>
      <c r="C25">
        <v>1713</v>
      </c>
      <c r="D25" t="s">
        <v>2</v>
      </c>
      <c r="E25">
        <v>23.457521140852499</v>
      </c>
      <c r="G25">
        <f t="shared" si="12"/>
        <v>15.360604895080749</v>
      </c>
      <c r="H25">
        <f t="shared" ref="H25" si="13">H23</f>
        <v>0.40518400555907524</v>
      </c>
      <c r="I25">
        <v>31.989804998421299</v>
      </c>
      <c r="J25">
        <v>15.3606048950807</v>
      </c>
      <c r="K25">
        <f t="shared" si="0"/>
        <v>-16.629200103340551</v>
      </c>
      <c r="L25">
        <f t="shared" si="1"/>
        <v>4.9737991503207013E-14</v>
      </c>
    </row>
    <row r="26" spans="1:12" x14ac:dyDescent="0.2">
      <c r="A26" t="s">
        <v>153</v>
      </c>
      <c r="B26" s="3" t="s">
        <v>73</v>
      </c>
      <c r="C26">
        <v>1713</v>
      </c>
      <c r="D26" t="s">
        <v>10</v>
      </c>
      <c r="E26">
        <v>33.344495524002099</v>
      </c>
      <c r="G26">
        <f>AVERAGE(F26:F28)</f>
        <v>35.756203419426498</v>
      </c>
      <c r="H26">
        <f>STDEV(F26:F28)</f>
        <v>0.42145504869168765</v>
      </c>
      <c r="I26">
        <v>31.989804998421299</v>
      </c>
      <c r="J26">
        <v>15.3606048950807</v>
      </c>
      <c r="K26">
        <f t="shared" si="0"/>
        <v>3.7663984210051993</v>
      </c>
      <c r="L26">
        <f t="shared" si="1"/>
        <v>20.3955985243458</v>
      </c>
    </row>
    <row r="27" spans="1:12" x14ac:dyDescent="0.2">
      <c r="A27" t="s">
        <v>153</v>
      </c>
      <c r="B27" s="3" t="s">
        <v>74</v>
      </c>
      <c r="C27">
        <v>1713</v>
      </c>
      <c r="D27" t="s">
        <v>10</v>
      </c>
      <c r="E27">
        <v>35.458189696531299</v>
      </c>
      <c r="F27">
        <v>35.458189696531299</v>
      </c>
      <c r="G27">
        <f t="shared" ref="G27:H27" si="14">G26</f>
        <v>35.756203419426498</v>
      </c>
      <c r="H27">
        <f t="shared" si="14"/>
        <v>0.42145504869168765</v>
      </c>
      <c r="I27">
        <v>31.989804998421299</v>
      </c>
      <c r="J27">
        <v>15.3606048950807</v>
      </c>
      <c r="K27">
        <f t="shared" si="0"/>
        <v>3.7663984210051993</v>
      </c>
      <c r="L27">
        <f t="shared" si="1"/>
        <v>20.3955985243458</v>
      </c>
    </row>
    <row r="28" spans="1:12" x14ac:dyDescent="0.2">
      <c r="A28" t="s">
        <v>153</v>
      </c>
      <c r="B28" s="3" t="s">
        <v>75</v>
      </c>
      <c r="C28">
        <v>1713</v>
      </c>
      <c r="D28" t="s">
        <v>10</v>
      </c>
      <c r="E28">
        <v>36.054217142321697</v>
      </c>
      <c r="F28">
        <v>36.054217142321697</v>
      </c>
      <c r="G28">
        <f t="shared" ref="G28:H28" si="15">G26</f>
        <v>35.756203419426498</v>
      </c>
      <c r="H28">
        <f t="shared" si="15"/>
        <v>0.42145504869168765</v>
      </c>
      <c r="I28">
        <v>31.989804998421299</v>
      </c>
      <c r="J28">
        <v>15.3606048950807</v>
      </c>
      <c r="K28">
        <f t="shared" si="0"/>
        <v>3.7663984210051993</v>
      </c>
      <c r="L28">
        <f t="shared" si="1"/>
        <v>20.3955985243458</v>
      </c>
    </row>
    <row r="29" spans="1:12" x14ac:dyDescent="0.2">
      <c r="A29" t="s">
        <v>153</v>
      </c>
      <c r="B29" s="3" t="s">
        <v>76</v>
      </c>
      <c r="C29">
        <v>1713</v>
      </c>
      <c r="D29" t="s">
        <v>13</v>
      </c>
      <c r="E29">
        <v>34.714931334990403</v>
      </c>
      <c r="F29">
        <v>34.714931334990403</v>
      </c>
      <c r="G29">
        <f>AVERAGE(F29:F31)</f>
        <v>34.903483259115447</v>
      </c>
      <c r="H29">
        <f>STDEV(F29:F31)</f>
        <v>0.26665268830918437</v>
      </c>
      <c r="I29">
        <v>31.989804998421299</v>
      </c>
      <c r="J29">
        <v>15.3606048950807</v>
      </c>
      <c r="K29">
        <f t="shared" si="0"/>
        <v>2.913678260694148</v>
      </c>
      <c r="L29">
        <f t="shared" si="1"/>
        <v>19.542878364034749</v>
      </c>
    </row>
    <row r="30" spans="1:12" x14ac:dyDescent="0.2">
      <c r="A30" t="s">
        <v>153</v>
      </c>
      <c r="B30" s="3" t="s">
        <v>77</v>
      </c>
      <c r="C30">
        <v>1713</v>
      </c>
      <c r="D30" t="s">
        <v>13</v>
      </c>
      <c r="E30">
        <v>38.278098221225903</v>
      </c>
      <c r="G30">
        <f t="shared" ref="G30:H31" si="16">G29</f>
        <v>34.903483259115447</v>
      </c>
      <c r="H30">
        <f t="shared" si="16"/>
        <v>0.26665268830918437</v>
      </c>
      <c r="I30">
        <v>31.989804998421299</v>
      </c>
      <c r="J30">
        <v>15.3606048950807</v>
      </c>
      <c r="K30">
        <f t="shared" si="0"/>
        <v>2.913678260694148</v>
      </c>
      <c r="L30">
        <f t="shared" si="1"/>
        <v>19.542878364034749</v>
      </c>
    </row>
    <row r="31" spans="1:12" x14ac:dyDescent="0.2">
      <c r="A31" t="s">
        <v>153</v>
      </c>
      <c r="B31" s="3" t="s">
        <v>78</v>
      </c>
      <c r="C31">
        <v>1713</v>
      </c>
      <c r="D31" t="s">
        <v>13</v>
      </c>
      <c r="E31">
        <v>35.092035183240498</v>
      </c>
      <c r="F31">
        <v>35.092035183240498</v>
      </c>
      <c r="G31">
        <f t="shared" si="16"/>
        <v>34.903483259115447</v>
      </c>
      <c r="H31">
        <f t="shared" ref="H31" si="17">H29</f>
        <v>0.26665268830918437</v>
      </c>
      <c r="I31">
        <v>31.989804998421299</v>
      </c>
      <c r="J31">
        <v>15.3606048950807</v>
      </c>
      <c r="K31">
        <f t="shared" si="0"/>
        <v>2.913678260694148</v>
      </c>
      <c r="L31">
        <f t="shared" si="1"/>
        <v>19.542878364034749</v>
      </c>
    </row>
    <row r="32" spans="1:12" x14ac:dyDescent="0.2">
      <c r="A32" t="s">
        <v>153</v>
      </c>
      <c r="B32" s="3" t="s">
        <v>79</v>
      </c>
      <c r="C32">
        <v>1713</v>
      </c>
      <c r="D32" t="s">
        <v>4</v>
      </c>
      <c r="E32">
        <v>33.738843434333297</v>
      </c>
      <c r="G32" t="e">
        <f>AVERAGE(F32:F34)</f>
        <v>#DIV/0!</v>
      </c>
      <c r="H32" t="e">
        <f>STDEV(F32:F34)</f>
        <v>#DIV/0!</v>
      </c>
      <c r="I32">
        <v>31.989804998421299</v>
      </c>
      <c r="J32">
        <v>15.3606048950807</v>
      </c>
      <c r="K32" t="e">
        <f t="shared" si="0"/>
        <v>#DIV/0!</v>
      </c>
      <c r="L32" t="e">
        <f t="shared" si="1"/>
        <v>#DIV/0!</v>
      </c>
    </row>
    <row r="33" spans="1:12" x14ac:dyDescent="0.2">
      <c r="A33" t="s">
        <v>153</v>
      </c>
      <c r="B33" s="3" t="s">
        <v>80</v>
      </c>
      <c r="C33">
        <v>1713</v>
      </c>
      <c r="D33" t="s">
        <v>4</v>
      </c>
      <c r="E33">
        <v>35.022586551153701</v>
      </c>
      <c r="G33" t="e">
        <f t="shared" ref="G33:H33" si="18">G32</f>
        <v>#DIV/0!</v>
      </c>
      <c r="H33" t="e">
        <f t="shared" si="18"/>
        <v>#DIV/0!</v>
      </c>
      <c r="I33">
        <v>31.989804998421299</v>
      </c>
      <c r="J33">
        <v>15.3606048950807</v>
      </c>
      <c r="K33" t="e">
        <f t="shared" si="0"/>
        <v>#DIV/0!</v>
      </c>
      <c r="L33" t="e">
        <f t="shared" si="1"/>
        <v>#DIV/0!</v>
      </c>
    </row>
    <row r="34" spans="1:12" x14ac:dyDescent="0.2">
      <c r="A34" t="s">
        <v>153</v>
      </c>
      <c r="B34" s="3" t="s">
        <v>81</v>
      </c>
      <c r="C34">
        <v>1713</v>
      </c>
      <c r="D34" t="s">
        <v>4</v>
      </c>
      <c r="E34">
        <v>36.5300657104709</v>
      </c>
      <c r="G34" t="e">
        <f t="shared" ref="G34:H34" si="19">G32</f>
        <v>#DIV/0!</v>
      </c>
      <c r="H34" t="e">
        <f t="shared" si="19"/>
        <v>#DIV/0!</v>
      </c>
      <c r="I34">
        <v>31.989804998421299</v>
      </c>
      <c r="J34">
        <v>15.3606048950807</v>
      </c>
      <c r="K34" t="e">
        <f t="shared" si="0"/>
        <v>#DIV/0!</v>
      </c>
      <c r="L34" t="e">
        <f t="shared" si="1"/>
        <v>#DIV/0!</v>
      </c>
    </row>
    <row r="35" spans="1:12" x14ac:dyDescent="0.2">
      <c r="A35" t="s">
        <v>153</v>
      </c>
      <c r="B35" s="3" t="s">
        <v>82</v>
      </c>
      <c r="C35">
        <v>1713</v>
      </c>
      <c r="D35" t="s">
        <v>12</v>
      </c>
      <c r="E35">
        <v>33.426396770887202</v>
      </c>
      <c r="F35">
        <v>33.426396770887202</v>
      </c>
      <c r="G35">
        <f>AVERAGE(F35:F37)</f>
        <v>33.15523690098405</v>
      </c>
      <c r="H35">
        <f>STDEV(F35:F37)</f>
        <v>0.3834779655883605</v>
      </c>
      <c r="I35">
        <v>31.989804998421299</v>
      </c>
      <c r="J35">
        <v>15.3606048950807</v>
      </c>
      <c r="K35">
        <f t="shared" si="0"/>
        <v>1.1654319025627515</v>
      </c>
      <c r="L35">
        <f t="shared" si="1"/>
        <v>17.794632005903352</v>
      </c>
    </row>
    <row r="36" spans="1:12" x14ac:dyDescent="0.2">
      <c r="A36" t="s">
        <v>153</v>
      </c>
      <c r="B36" s="3" t="s">
        <v>83</v>
      </c>
      <c r="C36">
        <v>1713</v>
      </c>
      <c r="D36" t="s">
        <v>12</v>
      </c>
      <c r="E36">
        <v>32.884077031080899</v>
      </c>
      <c r="F36">
        <v>32.884077031080899</v>
      </c>
      <c r="G36">
        <f t="shared" ref="G36:H37" si="20">G35</f>
        <v>33.15523690098405</v>
      </c>
      <c r="H36">
        <f t="shared" si="20"/>
        <v>0.3834779655883605</v>
      </c>
      <c r="I36">
        <v>31.989804998421299</v>
      </c>
      <c r="J36">
        <v>15.3606048950807</v>
      </c>
      <c r="K36">
        <f t="shared" si="0"/>
        <v>1.1654319025627515</v>
      </c>
      <c r="L36">
        <f t="shared" si="1"/>
        <v>17.794632005903352</v>
      </c>
    </row>
    <row r="37" spans="1:12" x14ac:dyDescent="0.2">
      <c r="A37" t="s">
        <v>153</v>
      </c>
      <c r="B37" s="3" t="s">
        <v>84</v>
      </c>
      <c r="C37">
        <v>1713</v>
      </c>
      <c r="D37" t="s">
        <v>12</v>
      </c>
      <c r="E37" t="s">
        <v>155</v>
      </c>
      <c r="F37" t="s">
        <v>155</v>
      </c>
      <c r="G37">
        <f t="shared" si="20"/>
        <v>33.15523690098405</v>
      </c>
      <c r="H37">
        <f t="shared" ref="H37" si="21">H35</f>
        <v>0.3834779655883605</v>
      </c>
      <c r="I37">
        <v>31.989804998421299</v>
      </c>
      <c r="J37">
        <v>15.3606048950807</v>
      </c>
      <c r="K37">
        <f t="shared" si="0"/>
        <v>1.1654319025627515</v>
      </c>
      <c r="L37">
        <f t="shared" si="1"/>
        <v>17.794632005903352</v>
      </c>
    </row>
    <row r="38" spans="1:12" x14ac:dyDescent="0.2">
      <c r="A38" t="s">
        <v>153</v>
      </c>
      <c r="B38" s="3" t="s">
        <v>85</v>
      </c>
      <c r="C38">
        <v>1713</v>
      </c>
      <c r="D38" t="s">
        <v>3</v>
      </c>
      <c r="E38">
        <v>37.640034269934802</v>
      </c>
      <c r="G38" t="e">
        <f>AVERAGE(F38:F40)</f>
        <v>#DIV/0!</v>
      </c>
      <c r="H38" t="e">
        <f>STDEV(F38:F40)</f>
        <v>#DIV/0!</v>
      </c>
      <c r="I38">
        <v>31.989804998421299</v>
      </c>
      <c r="J38">
        <v>15.3606048950807</v>
      </c>
      <c r="K38" t="e">
        <f t="shared" si="0"/>
        <v>#DIV/0!</v>
      </c>
      <c r="L38" t="e">
        <f t="shared" si="1"/>
        <v>#DIV/0!</v>
      </c>
    </row>
    <row r="39" spans="1:12" x14ac:dyDescent="0.2">
      <c r="A39" t="s">
        <v>153</v>
      </c>
      <c r="B39" s="3" t="s">
        <v>86</v>
      </c>
      <c r="C39">
        <v>1713</v>
      </c>
      <c r="D39" t="s">
        <v>3</v>
      </c>
      <c r="E39">
        <v>33.079032227938299</v>
      </c>
      <c r="G39" t="e">
        <f t="shared" ref="G39:H39" si="22">G38</f>
        <v>#DIV/0!</v>
      </c>
      <c r="H39" t="e">
        <f t="shared" si="22"/>
        <v>#DIV/0!</v>
      </c>
      <c r="I39">
        <v>31.989804998421299</v>
      </c>
      <c r="J39">
        <v>15.3606048950807</v>
      </c>
      <c r="K39" t="e">
        <f t="shared" si="0"/>
        <v>#DIV/0!</v>
      </c>
      <c r="L39" t="e">
        <f t="shared" si="1"/>
        <v>#DIV/0!</v>
      </c>
    </row>
    <row r="40" spans="1:12" x14ac:dyDescent="0.2">
      <c r="A40" t="s">
        <v>153</v>
      </c>
      <c r="B40" s="3" t="s">
        <v>87</v>
      </c>
      <c r="C40">
        <v>1713</v>
      </c>
      <c r="D40" t="s">
        <v>3</v>
      </c>
      <c r="E40">
        <v>34.215884257411901</v>
      </c>
      <c r="G40" t="e">
        <f t="shared" ref="G40:H40" si="23">G38</f>
        <v>#DIV/0!</v>
      </c>
      <c r="H40" t="e">
        <f t="shared" si="23"/>
        <v>#DIV/0!</v>
      </c>
      <c r="I40">
        <v>31.989804998421299</v>
      </c>
      <c r="J40">
        <v>15.3606048950807</v>
      </c>
      <c r="K40" t="e">
        <f t="shared" si="0"/>
        <v>#DIV/0!</v>
      </c>
      <c r="L40" t="e">
        <f t="shared" si="1"/>
        <v>#DIV/0!</v>
      </c>
    </row>
    <row r="41" spans="1:12" x14ac:dyDescent="0.2">
      <c r="A41" t="s">
        <v>153</v>
      </c>
      <c r="B41" s="3" t="s">
        <v>88</v>
      </c>
      <c r="C41">
        <v>1713</v>
      </c>
      <c r="D41" t="s">
        <v>11</v>
      </c>
      <c r="E41">
        <v>32.857934409559199</v>
      </c>
      <c r="G41">
        <f>AVERAGE(F41:F43)</f>
        <v>31.734558974280446</v>
      </c>
      <c r="H41">
        <f>STDEV(F41:F43)</f>
        <v>0.41853985166247637</v>
      </c>
      <c r="I41">
        <v>31.989804998421299</v>
      </c>
      <c r="J41">
        <v>15.3606048950807</v>
      </c>
      <c r="K41">
        <f t="shared" si="0"/>
        <v>-0.25524602414085251</v>
      </c>
      <c r="L41">
        <f t="shared" si="1"/>
        <v>16.373954079199748</v>
      </c>
    </row>
    <row r="42" spans="1:12" x14ac:dyDescent="0.2">
      <c r="A42" t="s">
        <v>153</v>
      </c>
      <c r="B42" s="3" t="s">
        <v>89</v>
      </c>
      <c r="C42">
        <v>1713</v>
      </c>
      <c r="D42" t="s">
        <v>11</v>
      </c>
      <c r="E42">
        <v>31.438606606973099</v>
      </c>
      <c r="F42">
        <v>31.438606606973099</v>
      </c>
      <c r="G42">
        <f t="shared" ref="G42:H43" si="24">G41</f>
        <v>31.734558974280446</v>
      </c>
      <c r="H42">
        <f t="shared" si="24"/>
        <v>0.41853985166247637</v>
      </c>
      <c r="I42">
        <v>31.989804998421299</v>
      </c>
      <c r="J42">
        <v>15.3606048950807</v>
      </c>
      <c r="K42">
        <f t="shared" si="0"/>
        <v>-0.25524602414085251</v>
      </c>
      <c r="L42">
        <f t="shared" si="1"/>
        <v>16.373954079199748</v>
      </c>
    </row>
    <row r="43" spans="1:12" x14ac:dyDescent="0.2">
      <c r="A43" t="s">
        <v>153</v>
      </c>
      <c r="B43" s="3" t="s">
        <v>90</v>
      </c>
      <c r="C43">
        <v>1713</v>
      </c>
      <c r="D43" t="s">
        <v>11</v>
      </c>
      <c r="E43">
        <v>32.030511341587797</v>
      </c>
      <c r="F43">
        <v>32.030511341587797</v>
      </c>
      <c r="G43">
        <f t="shared" si="24"/>
        <v>31.734558974280446</v>
      </c>
      <c r="H43">
        <f t="shared" ref="H43" si="25">H41</f>
        <v>0.41853985166247637</v>
      </c>
      <c r="I43">
        <v>31.989804998421299</v>
      </c>
      <c r="J43">
        <v>15.3606048950807</v>
      </c>
      <c r="K43">
        <f t="shared" si="0"/>
        <v>-0.25524602414085251</v>
      </c>
      <c r="L43">
        <f t="shared" si="1"/>
        <v>16.373954079199748</v>
      </c>
    </row>
    <row r="44" spans="1:12" x14ac:dyDescent="0.2">
      <c r="A44" t="s">
        <v>153</v>
      </c>
      <c r="B44" s="3" t="s">
        <v>91</v>
      </c>
      <c r="C44">
        <v>1708</v>
      </c>
      <c r="D44" s="3" t="s">
        <v>1</v>
      </c>
      <c r="E44">
        <v>32.079579642728298</v>
      </c>
      <c r="F44">
        <v>32.079579642728298</v>
      </c>
      <c r="G44">
        <f>AVERAGE(F44:F46)</f>
        <v>32.161491319913495</v>
      </c>
      <c r="H44">
        <f>STDEV(F44:F46)</f>
        <v>0.11584060479203696</v>
      </c>
      <c r="I44">
        <f>G44</f>
        <v>32.161491319913495</v>
      </c>
      <c r="J44">
        <f>G47</f>
        <v>17.537910047684949</v>
      </c>
      <c r="K44">
        <f t="shared" si="0"/>
        <v>0</v>
      </c>
      <c r="L44">
        <f t="shared" si="1"/>
        <v>14.623581272228545</v>
      </c>
    </row>
    <row r="45" spans="1:12" x14ac:dyDescent="0.2">
      <c r="A45" t="s">
        <v>153</v>
      </c>
      <c r="B45" s="3" t="s">
        <v>92</v>
      </c>
      <c r="C45">
        <v>1708</v>
      </c>
      <c r="D45" s="3" t="s">
        <v>1</v>
      </c>
      <c r="E45">
        <v>31.263747102938499</v>
      </c>
      <c r="G45">
        <f t="shared" ref="G45:H45" si="26">G44</f>
        <v>32.161491319913495</v>
      </c>
      <c r="H45">
        <f t="shared" si="26"/>
        <v>0.11584060479203696</v>
      </c>
      <c r="I45">
        <v>32.161491319913495</v>
      </c>
      <c r="J45">
        <v>17.537910047684949</v>
      </c>
      <c r="K45">
        <f t="shared" si="0"/>
        <v>0</v>
      </c>
      <c r="L45">
        <f t="shared" si="1"/>
        <v>14.623581272228545</v>
      </c>
    </row>
    <row r="46" spans="1:12" x14ac:dyDescent="0.2">
      <c r="A46" t="s">
        <v>153</v>
      </c>
      <c r="B46" s="3" t="s">
        <v>93</v>
      </c>
      <c r="C46">
        <v>1708</v>
      </c>
      <c r="D46" s="3" t="s">
        <v>1</v>
      </c>
      <c r="E46">
        <v>32.243402997098698</v>
      </c>
      <c r="F46">
        <v>32.243402997098698</v>
      </c>
      <c r="G46">
        <f t="shared" ref="G46:H46" si="27">G44</f>
        <v>32.161491319913495</v>
      </c>
      <c r="H46">
        <f t="shared" si="27"/>
        <v>0.11584060479203696</v>
      </c>
      <c r="I46">
        <v>32.161491319913495</v>
      </c>
      <c r="J46">
        <v>17.537910047684949</v>
      </c>
      <c r="K46">
        <f t="shared" si="0"/>
        <v>0</v>
      </c>
      <c r="L46">
        <f t="shared" si="1"/>
        <v>14.623581272228545</v>
      </c>
    </row>
    <row r="47" spans="1:12" x14ac:dyDescent="0.2">
      <c r="A47" t="s">
        <v>153</v>
      </c>
      <c r="B47" s="3" t="s">
        <v>94</v>
      </c>
      <c r="C47">
        <v>1708</v>
      </c>
      <c r="D47" s="3" t="s">
        <v>2</v>
      </c>
      <c r="E47">
        <v>17.4482486719665</v>
      </c>
      <c r="F47">
        <v>17.4482486719665</v>
      </c>
      <c r="G47">
        <f>AVERAGE(F47:F49)</f>
        <v>17.537910047684949</v>
      </c>
      <c r="H47">
        <f>STDEV(F47:F49)</f>
        <v>0.12680033356206125</v>
      </c>
      <c r="I47">
        <v>32.161491319913502</v>
      </c>
      <c r="J47">
        <v>17.5379100476849</v>
      </c>
      <c r="K47">
        <f t="shared" si="0"/>
        <v>-14.623581272228552</v>
      </c>
      <c r="L47">
        <f t="shared" si="1"/>
        <v>4.9737991503207013E-14</v>
      </c>
    </row>
    <row r="48" spans="1:12" x14ac:dyDescent="0.2">
      <c r="A48" t="s">
        <v>153</v>
      </c>
      <c r="B48" s="3" t="s">
        <v>95</v>
      </c>
      <c r="C48">
        <v>1708</v>
      </c>
      <c r="D48" s="3" t="s">
        <v>2</v>
      </c>
      <c r="E48">
        <v>17.627571423403399</v>
      </c>
      <c r="F48">
        <v>17.627571423403399</v>
      </c>
      <c r="G48">
        <f t="shared" ref="G48:H49" si="28">G47</f>
        <v>17.537910047684949</v>
      </c>
      <c r="H48">
        <f t="shared" si="28"/>
        <v>0.12680033356206125</v>
      </c>
      <c r="I48">
        <v>32.161491319913502</v>
      </c>
      <c r="J48">
        <v>17.5379100476849</v>
      </c>
      <c r="K48">
        <f t="shared" si="0"/>
        <v>-14.623581272228552</v>
      </c>
      <c r="L48">
        <f t="shared" si="1"/>
        <v>4.9737991503207013E-14</v>
      </c>
    </row>
    <row r="49" spans="1:12" x14ac:dyDescent="0.2">
      <c r="A49" t="s">
        <v>153</v>
      </c>
      <c r="B49" s="3" t="s">
        <v>96</v>
      </c>
      <c r="C49">
        <v>1708</v>
      </c>
      <c r="D49" s="3" t="s">
        <v>2</v>
      </c>
      <c r="E49">
        <v>22.1027744204033</v>
      </c>
      <c r="G49">
        <f t="shared" si="28"/>
        <v>17.537910047684949</v>
      </c>
      <c r="H49">
        <f t="shared" ref="H49" si="29">H47</f>
        <v>0.12680033356206125</v>
      </c>
      <c r="I49">
        <v>32.161491319913502</v>
      </c>
      <c r="J49">
        <v>17.5379100476849</v>
      </c>
      <c r="K49">
        <f t="shared" si="0"/>
        <v>-14.623581272228552</v>
      </c>
      <c r="L49">
        <f t="shared" si="1"/>
        <v>4.9737991503207013E-14</v>
      </c>
    </row>
    <row r="50" spans="1:12" x14ac:dyDescent="0.2">
      <c r="A50" t="s">
        <v>153</v>
      </c>
      <c r="B50" s="3" t="s">
        <v>97</v>
      </c>
      <c r="C50">
        <v>1708</v>
      </c>
      <c r="D50" s="3" t="s">
        <v>10</v>
      </c>
      <c r="E50">
        <v>35.222031454580197</v>
      </c>
      <c r="F50">
        <v>35.222031454580197</v>
      </c>
      <c r="G50">
        <f>AVERAGE(F50:F52)</f>
        <v>35.393728387583849</v>
      </c>
      <c r="H50">
        <f>STDEV(F50:F52)</f>
        <v>0.24281613127162929</v>
      </c>
      <c r="I50">
        <v>32.161491319913502</v>
      </c>
      <c r="J50">
        <v>17.5379100476849</v>
      </c>
      <c r="K50">
        <f t="shared" si="0"/>
        <v>3.2322370676703471</v>
      </c>
      <c r="L50">
        <f t="shared" si="1"/>
        <v>17.855818339898949</v>
      </c>
    </row>
    <row r="51" spans="1:12" x14ac:dyDescent="0.2">
      <c r="A51" t="s">
        <v>153</v>
      </c>
      <c r="B51" s="3" t="s">
        <v>98</v>
      </c>
      <c r="C51">
        <v>1708</v>
      </c>
      <c r="D51" s="3" t="s">
        <v>10</v>
      </c>
      <c r="E51">
        <v>35.565425320587501</v>
      </c>
      <c r="F51">
        <v>35.565425320587501</v>
      </c>
      <c r="G51">
        <f t="shared" ref="G51:H51" si="30">G50</f>
        <v>35.393728387583849</v>
      </c>
      <c r="H51">
        <f t="shared" si="30"/>
        <v>0.24281613127162929</v>
      </c>
      <c r="I51">
        <v>32.161491319913502</v>
      </c>
      <c r="J51">
        <v>17.5379100476849</v>
      </c>
      <c r="K51">
        <f t="shared" si="0"/>
        <v>3.2322370676703471</v>
      </c>
      <c r="L51">
        <f t="shared" si="1"/>
        <v>17.855818339898949</v>
      </c>
    </row>
    <row r="52" spans="1:12" x14ac:dyDescent="0.2">
      <c r="A52" t="s">
        <v>153</v>
      </c>
      <c r="B52" s="3" t="s">
        <v>99</v>
      </c>
      <c r="C52">
        <v>1708</v>
      </c>
      <c r="D52" s="3" t="s">
        <v>10</v>
      </c>
      <c r="E52">
        <v>39.630920590874801</v>
      </c>
      <c r="G52">
        <f t="shared" ref="G52:H52" si="31">G50</f>
        <v>35.393728387583849</v>
      </c>
      <c r="H52">
        <f t="shared" si="31"/>
        <v>0.24281613127162929</v>
      </c>
      <c r="I52">
        <v>32.161491319913502</v>
      </c>
      <c r="J52">
        <v>17.5379100476849</v>
      </c>
      <c r="K52">
        <f t="shared" si="0"/>
        <v>3.2322370676703471</v>
      </c>
      <c r="L52">
        <f t="shared" si="1"/>
        <v>17.855818339898949</v>
      </c>
    </row>
    <row r="53" spans="1:12" x14ac:dyDescent="0.2">
      <c r="A53" t="s">
        <v>153</v>
      </c>
      <c r="B53" s="3" t="s">
        <v>100</v>
      </c>
      <c r="C53">
        <v>1708</v>
      </c>
      <c r="D53" s="3" t="s">
        <v>13</v>
      </c>
      <c r="E53">
        <v>34.570970646154201</v>
      </c>
      <c r="G53" t="e">
        <f>AVERAGE(F53:F55)</f>
        <v>#DIV/0!</v>
      </c>
      <c r="H53" t="e">
        <f>STDEV(F53:F55)</f>
        <v>#DIV/0!</v>
      </c>
      <c r="I53">
        <v>32.161491319913502</v>
      </c>
      <c r="J53">
        <v>17.5379100476849</v>
      </c>
      <c r="K53" t="e">
        <f t="shared" si="0"/>
        <v>#DIV/0!</v>
      </c>
      <c r="L53" t="e">
        <f t="shared" si="1"/>
        <v>#DIV/0!</v>
      </c>
    </row>
    <row r="54" spans="1:12" x14ac:dyDescent="0.2">
      <c r="A54" t="s">
        <v>153</v>
      </c>
      <c r="B54" s="3" t="s">
        <v>101</v>
      </c>
      <c r="C54">
        <v>1708</v>
      </c>
      <c r="D54" s="3" t="s">
        <v>13</v>
      </c>
      <c r="E54">
        <v>39.893899317437601</v>
      </c>
      <c r="G54" t="e">
        <f t="shared" ref="G54:H55" si="32">G53</f>
        <v>#DIV/0!</v>
      </c>
      <c r="H54" t="e">
        <f t="shared" si="32"/>
        <v>#DIV/0!</v>
      </c>
      <c r="I54">
        <v>32.161491319913502</v>
      </c>
      <c r="J54">
        <v>17.5379100476849</v>
      </c>
      <c r="K54" t="e">
        <f t="shared" si="0"/>
        <v>#DIV/0!</v>
      </c>
      <c r="L54" t="e">
        <f t="shared" si="1"/>
        <v>#DIV/0!</v>
      </c>
    </row>
    <row r="55" spans="1:12" x14ac:dyDescent="0.2">
      <c r="A55" t="s">
        <v>153</v>
      </c>
      <c r="B55" s="3" t="s">
        <v>102</v>
      </c>
      <c r="C55">
        <v>1708</v>
      </c>
      <c r="D55" s="3" t="s">
        <v>13</v>
      </c>
      <c r="E55" t="s">
        <v>155</v>
      </c>
      <c r="G55" t="e">
        <f t="shared" si="32"/>
        <v>#DIV/0!</v>
      </c>
      <c r="H55" t="e">
        <f t="shared" ref="H55" si="33">H53</f>
        <v>#DIV/0!</v>
      </c>
      <c r="I55">
        <v>32.161491319913502</v>
      </c>
      <c r="J55">
        <v>17.5379100476849</v>
      </c>
      <c r="K55" t="e">
        <f t="shared" si="0"/>
        <v>#DIV/0!</v>
      </c>
      <c r="L55" t="e">
        <f t="shared" si="1"/>
        <v>#DIV/0!</v>
      </c>
    </row>
    <row r="56" spans="1:12" x14ac:dyDescent="0.2">
      <c r="A56" t="s">
        <v>153</v>
      </c>
      <c r="B56" s="3" t="s">
        <v>103</v>
      </c>
      <c r="C56">
        <v>1708</v>
      </c>
      <c r="D56" t="s">
        <v>4</v>
      </c>
      <c r="E56">
        <v>33.997115461348599</v>
      </c>
      <c r="F56">
        <v>33.997115461348599</v>
      </c>
      <c r="G56">
        <f>AVERAGE(F56:F58)</f>
        <v>34.031067790189098</v>
      </c>
      <c r="H56">
        <f>STDEV(F56:F58)</f>
        <v>4.8015843920384917E-2</v>
      </c>
      <c r="I56">
        <v>32.161491319913502</v>
      </c>
      <c r="J56">
        <v>17.5379100476849</v>
      </c>
      <c r="K56">
        <f t="shared" si="0"/>
        <v>1.8695764702755966</v>
      </c>
      <c r="L56">
        <f t="shared" si="1"/>
        <v>16.493157742504199</v>
      </c>
    </row>
    <row r="57" spans="1:12" x14ac:dyDescent="0.2">
      <c r="A57" t="s">
        <v>153</v>
      </c>
      <c r="B57" s="3" t="s">
        <v>104</v>
      </c>
      <c r="C57">
        <v>1708</v>
      </c>
      <c r="D57" t="s">
        <v>4</v>
      </c>
      <c r="E57">
        <v>35.062813371268497</v>
      </c>
      <c r="G57">
        <f t="shared" ref="G57:H57" si="34">G56</f>
        <v>34.031067790189098</v>
      </c>
      <c r="H57">
        <f t="shared" si="34"/>
        <v>4.8015843920384917E-2</v>
      </c>
      <c r="I57">
        <v>32.161491319913502</v>
      </c>
      <c r="J57">
        <v>17.5379100476849</v>
      </c>
      <c r="K57">
        <f t="shared" si="0"/>
        <v>1.8695764702755966</v>
      </c>
      <c r="L57">
        <f t="shared" si="1"/>
        <v>16.493157742504199</v>
      </c>
    </row>
    <row r="58" spans="1:12" x14ac:dyDescent="0.2">
      <c r="A58" t="s">
        <v>153</v>
      </c>
      <c r="B58" s="3" t="s">
        <v>105</v>
      </c>
      <c r="C58">
        <v>1708</v>
      </c>
      <c r="D58" t="s">
        <v>4</v>
      </c>
      <c r="E58">
        <v>34.065020119029597</v>
      </c>
      <c r="F58">
        <v>34.065020119029597</v>
      </c>
      <c r="G58">
        <f t="shared" ref="G58:H58" si="35">G56</f>
        <v>34.031067790189098</v>
      </c>
      <c r="H58">
        <f t="shared" si="35"/>
        <v>4.8015843920384917E-2</v>
      </c>
      <c r="I58">
        <v>32.161491319913502</v>
      </c>
      <c r="J58">
        <v>17.5379100476849</v>
      </c>
      <c r="K58">
        <f t="shared" si="0"/>
        <v>1.8695764702755966</v>
      </c>
      <c r="L58">
        <f t="shared" si="1"/>
        <v>16.493157742504199</v>
      </c>
    </row>
    <row r="59" spans="1:12" x14ac:dyDescent="0.2">
      <c r="A59" t="s">
        <v>153</v>
      </c>
      <c r="B59" s="3" t="s">
        <v>106</v>
      </c>
      <c r="C59">
        <v>1708</v>
      </c>
      <c r="D59" t="s">
        <v>12</v>
      </c>
      <c r="E59">
        <v>32.513943426811402</v>
      </c>
      <c r="F59">
        <v>32.513943426811402</v>
      </c>
      <c r="G59">
        <f>AVERAGE(F59:F61)</f>
        <v>32.376054216205496</v>
      </c>
      <c r="H59">
        <f>STDEV(F59:F61)</f>
        <v>0.29968652820430708</v>
      </c>
      <c r="I59">
        <v>32.161491319913502</v>
      </c>
      <c r="J59">
        <v>17.5379100476849</v>
      </c>
      <c r="K59">
        <f t="shared" si="0"/>
        <v>0.21456289629199432</v>
      </c>
      <c r="L59">
        <f t="shared" si="1"/>
        <v>14.838144168520596</v>
      </c>
    </row>
    <row r="60" spans="1:12" x14ac:dyDescent="0.2">
      <c r="A60" t="s">
        <v>153</v>
      </c>
      <c r="B60" s="3" t="s">
        <v>107</v>
      </c>
      <c r="C60">
        <v>1708</v>
      </c>
      <c r="D60" t="s">
        <v>12</v>
      </c>
      <c r="E60">
        <v>32.5819767413238</v>
      </c>
      <c r="F60">
        <v>32.5819767413238</v>
      </c>
      <c r="G60">
        <f t="shared" ref="G60:H61" si="36">G59</f>
        <v>32.376054216205496</v>
      </c>
      <c r="H60">
        <f t="shared" si="36"/>
        <v>0.29968652820430708</v>
      </c>
      <c r="I60">
        <v>32.161491319913502</v>
      </c>
      <c r="J60">
        <v>17.5379100476849</v>
      </c>
      <c r="K60">
        <f t="shared" si="0"/>
        <v>0.21456289629199432</v>
      </c>
      <c r="L60">
        <f t="shared" si="1"/>
        <v>14.838144168520596</v>
      </c>
    </row>
    <row r="61" spans="1:12" x14ac:dyDescent="0.2">
      <c r="A61" t="s">
        <v>153</v>
      </c>
      <c r="B61" s="3" t="s">
        <v>108</v>
      </c>
      <c r="C61">
        <v>1708</v>
      </c>
      <c r="D61" t="s">
        <v>12</v>
      </c>
      <c r="E61">
        <v>32.032242480481301</v>
      </c>
      <c r="F61">
        <v>32.032242480481301</v>
      </c>
      <c r="G61">
        <f t="shared" si="36"/>
        <v>32.376054216205496</v>
      </c>
      <c r="H61">
        <f t="shared" ref="H61" si="37">H59</f>
        <v>0.29968652820430708</v>
      </c>
      <c r="I61">
        <v>32.161491319913502</v>
      </c>
      <c r="J61">
        <v>17.5379100476849</v>
      </c>
      <c r="K61">
        <f t="shared" si="0"/>
        <v>0.21456289629199432</v>
      </c>
      <c r="L61">
        <f t="shared" si="1"/>
        <v>14.838144168520596</v>
      </c>
    </row>
    <row r="62" spans="1:12" x14ac:dyDescent="0.2">
      <c r="A62" t="s">
        <v>153</v>
      </c>
      <c r="B62" s="3" t="s">
        <v>109</v>
      </c>
      <c r="C62">
        <v>1708</v>
      </c>
      <c r="D62" t="s">
        <v>14</v>
      </c>
      <c r="E62" t="s">
        <v>155</v>
      </c>
      <c r="G62" t="e">
        <f>AVERAGE(F62:F64)</f>
        <v>#DIV/0!</v>
      </c>
      <c r="H62" t="e">
        <f>STDEV(F62:F64)</f>
        <v>#DIV/0!</v>
      </c>
      <c r="I62">
        <v>32.161491319913502</v>
      </c>
      <c r="J62">
        <v>17.5379100476849</v>
      </c>
      <c r="K62" t="e">
        <f t="shared" si="0"/>
        <v>#DIV/0!</v>
      </c>
      <c r="L62" t="e">
        <f t="shared" si="1"/>
        <v>#DIV/0!</v>
      </c>
    </row>
    <row r="63" spans="1:12" x14ac:dyDescent="0.2">
      <c r="A63" t="s">
        <v>153</v>
      </c>
      <c r="B63" s="3" t="s">
        <v>110</v>
      </c>
      <c r="C63">
        <v>1708</v>
      </c>
      <c r="D63" t="s">
        <v>14</v>
      </c>
      <c r="E63">
        <v>37.080179710007002</v>
      </c>
      <c r="G63" t="e">
        <f t="shared" ref="G63:H63" si="38">G62</f>
        <v>#DIV/0!</v>
      </c>
      <c r="H63" t="e">
        <f t="shared" si="38"/>
        <v>#DIV/0!</v>
      </c>
      <c r="I63">
        <v>32.161491319913502</v>
      </c>
      <c r="J63">
        <v>17.5379100476849</v>
      </c>
      <c r="K63" t="e">
        <f t="shared" si="0"/>
        <v>#DIV/0!</v>
      </c>
      <c r="L63" t="e">
        <f t="shared" si="1"/>
        <v>#DIV/0!</v>
      </c>
    </row>
    <row r="64" spans="1:12" x14ac:dyDescent="0.2">
      <c r="A64" t="s">
        <v>153</v>
      </c>
      <c r="B64" s="3" t="s">
        <v>111</v>
      </c>
      <c r="C64">
        <v>1708</v>
      </c>
      <c r="D64" t="s">
        <v>14</v>
      </c>
      <c r="E64" t="s">
        <v>155</v>
      </c>
      <c r="G64" t="e">
        <f t="shared" ref="G64:H64" si="39">G62</f>
        <v>#DIV/0!</v>
      </c>
      <c r="H64" t="e">
        <f t="shared" si="39"/>
        <v>#DIV/0!</v>
      </c>
      <c r="I64">
        <v>32.161491319913502</v>
      </c>
      <c r="J64">
        <v>17.5379100476849</v>
      </c>
      <c r="K64" t="e">
        <f t="shared" si="0"/>
        <v>#DIV/0!</v>
      </c>
      <c r="L64" t="e">
        <f t="shared" si="1"/>
        <v>#DIV/0!</v>
      </c>
    </row>
    <row r="65" spans="1:12" x14ac:dyDescent="0.2">
      <c r="A65" t="s">
        <v>153</v>
      </c>
      <c r="B65" s="3" t="s">
        <v>112</v>
      </c>
      <c r="C65">
        <v>1708</v>
      </c>
      <c r="D65" t="s">
        <v>6</v>
      </c>
      <c r="E65">
        <v>32.697749831981398</v>
      </c>
      <c r="F65">
        <v>32.697749831981398</v>
      </c>
      <c r="G65">
        <f>AVERAGE(F65:F67)</f>
        <v>32.760031147880063</v>
      </c>
      <c r="H65">
        <f>STDEV(F65:F67)</f>
        <v>0.4088859041798939</v>
      </c>
      <c r="I65">
        <v>32.161491319913502</v>
      </c>
      <c r="J65">
        <v>17.5379100476849</v>
      </c>
      <c r="K65">
        <f t="shared" si="0"/>
        <v>0.59853982796656169</v>
      </c>
      <c r="L65">
        <f t="shared" si="1"/>
        <v>15.222121100195164</v>
      </c>
    </row>
    <row r="66" spans="1:12" x14ac:dyDescent="0.2">
      <c r="A66" t="s">
        <v>153</v>
      </c>
      <c r="B66" s="3" t="s">
        <v>113</v>
      </c>
      <c r="C66">
        <v>1708</v>
      </c>
      <c r="D66" t="s">
        <v>6</v>
      </c>
      <c r="E66">
        <v>32.385859011922697</v>
      </c>
      <c r="F66">
        <v>32.385859011922697</v>
      </c>
      <c r="G66">
        <f t="shared" ref="G66:H67" si="40">G65</f>
        <v>32.760031147880063</v>
      </c>
      <c r="H66">
        <f t="shared" si="40"/>
        <v>0.4088859041798939</v>
      </c>
      <c r="I66">
        <v>32.161491319913502</v>
      </c>
      <c r="J66">
        <v>17.5379100476849</v>
      </c>
      <c r="K66">
        <f t="shared" si="0"/>
        <v>0.59853982796656169</v>
      </c>
      <c r="L66">
        <f t="shared" si="1"/>
        <v>15.222121100195164</v>
      </c>
    </row>
    <row r="67" spans="1:12" x14ac:dyDescent="0.2">
      <c r="A67" t="s">
        <v>153</v>
      </c>
      <c r="B67" s="3" t="s">
        <v>114</v>
      </c>
      <c r="C67">
        <v>1708</v>
      </c>
      <c r="D67" t="s">
        <v>6</v>
      </c>
      <c r="E67">
        <v>33.196484599736102</v>
      </c>
      <c r="F67">
        <v>33.196484599736102</v>
      </c>
      <c r="G67">
        <f t="shared" si="40"/>
        <v>32.760031147880063</v>
      </c>
      <c r="H67">
        <f t="shared" ref="H67" si="41">H65</f>
        <v>0.4088859041798939</v>
      </c>
      <c r="I67">
        <v>32.161491319913502</v>
      </c>
      <c r="J67">
        <v>17.5379100476849</v>
      </c>
      <c r="K67">
        <f t="shared" ref="K67:K97" si="42">G67-I67</f>
        <v>0.59853982796656169</v>
      </c>
      <c r="L67">
        <f t="shared" ref="L67:L97" si="43">G67-J67</f>
        <v>15.222121100195164</v>
      </c>
    </row>
    <row r="68" spans="1:12" x14ac:dyDescent="0.2">
      <c r="A68" t="s">
        <v>153</v>
      </c>
      <c r="B68" s="3" t="s">
        <v>115</v>
      </c>
      <c r="C68">
        <v>1708</v>
      </c>
      <c r="D68" t="s">
        <v>8</v>
      </c>
      <c r="E68">
        <v>33.619907492140101</v>
      </c>
      <c r="G68">
        <f>AVERAGE(F68:F70)</f>
        <v>34.932422007400099</v>
      </c>
      <c r="H68">
        <f>STDEV(F68:F70)</f>
        <v>0.35170973861908034</v>
      </c>
      <c r="I68">
        <v>32.161491319913502</v>
      </c>
      <c r="J68">
        <v>17.5379100476849</v>
      </c>
      <c r="K68">
        <f t="shared" si="42"/>
        <v>2.7709306874865973</v>
      </c>
      <c r="L68">
        <f t="shared" si="43"/>
        <v>17.394511959715199</v>
      </c>
    </row>
    <row r="69" spans="1:12" x14ac:dyDescent="0.2">
      <c r="A69" t="s">
        <v>153</v>
      </c>
      <c r="B69" s="3" t="s">
        <v>116</v>
      </c>
      <c r="C69">
        <v>1708</v>
      </c>
      <c r="D69" t="s">
        <v>8</v>
      </c>
      <c r="E69">
        <v>34.683725666213199</v>
      </c>
      <c r="F69">
        <v>34.683725666213199</v>
      </c>
      <c r="G69">
        <f t="shared" ref="G69:H69" si="44">G68</f>
        <v>34.932422007400099</v>
      </c>
      <c r="H69">
        <f t="shared" si="44"/>
        <v>0.35170973861908034</v>
      </c>
      <c r="I69">
        <v>32.161491319913502</v>
      </c>
      <c r="J69">
        <v>17.5379100476849</v>
      </c>
      <c r="K69">
        <f t="shared" si="42"/>
        <v>2.7709306874865973</v>
      </c>
      <c r="L69">
        <f t="shared" si="43"/>
        <v>17.394511959715199</v>
      </c>
    </row>
    <row r="70" spans="1:12" x14ac:dyDescent="0.2">
      <c r="A70" t="s">
        <v>153</v>
      </c>
      <c r="B70" s="3" t="s">
        <v>117</v>
      </c>
      <c r="C70">
        <v>1708</v>
      </c>
      <c r="D70" t="s">
        <v>8</v>
      </c>
      <c r="E70">
        <v>35.181118348586999</v>
      </c>
      <c r="F70">
        <v>35.181118348586999</v>
      </c>
      <c r="G70">
        <f t="shared" ref="G70:H70" si="45">G68</f>
        <v>34.932422007400099</v>
      </c>
      <c r="H70">
        <f t="shared" si="45"/>
        <v>0.35170973861908034</v>
      </c>
      <c r="I70">
        <v>32.161491319913502</v>
      </c>
      <c r="J70">
        <v>17.5379100476849</v>
      </c>
      <c r="K70">
        <f t="shared" si="42"/>
        <v>2.7709306874865973</v>
      </c>
      <c r="L70">
        <f t="shared" si="43"/>
        <v>17.394511959715199</v>
      </c>
    </row>
    <row r="71" spans="1:12" x14ac:dyDescent="0.2">
      <c r="A71" t="s">
        <v>153</v>
      </c>
      <c r="B71" s="3" t="s">
        <v>118</v>
      </c>
      <c r="C71">
        <v>102</v>
      </c>
      <c r="D71" s="3" t="s">
        <v>1</v>
      </c>
      <c r="E71">
        <v>32.640550789408998</v>
      </c>
      <c r="F71">
        <v>32.640550789408998</v>
      </c>
      <c r="G71">
        <f>AVERAGE(F71:F73)</f>
        <v>32.670457539481902</v>
      </c>
      <c r="H71">
        <f>STDEV(F71:F73)</f>
        <v>4.2294531559598045E-2</v>
      </c>
      <c r="I71">
        <f>G71</f>
        <v>32.670457539481902</v>
      </c>
      <c r="J71">
        <f>G74</f>
        <v>14.959499570611035</v>
      </c>
      <c r="K71">
        <f t="shared" si="42"/>
        <v>0</v>
      </c>
      <c r="L71">
        <f t="shared" si="43"/>
        <v>17.710957968870865</v>
      </c>
    </row>
    <row r="72" spans="1:12" x14ac:dyDescent="0.2">
      <c r="A72" t="s">
        <v>153</v>
      </c>
      <c r="B72" s="3" t="s">
        <v>119</v>
      </c>
      <c r="C72">
        <v>102</v>
      </c>
      <c r="D72" s="3" t="s">
        <v>1</v>
      </c>
      <c r="E72">
        <v>32.700364289554798</v>
      </c>
      <c r="F72">
        <v>32.700364289554798</v>
      </c>
      <c r="G72">
        <f t="shared" ref="G72:H73" si="46">G71</f>
        <v>32.670457539481902</v>
      </c>
      <c r="H72">
        <f t="shared" si="46"/>
        <v>4.2294531559598045E-2</v>
      </c>
      <c r="I72">
        <v>32.670457539481902</v>
      </c>
      <c r="J72">
        <v>14.959499570611035</v>
      </c>
      <c r="K72">
        <f t="shared" si="42"/>
        <v>0</v>
      </c>
      <c r="L72">
        <f t="shared" si="43"/>
        <v>17.710957968870865</v>
      </c>
    </row>
    <row r="73" spans="1:12" x14ac:dyDescent="0.2">
      <c r="A73" t="s">
        <v>153</v>
      </c>
      <c r="B73" s="3" t="s">
        <v>120</v>
      </c>
      <c r="C73">
        <v>102</v>
      </c>
      <c r="D73" s="3" t="s">
        <v>1</v>
      </c>
      <c r="E73">
        <v>31.3029676973585</v>
      </c>
      <c r="G73">
        <f t="shared" si="46"/>
        <v>32.670457539481902</v>
      </c>
      <c r="H73">
        <f t="shared" ref="H73" si="47">H71</f>
        <v>4.2294531559598045E-2</v>
      </c>
      <c r="I73">
        <v>32.670457539481902</v>
      </c>
      <c r="J73">
        <v>14.959499570611035</v>
      </c>
      <c r="K73">
        <f t="shared" si="42"/>
        <v>0</v>
      </c>
      <c r="L73">
        <f t="shared" si="43"/>
        <v>17.710957968870865</v>
      </c>
    </row>
    <row r="74" spans="1:12" x14ac:dyDescent="0.2">
      <c r="A74" t="s">
        <v>153</v>
      </c>
      <c r="B74" s="3" t="s">
        <v>121</v>
      </c>
      <c r="C74">
        <v>102</v>
      </c>
      <c r="D74" s="3" t="s">
        <v>2</v>
      </c>
      <c r="E74">
        <v>15.1962822337024</v>
      </c>
      <c r="F74">
        <v>15.1962822337024</v>
      </c>
      <c r="G74">
        <f>AVERAGE(F74:F76)</f>
        <v>14.959499570611035</v>
      </c>
      <c r="H74">
        <f>STDEV(F74:F76)</f>
        <v>0.24270377720627112</v>
      </c>
      <c r="I74">
        <v>32.670457539481902</v>
      </c>
      <c r="J74">
        <v>14.959499570610999</v>
      </c>
      <c r="K74">
        <f t="shared" si="42"/>
        <v>-17.710957968870865</v>
      </c>
      <c r="L74">
        <f t="shared" si="43"/>
        <v>3.5527136788005009E-14</v>
      </c>
    </row>
    <row r="75" spans="1:12" x14ac:dyDescent="0.2">
      <c r="A75" t="s">
        <v>153</v>
      </c>
      <c r="B75" s="3" t="s">
        <v>122</v>
      </c>
      <c r="C75">
        <v>102</v>
      </c>
      <c r="D75" s="3" t="s">
        <v>2</v>
      </c>
      <c r="E75">
        <v>14.970937362588201</v>
      </c>
      <c r="F75">
        <v>14.970937362588201</v>
      </c>
      <c r="G75">
        <f t="shared" ref="G75:H75" si="48">G74</f>
        <v>14.959499570611035</v>
      </c>
      <c r="H75">
        <f t="shared" si="48"/>
        <v>0.24270377720627112</v>
      </c>
      <c r="I75">
        <v>32.670457539481902</v>
      </c>
      <c r="J75">
        <v>14.959499570610999</v>
      </c>
      <c r="K75">
        <f t="shared" si="42"/>
        <v>-17.710957968870865</v>
      </c>
      <c r="L75">
        <f t="shared" si="43"/>
        <v>3.5527136788005009E-14</v>
      </c>
    </row>
    <row r="76" spans="1:12" x14ac:dyDescent="0.2">
      <c r="A76" t="s">
        <v>153</v>
      </c>
      <c r="B76" s="3" t="s">
        <v>123</v>
      </c>
      <c r="C76">
        <v>102</v>
      </c>
      <c r="D76" s="3" t="s">
        <v>2</v>
      </c>
      <c r="E76">
        <v>14.711279115542499</v>
      </c>
      <c r="F76">
        <v>14.711279115542499</v>
      </c>
      <c r="G76">
        <f t="shared" ref="G76:H76" si="49">G74</f>
        <v>14.959499570611035</v>
      </c>
      <c r="H76">
        <f t="shared" si="49"/>
        <v>0.24270377720627112</v>
      </c>
      <c r="I76">
        <v>32.670457539481902</v>
      </c>
      <c r="J76">
        <v>14.959499570610999</v>
      </c>
      <c r="K76">
        <f t="shared" si="42"/>
        <v>-17.710957968870865</v>
      </c>
      <c r="L76">
        <f t="shared" si="43"/>
        <v>3.5527136788005009E-14</v>
      </c>
    </row>
    <row r="77" spans="1:12" x14ac:dyDescent="0.2">
      <c r="A77" t="s">
        <v>153</v>
      </c>
      <c r="B77" s="3" t="s">
        <v>124</v>
      </c>
      <c r="C77">
        <v>102</v>
      </c>
      <c r="D77" s="3" t="s">
        <v>10</v>
      </c>
      <c r="E77">
        <v>37.777636003589798</v>
      </c>
      <c r="G77">
        <f>AVERAGE(F77:F79)</f>
        <v>35.018560271125999</v>
      </c>
      <c r="H77">
        <f>STDEV(F77:F79)</f>
        <v>0.13491718805753289</v>
      </c>
      <c r="I77">
        <v>32.670457539481902</v>
      </c>
      <c r="J77">
        <v>14.959499570610999</v>
      </c>
      <c r="K77">
        <f t="shared" si="42"/>
        <v>2.3481027316440972</v>
      </c>
      <c r="L77">
        <f t="shared" si="43"/>
        <v>20.059060700514998</v>
      </c>
    </row>
    <row r="78" spans="1:12" x14ac:dyDescent="0.2">
      <c r="A78" t="s">
        <v>153</v>
      </c>
      <c r="B78" s="3" t="s">
        <v>125</v>
      </c>
      <c r="C78">
        <v>102</v>
      </c>
      <c r="D78" s="3" t="s">
        <v>10</v>
      </c>
      <c r="E78">
        <v>35.113961129700101</v>
      </c>
      <c r="F78">
        <v>35.113961129700101</v>
      </c>
      <c r="G78">
        <f t="shared" ref="G78:H79" si="50">G77</f>
        <v>35.018560271125999</v>
      </c>
      <c r="H78">
        <f t="shared" si="50"/>
        <v>0.13491718805753289</v>
      </c>
      <c r="I78">
        <v>32.670457539481902</v>
      </c>
      <c r="J78">
        <v>14.959499570610999</v>
      </c>
      <c r="K78">
        <f t="shared" si="42"/>
        <v>2.3481027316440972</v>
      </c>
      <c r="L78">
        <f t="shared" si="43"/>
        <v>20.059060700514998</v>
      </c>
    </row>
    <row r="79" spans="1:12" x14ac:dyDescent="0.2">
      <c r="A79" t="s">
        <v>153</v>
      </c>
      <c r="B79" s="3" t="s">
        <v>126</v>
      </c>
      <c r="C79">
        <v>102</v>
      </c>
      <c r="D79" s="3" t="s">
        <v>10</v>
      </c>
      <c r="E79">
        <v>34.923159412551897</v>
      </c>
      <c r="F79">
        <v>34.923159412551897</v>
      </c>
      <c r="G79">
        <f t="shared" si="50"/>
        <v>35.018560271125999</v>
      </c>
      <c r="H79">
        <f t="shared" ref="H79" si="51">H77</f>
        <v>0.13491718805753289</v>
      </c>
      <c r="I79">
        <v>32.670457539481902</v>
      </c>
      <c r="J79">
        <v>14.959499570610999</v>
      </c>
      <c r="K79">
        <f t="shared" si="42"/>
        <v>2.3481027316440972</v>
      </c>
      <c r="L79">
        <f t="shared" si="43"/>
        <v>20.059060700514998</v>
      </c>
    </row>
    <row r="80" spans="1:12" x14ac:dyDescent="0.2">
      <c r="A80" t="s">
        <v>153</v>
      </c>
      <c r="B80" s="3" t="s">
        <v>127</v>
      </c>
      <c r="C80">
        <v>102</v>
      </c>
      <c r="D80" s="3" t="s">
        <v>4</v>
      </c>
      <c r="E80">
        <v>35.250313879824603</v>
      </c>
      <c r="F80">
        <v>35.250313879824603</v>
      </c>
      <c r="G80">
        <f>AVERAGE(F80:F82)</f>
        <v>35.340911406804054</v>
      </c>
      <c r="H80">
        <f>STDEV(F80:F82)</f>
        <v>0.12812425137179698</v>
      </c>
      <c r="I80">
        <v>32.670457539481902</v>
      </c>
      <c r="J80">
        <v>14.959499570610999</v>
      </c>
      <c r="K80">
        <f t="shared" si="42"/>
        <v>2.6704538673221521</v>
      </c>
      <c r="L80">
        <f t="shared" si="43"/>
        <v>20.381411836193053</v>
      </c>
    </row>
    <row r="81" spans="1:12" x14ac:dyDescent="0.2">
      <c r="A81" t="s">
        <v>153</v>
      </c>
      <c r="B81" s="3" t="s">
        <v>128</v>
      </c>
      <c r="C81">
        <v>102</v>
      </c>
      <c r="D81" s="3" t="s">
        <v>4</v>
      </c>
      <c r="E81" t="s">
        <v>155</v>
      </c>
      <c r="F81" t="s">
        <v>155</v>
      </c>
      <c r="G81">
        <f t="shared" ref="G81:H81" si="52">G80</f>
        <v>35.340911406804054</v>
      </c>
      <c r="H81">
        <f t="shared" si="52"/>
        <v>0.12812425137179698</v>
      </c>
      <c r="I81">
        <v>32.670457539481902</v>
      </c>
      <c r="J81">
        <v>14.959499570610999</v>
      </c>
      <c r="K81">
        <f t="shared" si="42"/>
        <v>2.6704538673221521</v>
      </c>
      <c r="L81">
        <f t="shared" si="43"/>
        <v>20.381411836193053</v>
      </c>
    </row>
    <row r="82" spans="1:12" x14ac:dyDescent="0.2">
      <c r="A82" t="s">
        <v>153</v>
      </c>
      <c r="B82" s="3" t="s">
        <v>129</v>
      </c>
      <c r="C82">
        <v>102</v>
      </c>
      <c r="D82" s="3" t="s">
        <v>4</v>
      </c>
      <c r="E82">
        <v>35.431508933783498</v>
      </c>
      <c r="F82">
        <v>35.431508933783498</v>
      </c>
      <c r="G82">
        <f t="shared" ref="G82:H82" si="53">G80</f>
        <v>35.340911406804054</v>
      </c>
      <c r="H82">
        <f t="shared" si="53"/>
        <v>0.12812425137179698</v>
      </c>
      <c r="I82">
        <v>32.670457539481902</v>
      </c>
      <c r="J82">
        <v>14.959499570610999</v>
      </c>
      <c r="K82">
        <f t="shared" si="42"/>
        <v>2.6704538673221521</v>
      </c>
      <c r="L82">
        <f t="shared" si="43"/>
        <v>20.381411836193053</v>
      </c>
    </row>
    <row r="83" spans="1:12" x14ac:dyDescent="0.2">
      <c r="A83" t="s">
        <v>153</v>
      </c>
      <c r="B83" s="3" t="s">
        <v>130</v>
      </c>
      <c r="C83">
        <v>105</v>
      </c>
      <c r="D83" s="3" t="s">
        <v>1</v>
      </c>
      <c r="E83">
        <v>32.747533907308998</v>
      </c>
      <c r="F83">
        <v>32.747533907308998</v>
      </c>
      <c r="G83">
        <f>AVERAGE(F83:F85)</f>
        <v>32.418362088597206</v>
      </c>
      <c r="H83">
        <f>STDEV(F83:F85)</f>
        <v>0.35202275541440597</v>
      </c>
      <c r="I83">
        <f>G83</f>
        <v>32.418362088597206</v>
      </c>
      <c r="J83">
        <f>G86</f>
        <v>15.492007713616866</v>
      </c>
      <c r="K83">
        <f t="shared" si="42"/>
        <v>0</v>
      </c>
      <c r="L83">
        <f t="shared" si="43"/>
        <v>16.926354374980342</v>
      </c>
    </row>
    <row r="84" spans="1:12" x14ac:dyDescent="0.2">
      <c r="A84" t="s">
        <v>153</v>
      </c>
      <c r="B84" s="3" t="s">
        <v>131</v>
      </c>
      <c r="C84">
        <v>105</v>
      </c>
      <c r="D84" s="3" t="s">
        <v>1</v>
      </c>
      <c r="E84">
        <v>32.047246627714102</v>
      </c>
      <c r="F84">
        <v>32.047246627714102</v>
      </c>
      <c r="G84">
        <f t="shared" ref="G84:H85" si="54">G83</f>
        <v>32.418362088597206</v>
      </c>
      <c r="H84">
        <f t="shared" si="54"/>
        <v>0.35202275541440597</v>
      </c>
      <c r="I84">
        <v>32.418362088597206</v>
      </c>
      <c r="J84">
        <v>15.492007713616866</v>
      </c>
      <c r="K84">
        <f t="shared" si="42"/>
        <v>0</v>
      </c>
      <c r="L84">
        <f t="shared" si="43"/>
        <v>16.926354374980342</v>
      </c>
    </row>
    <row r="85" spans="1:12" x14ac:dyDescent="0.2">
      <c r="A85" t="s">
        <v>153</v>
      </c>
      <c r="B85" s="3" t="s">
        <v>132</v>
      </c>
      <c r="C85">
        <v>105</v>
      </c>
      <c r="D85" s="3" t="s">
        <v>1</v>
      </c>
      <c r="E85">
        <v>32.460305730768503</v>
      </c>
      <c r="F85">
        <v>32.460305730768503</v>
      </c>
      <c r="G85">
        <f t="shared" si="54"/>
        <v>32.418362088597206</v>
      </c>
      <c r="H85">
        <f t="shared" ref="H85" si="55">H83</f>
        <v>0.35202275541440597</v>
      </c>
      <c r="I85">
        <v>32.418362088597206</v>
      </c>
      <c r="J85">
        <v>15.492007713616866</v>
      </c>
      <c r="K85">
        <f t="shared" si="42"/>
        <v>0</v>
      </c>
      <c r="L85">
        <f t="shared" si="43"/>
        <v>16.926354374980342</v>
      </c>
    </row>
    <row r="86" spans="1:12" x14ac:dyDescent="0.2">
      <c r="A86" t="s">
        <v>153</v>
      </c>
      <c r="B86" s="3" t="s">
        <v>133</v>
      </c>
      <c r="C86">
        <v>105</v>
      </c>
      <c r="D86" s="3" t="s">
        <v>2</v>
      </c>
      <c r="E86">
        <v>15.687360946565599</v>
      </c>
      <c r="F86">
        <v>15.687360946565599</v>
      </c>
      <c r="G86">
        <f>AVERAGE(F86:F88)</f>
        <v>15.492007713616866</v>
      </c>
      <c r="H86">
        <f>STDEV(F86:F88)</f>
        <v>0.27851845416331161</v>
      </c>
      <c r="I86">
        <v>32.418362088597199</v>
      </c>
      <c r="J86">
        <v>15.4920077136169</v>
      </c>
      <c r="K86">
        <f t="shared" si="42"/>
        <v>-16.926354374980335</v>
      </c>
      <c r="L86">
        <f t="shared" si="43"/>
        <v>-3.3750779948604759E-14</v>
      </c>
    </row>
    <row r="87" spans="1:12" x14ac:dyDescent="0.2">
      <c r="A87" t="s">
        <v>153</v>
      </c>
      <c r="B87" s="3" t="s">
        <v>134</v>
      </c>
      <c r="C87">
        <v>105</v>
      </c>
      <c r="D87" s="3" t="s">
        <v>2</v>
      </c>
      <c r="E87">
        <v>15.6155783911189</v>
      </c>
      <c r="F87">
        <v>15.6155783911189</v>
      </c>
      <c r="G87">
        <f t="shared" ref="G87:H87" si="56">G86</f>
        <v>15.492007713616866</v>
      </c>
      <c r="H87">
        <f t="shared" si="56"/>
        <v>0.27851845416331161</v>
      </c>
      <c r="I87">
        <v>32.418362088597199</v>
      </c>
      <c r="J87">
        <v>15.4920077136169</v>
      </c>
      <c r="K87">
        <f t="shared" si="42"/>
        <v>-16.926354374980335</v>
      </c>
      <c r="L87">
        <f t="shared" si="43"/>
        <v>-3.3750779948604759E-14</v>
      </c>
    </row>
    <row r="88" spans="1:12" x14ac:dyDescent="0.2">
      <c r="A88" t="s">
        <v>153</v>
      </c>
      <c r="B88" s="3" t="s">
        <v>135</v>
      </c>
      <c r="C88">
        <v>105</v>
      </c>
      <c r="D88" s="3" t="s">
        <v>2</v>
      </c>
      <c r="E88">
        <v>15.173083803166101</v>
      </c>
      <c r="F88">
        <v>15.173083803166101</v>
      </c>
      <c r="G88">
        <f t="shared" ref="G88:H88" si="57">G86</f>
        <v>15.492007713616866</v>
      </c>
      <c r="H88">
        <f t="shared" si="57"/>
        <v>0.27851845416331161</v>
      </c>
      <c r="I88">
        <v>32.418362088597199</v>
      </c>
      <c r="J88">
        <v>15.4920077136169</v>
      </c>
      <c r="K88">
        <f t="shared" si="42"/>
        <v>-16.926354374980335</v>
      </c>
      <c r="L88">
        <f t="shared" si="43"/>
        <v>-3.3750779948604759E-14</v>
      </c>
    </row>
    <row r="89" spans="1:12" s="1" customFormat="1" x14ac:dyDescent="0.2">
      <c r="A89" s="1" t="s">
        <v>153</v>
      </c>
      <c r="B89" s="1" t="s">
        <v>136</v>
      </c>
      <c r="C89" s="1">
        <v>105</v>
      </c>
      <c r="D89" s="1" t="s">
        <v>10</v>
      </c>
      <c r="E89" s="1">
        <v>37.166440751123702</v>
      </c>
      <c r="G89" s="1" t="e">
        <f>AVERAGE(F89:F91)</f>
        <v>#DIV/0!</v>
      </c>
      <c r="H89" s="1" t="e">
        <f>STDEV(F89:F91)</f>
        <v>#DIV/0!</v>
      </c>
      <c r="I89">
        <v>32.418362088597199</v>
      </c>
      <c r="J89">
        <v>15.4920077136169</v>
      </c>
      <c r="K89" s="1" t="e">
        <f t="shared" si="42"/>
        <v>#DIV/0!</v>
      </c>
      <c r="L89" s="1" t="e">
        <f t="shared" si="43"/>
        <v>#DIV/0!</v>
      </c>
    </row>
    <row r="90" spans="1:12" s="1" customFormat="1" x14ac:dyDescent="0.2">
      <c r="A90" s="1" t="s">
        <v>153</v>
      </c>
      <c r="B90" s="1" t="s">
        <v>137</v>
      </c>
      <c r="C90" s="1">
        <v>105</v>
      </c>
      <c r="D90" s="1" t="s">
        <v>10</v>
      </c>
      <c r="E90" s="1">
        <v>33.9102940008136</v>
      </c>
      <c r="G90" s="1" t="e">
        <f t="shared" ref="G90:H91" si="58">G89</f>
        <v>#DIV/0!</v>
      </c>
      <c r="H90" s="1" t="e">
        <f t="shared" si="58"/>
        <v>#DIV/0!</v>
      </c>
      <c r="I90">
        <v>32.418362088597199</v>
      </c>
      <c r="J90">
        <v>15.4920077136169</v>
      </c>
      <c r="K90" s="1" t="e">
        <f t="shared" si="42"/>
        <v>#DIV/0!</v>
      </c>
      <c r="L90" s="1" t="e">
        <f t="shared" si="43"/>
        <v>#DIV/0!</v>
      </c>
    </row>
    <row r="91" spans="1:12" s="1" customFormat="1" x14ac:dyDescent="0.2">
      <c r="A91" s="1" t="s">
        <v>153</v>
      </c>
      <c r="B91" s="1" t="s">
        <v>138</v>
      </c>
      <c r="C91" s="1">
        <v>105</v>
      </c>
      <c r="D91" s="1" t="s">
        <v>10</v>
      </c>
      <c r="E91" s="1">
        <v>38.772211085452</v>
      </c>
      <c r="G91" s="1" t="e">
        <f t="shared" si="58"/>
        <v>#DIV/0!</v>
      </c>
      <c r="H91" s="1" t="e">
        <f t="shared" ref="H91" si="59">H89</f>
        <v>#DIV/0!</v>
      </c>
      <c r="I91">
        <v>32.418362088597199</v>
      </c>
      <c r="J91">
        <v>15.4920077136169</v>
      </c>
      <c r="K91" s="1" t="e">
        <f t="shared" si="42"/>
        <v>#DIV/0!</v>
      </c>
      <c r="L91" s="1" t="e">
        <f t="shared" si="43"/>
        <v>#DIV/0!</v>
      </c>
    </row>
    <row r="92" spans="1:12" s="1" customFormat="1" x14ac:dyDescent="0.2">
      <c r="A92" s="1" t="s">
        <v>153</v>
      </c>
      <c r="B92" s="1" t="s">
        <v>139</v>
      </c>
      <c r="C92" s="1">
        <v>105</v>
      </c>
      <c r="D92" s="1" t="s">
        <v>14</v>
      </c>
      <c r="E92" s="1">
        <v>36.469604600660297</v>
      </c>
      <c r="G92" s="1" t="e">
        <f>AVERAGE(F92:F94)</f>
        <v>#DIV/0!</v>
      </c>
      <c r="H92" s="1" t="e">
        <f>STDEV(F92:F94)</f>
        <v>#DIV/0!</v>
      </c>
      <c r="I92">
        <v>32.418362088597199</v>
      </c>
      <c r="J92">
        <v>15.4920077136169</v>
      </c>
      <c r="K92" s="1" t="e">
        <f t="shared" si="42"/>
        <v>#DIV/0!</v>
      </c>
      <c r="L92" s="1" t="e">
        <f t="shared" si="43"/>
        <v>#DIV/0!</v>
      </c>
    </row>
    <row r="93" spans="1:12" s="1" customFormat="1" x14ac:dyDescent="0.2">
      <c r="A93" s="1" t="s">
        <v>153</v>
      </c>
      <c r="B93" s="1" t="s">
        <v>140</v>
      </c>
      <c r="C93" s="1">
        <v>105</v>
      </c>
      <c r="D93" s="1" t="s">
        <v>14</v>
      </c>
      <c r="E93" s="1">
        <v>35.471815424859898</v>
      </c>
      <c r="G93" s="1" t="e">
        <f t="shared" ref="G93:H93" si="60">G92</f>
        <v>#DIV/0!</v>
      </c>
      <c r="H93" s="1" t="e">
        <f t="shared" si="60"/>
        <v>#DIV/0!</v>
      </c>
      <c r="I93">
        <v>32.418362088597199</v>
      </c>
      <c r="J93">
        <v>15.4920077136169</v>
      </c>
      <c r="K93" s="1" t="e">
        <f t="shared" si="42"/>
        <v>#DIV/0!</v>
      </c>
      <c r="L93" s="1" t="e">
        <f t="shared" si="43"/>
        <v>#DIV/0!</v>
      </c>
    </row>
    <row r="94" spans="1:12" s="1" customFormat="1" x14ac:dyDescent="0.2">
      <c r="A94" s="1" t="s">
        <v>153</v>
      </c>
      <c r="B94" s="1" t="s">
        <v>141</v>
      </c>
      <c r="C94" s="1">
        <v>105</v>
      </c>
      <c r="D94" s="1" t="s">
        <v>14</v>
      </c>
      <c r="E94" s="1" t="s">
        <v>155</v>
      </c>
      <c r="G94" s="1" t="e">
        <f t="shared" ref="G94:H94" si="61">G92</f>
        <v>#DIV/0!</v>
      </c>
      <c r="H94" s="1" t="e">
        <f t="shared" si="61"/>
        <v>#DIV/0!</v>
      </c>
      <c r="I94">
        <v>32.418362088597199</v>
      </c>
      <c r="J94">
        <v>15.4920077136169</v>
      </c>
      <c r="K94" s="1" t="e">
        <f t="shared" si="42"/>
        <v>#DIV/0!</v>
      </c>
      <c r="L94" s="1" t="e">
        <f t="shared" si="43"/>
        <v>#DIV/0!</v>
      </c>
    </row>
    <row r="95" spans="1:12" x14ac:dyDescent="0.2">
      <c r="A95" t="s">
        <v>153</v>
      </c>
      <c r="B95" s="3" t="s">
        <v>142</v>
      </c>
      <c r="E95" t="s">
        <v>155</v>
      </c>
      <c r="F95" t="s">
        <v>155</v>
      </c>
      <c r="G95" t="e">
        <f>AVERAGE(F95:F97)</f>
        <v>#DIV/0!</v>
      </c>
      <c r="H95" t="e">
        <f>STDEV(F95:F97)</f>
        <v>#DIV/0!</v>
      </c>
      <c r="I95">
        <v>31.964304797395599</v>
      </c>
      <c r="J95">
        <v>18.591441611448801</v>
      </c>
      <c r="K95" t="e">
        <f t="shared" si="42"/>
        <v>#DIV/0!</v>
      </c>
      <c r="L95" t="e">
        <f t="shared" si="43"/>
        <v>#DIV/0!</v>
      </c>
    </row>
    <row r="96" spans="1:12" x14ac:dyDescent="0.2">
      <c r="A96" t="s">
        <v>153</v>
      </c>
      <c r="B96" s="3" t="s">
        <v>143</v>
      </c>
      <c r="E96" t="s">
        <v>155</v>
      </c>
      <c r="F96" t="s">
        <v>155</v>
      </c>
      <c r="G96" t="e">
        <f t="shared" ref="G96:H97" si="62">G95</f>
        <v>#DIV/0!</v>
      </c>
      <c r="H96" t="e">
        <f t="shared" si="62"/>
        <v>#DIV/0!</v>
      </c>
      <c r="I96">
        <v>31.964304797395599</v>
      </c>
      <c r="J96">
        <v>18.591441611448801</v>
      </c>
      <c r="K96" t="e">
        <f t="shared" si="42"/>
        <v>#DIV/0!</v>
      </c>
      <c r="L96" t="e">
        <f t="shared" si="43"/>
        <v>#DIV/0!</v>
      </c>
    </row>
    <row r="97" spans="1:12" x14ac:dyDescent="0.2">
      <c r="A97" t="s">
        <v>153</v>
      </c>
      <c r="B97" s="3" t="s">
        <v>144</v>
      </c>
      <c r="E97" t="s">
        <v>155</v>
      </c>
      <c r="F97" t="s">
        <v>155</v>
      </c>
      <c r="G97" t="e">
        <f t="shared" si="62"/>
        <v>#DIV/0!</v>
      </c>
      <c r="H97" t="e">
        <f t="shared" ref="H97" si="63">H95</f>
        <v>#DIV/0!</v>
      </c>
      <c r="I97">
        <v>31.964304797395599</v>
      </c>
      <c r="J97">
        <v>18.591441611448801</v>
      </c>
      <c r="K97" t="e">
        <f t="shared" si="42"/>
        <v>#DIV/0!</v>
      </c>
      <c r="L97" t="e">
        <f t="shared" si="43"/>
        <v>#DIV/0!</v>
      </c>
    </row>
  </sheetData>
  <phoneticPr fontId="2" type="noConversion"/>
  <conditionalFormatting sqref="H2:H85">
    <cfRule type="cellIs" dxfId="4" priority="2" operator="greaterThan">
      <formula>0.3</formula>
    </cfRule>
  </conditionalFormatting>
  <conditionalFormatting sqref="H86:H97">
    <cfRule type="cellIs" dxfId="2" priority="1" operator="greaterThan">
      <formula>0.3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C91F1-F6E1-044F-95C5-D9D78767C199}">
  <dimension ref="A1:L97"/>
  <sheetViews>
    <sheetView tabSelected="1" topLeftCell="B1" workbookViewId="0">
      <selection sqref="A1:XFD1"/>
    </sheetView>
  </sheetViews>
  <sheetFormatPr baseColWidth="10" defaultRowHeight="16" x14ac:dyDescent="0.2"/>
  <cols>
    <col min="7" max="8" width="11" bestFit="1" customWidth="1"/>
  </cols>
  <sheetData>
    <row r="1" spans="1:12" x14ac:dyDescent="0.2">
      <c r="A1" t="s">
        <v>147</v>
      </c>
      <c r="B1" t="s">
        <v>48</v>
      </c>
      <c r="C1" t="s">
        <v>0</v>
      </c>
      <c r="D1" t="s">
        <v>145</v>
      </c>
      <c r="E1" t="s">
        <v>154</v>
      </c>
      <c r="F1" t="s">
        <v>158</v>
      </c>
      <c r="G1" t="s">
        <v>156</v>
      </c>
      <c r="H1" t="s">
        <v>157</v>
      </c>
      <c r="I1" t="s">
        <v>1</v>
      </c>
      <c r="J1" t="s">
        <v>2</v>
      </c>
      <c r="K1" t="s">
        <v>159</v>
      </c>
      <c r="L1" t="s">
        <v>160</v>
      </c>
    </row>
    <row r="2" spans="1:12" x14ac:dyDescent="0.2">
      <c r="A2" t="s">
        <v>163</v>
      </c>
      <c r="B2" s="3" t="s">
        <v>49</v>
      </c>
      <c r="C2">
        <v>122</v>
      </c>
      <c r="D2" s="3" t="s">
        <v>1</v>
      </c>
      <c r="E2" s="3">
        <v>32.403927000000003</v>
      </c>
      <c r="F2" s="3">
        <v>32.403927000000003</v>
      </c>
      <c r="G2">
        <f>AVERAGE(F2:F4)</f>
        <v>32.37814443333334</v>
      </c>
      <c r="H2">
        <f>STDEV(F2:F4)</f>
        <v>0.18651497583910859</v>
      </c>
      <c r="I2">
        <f>G2</f>
        <v>32.37814443333334</v>
      </c>
      <c r="J2">
        <f>G5</f>
        <v>17.673318800000001</v>
      </c>
      <c r="K2">
        <f>G2-I2</f>
        <v>0</v>
      </c>
      <c r="L2">
        <f>G2-J2</f>
        <v>14.704825633333339</v>
      </c>
    </row>
    <row r="3" spans="1:12" x14ac:dyDescent="0.2">
      <c r="A3" t="s">
        <v>163</v>
      </c>
      <c r="B3" s="3" t="s">
        <v>50</v>
      </c>
      <c r="C3">
        <v>122</v>
      </c>
      <c r="D3" s="3" t="s">
        <v>1</v>
      </c>
      <c r="E3" s="3">
        <v>32.550426799999997</v>
      </c>
      <c r="F3" s="3">
        <v>32.550426799999997</v>
      </c>
      <c r="G3">
        <f>G2</f>
        <v>32.37814443333334</v>
      </c>
      <c r="H3">
        <f>H2</f>
        <v>0.18651497583910859</v>
      </c>
      <c r="I3">
        <v>32.654498324639867</v>
      </c>
      <c r="J3">
        <v>21.545988693585169</v>
      </c>
      <c r="K3">
        <f t="shared" ref="K3:K66" si="0">G3-I3</f>
        <v>-0.27635389130652754</v>
      </c>
      <c r="L3">
        <f t="shared" ref="L3:L66" si="1">G3-J3</f>
        <v>10.83215573974817</v>
      </c>
    </row>
    <row r="4" spans="1:12" x14ac:dyDescent="0.2">
      <c r="A4" t="s">
        <v>163</v>
      </c>
      <c r="B4" s="3" t="s">
        <v>51</v>
      </c>
      <c r="C4">
        <v>122</v>
      </c>
      <c r="D4" s="3" t="s">
        <v>1</v>
      </c>
      <c r="E4" s="3">
        <v>32.180079499999998</v>
      </c>
      <c r="F4" s="3">
        <v>32.180079499999998</v>
      </c>
      <c r="G4">
        <f>G2</f>
        <v>32.37814443333334</v>
      </c>
      <c r="H4">
        <f>H2</f>
        <v>0.18651497583910859</v>
      </c>
      <c r="I4">
        <v>32.654498324639867</v>
      </c>
      <c r="J4">
        <v>21.545988693585169</v>
      </c>
      <c r="K4">
        <f t="shared" si="0"/>
        <v>-0.27635389130652754</v>
      </c>
      <c r="L4">
        <f t="shared" si="1"/>
        <v>10.83215573974817</v>
      </c>
    </row>
    <row r="5" spans="1:12" x14ac:dyDescent="0.2">
      <c r="A5" t="s">
        <v>163</v>
      </c>
      <c r="B5" s="3" t="s">
        <v>52</v>
      </c>
      <c r="C5">
        <v>122</v>
      </c>
      <c r="D5" s="3" t="s">
        <v>2</v>
      </c>
      <c r="E5" s="3">
        <v>17.690009</v>
      </c>
      <c r="F5" s="3">
        <v>17.690009</v>
      </c>
      <c r="G5">
        <f>AVERAGE(F5:F7)</f>
        <v>17.673318800000001</v>
      </c>
      <c r="H5">
        <f>STDEV(F5:F7)</f>
        <v>0.12527902058920265</v>
      </c>
      <c r="I5">
        <v>32.654498324639903</v>
      </c>
      <c r="J5">
        <v>21.545988693585201</v>
      </c>
      <c r="K5">
        <f t="shared" si="0"/>
        <v>-14.981179524639902</v>
      </c>
      <c r="L5">
        <f t="shared" si="1"/>
        <v>-3.8726698935852006</v>
      </c>
    </row>
    <row r="6" spans="1:12" x14ac:dyDescent="0.2">
      <c r="A6" t="s">
        <v>163</v>
      </c>
      <c r="B6" s="3" t="s">
        <v>53</v>
      </c>
      <c r="C6">
        <v>122</v>
      </c>
      <c r="D6" s="3" t="s">
        <v>2</v>
      </c>
      <c r="E6" s="3">
        <v>17.540531300000001</v>
      </c>
      <c r="F6" s="3">
        <v>17.540531300000001</v>
      </c>
      <c r="G6">
        <f>G5</f>
        <v>17.673318800000001</v>
      </c>
      <c r="H6">
        <f>H5</f>
        <v>0.12527902058920265</v>
      </c>
      <c r="I6">
        <v>32.654498324639903</v>
      </c>
      <c r="J6">
        <v>21.545988693585201</v>
      </c>
      <c r="K6">
        <f t="shared" si="0"/>
        <v>-14.981179524639902</v>
      </c>
      <c r="L6">
        <f t="shared" si="1"/>
        <v>-3.8726698935852006</v>
      </c>
    </row>
    <row r="7" spans="1:12" x14ac:dyDescent="0.2">
      <c r="A7" t="s">
        <v>163</v>
      </c>
      <c r="B7" s="3" t="s">
        <v>54</v>
      </c>
      <c r="C7">
        <v>122</v>
      </c>
      <c r="D7" s="3" t="s">
        <v>2</v>
      </c>
      <c r="E7" s="3">
        <v>17.7894161</v>
      </c>
      <c r="F7" s="3">
        <v>17.7894161</v>
      </c>
      <c r="G7">
        <f>G6</f>
        <v>17.673318800000001</v>
      </c>
      <c r="H7">
        <f>H5</f>
        <v>0.12527902058920265</v>
      </c>
      <c r="I7">
        <v>32.654498324639903</v>
      </c>
      <c r="J7">
        <v>21.545988693585201</v>
      </c>
      <c r="K7">
        <f t="shared" si="0"/>
        <v>-14.981179524639902</v>
      </c>
      <c r="L7">
        <f t="shared" si="1"/>
        <v>-3.8726698935852006</v>
      </c>
    </row>
    <row r="8" spans="1:12" s="1" customFormat="1" x14ac:dyDescent="0.2">
      <c r="A8" s="1" t="s">
        <v>163</v>
      </c>
      <c r="B8" s="1" t="s">
        <v>55</v>
      </c>
      <c r="C8" s="1">
        <v>122</v>
      </c>
      <c r="D8" s="1" t="s">
        <v>13</v>
      </c>
      <c r="E8" s="1">
        <v>38.810226700000001</v>
      </c>
      <c r="G8" s="1" t="e">
        <f>AVERAGE(F8:F10)</f>
        <v>#DIV/0!</v>
      </c>
      <c r="H8" s="1" t="e">
        <f>STDEV(F8:F10)</f>
        <v>#DIV/0!</v>
      </c>
      <c r="I8" s="1">
        <v>32.654498324639903</v>
      </c>
      <c r="J8" s="1">
        <v>21.545988693585201</v>
      </c>
      <c r="K8" s="1" t="e">
        <f t="shared" si="0"/>
        <v>#DIV/0!</v>
      </c>
      <c r="L8" s="1" t="e">
        <f t="shared" si="1"/>
        <v>#DIV/0!</v>
      </c>
    </row>
    <row r="9" spans="1:12" s="1" customFormat="1" x14ac:dyDescent="0.2">
      <c r="A9" s="1" t="s">
        <v>163</v>
      </c>
      <c r="B9" s="1" t="s">
        <v>56</v>
      </c>
      <c r="C9" s="1">
        <v>122</v>
      </c>
      <c r="D9" s="1" t="s">
        <v>13</v>
      </c>
      <c r="E9" s="1" t="s">
        <v>155</v>
      </c>
      <c r="G9" s="1" t="e">
        <f t="shared" ref="G9:H9" si="2">G8</f>
        <v>#DIV/0!</v>
      </c>
      <c r="H9" s="1" t="e">
        <f t="shared" si="2"/>
        <v>#DIV/0!</v>
      </c>
      <c r="I9" s="1">
        <v>32.654498324639903</v>
      </c>
      <c r="J9" s="1">
        <v>21.545988693585201</v>
      </c>
      <c r="K9" s="1" t="e">
        <f t="shared" si="0"/>
        <v>#DIV/0!</v>
      </c>
      <c r="L9" s="1" t="e">
        <f t="shared" si="1"/>
        <v>#DIV/0!</v>
      </c>
    </row>
    <row r="10" spans="1:12" s="1" customFormat="1" x14ac:dyDescent="0.2">
      <c r="A10" s="1" t="s">
        <v>163</v>
      </c>
      <c r="B10" s="1" t="s">
        <v>57</v>
      </c>
      <c r="C10" s="1">
        <v>122</v>
      </c>
      <c r="D10" s="1" t="s">
        <v>13</v>
      </c>
      <c r="E10" s="1">
        <v>37.061486600000002</v>
      </c>
      <c r="G10" s="1" t="e">
        <f t="shared" ref="G10:H10" si="3">G8</f>
        <v>#DIV/0!</v>
      </c>
      <c r="H10" s="1" t="e">
        <f t="shared" si="3"/>
        <v>#DIV/0!</v>
      </c>
      <c r="I10" s="1">
        <v>32.654498324639903</v>
      </c>
      <c r="J10" s="1">
        <v>21.545988693585201</v>
      </c>
      <c r="K10" s="1" t="e">
        <f t="shared" si="0"/>
        <v>#DIV/0!</v>
      </c>
      <c r="L10" s="1" t="e">
        <f t="shared" si="1"/>
        <v>#DIV/0!</v>
      </c>
    </row>
    <row r="11" spans="1:12" x14ac:dyDescent="0.2">
      <c r="A11" t="s">
        <v>163</v>
      </c>
      <c r="B11" s="3" t="s">
        <v>58</v>
      </c>
      <c r="C11">
        <v>122</v>
      </c>
      <c r="D11" s="3" t="s">
        <v>14</v>
      </c>
      <c r="E11" s="3">
        <v>37.147843299999998</v>
      </c>
      <c r="F11" s="3">
        <v>37.147843299999998</v>
      </c>
      <c r="G11">
        <f>AVERAGE(F11:F13)</f>
        <v>37.114296749999994</v>
      </c>
      <c r="H11">
        <f>STDEV(F11:F13)</f>
        <v>4.7441985980827869E-2</v>
      </c>
      <c r="I11">
        <v>32.654498324639903</v>
      </c>
      <c r="J11">
        <v>21.545988693585201</v>
      </c>
      <c r="K11">
        <f t="shared" si="0"/>
        <v>4.4597984253600913</v>
      </c>
      <c r="L11">
        <f t="shared" si="1"/>
        <v>15.568308056414793</v>
      </c>
    </row>
    <row r="12" spans="1:12" x14ac:dyDescent="0.2">
      <c r="A12" t="s">
        <v>163</v>
      </c>
      <c r="B12" s="3" t="s">
        <v>59</v>
      </c>
      <c r="C12">
        <v>122</v>
      </c>
      <c r="D12" s="3" t="s">
        <v>14</v>
      </c>
      <c r="E12" s="3">
        <v>37.080750199999997</v>
      </c>
      <c r="F12" s="3">
        <v>37.080750199999997</v>
      </c>
      <c r="G12">
        <f t="shared" ref="G12:H13" si="4">G11</f>
        <v>37.114296749999994</v>
      </c>
      <c r="H12">
        <f t="shared" si="4"/>
        <v>4.7441985980827869E-2</v>
      </c>
      <c r="I12">
        <v>32.654498324639903</v>
      </c>
      <c r="J12">
        <v>21.545988693585201</v>
      </c>
      <c r="K12">
        <f t="shared" si="0"/>
        <v>4.4597984253600913</v>
      </c>
      <c r="L12">
        <f t="shared" si="1"/>
        <v>15.568308056414793</v>
      </c>
    </row>
    <row r="13" spans="1:12" x14ac:dyDescent="0.2">
      <c r="A13" t="s">
        <v>163</v>
      </c>
      <c r="B13" s="3" t="s">
        <v>60</v>
      </c>
      <c r="C13">
        <v>122</v>
      </c>
      <c r="D13" s="3" t="s">
        <v>14</v>
      </c>
      <c r="E13" s="3" t="s">
        <v>155</v>
      </c>
      <c r="F13" s="3" t="s">
        <v>155</v>
      </c>
      <c r="G13">
        <f t="shared" si="4"/>
        <v>37.114296749999994</v>
      </c>
      <c r="H13">
        <f t="shared" ref="H13" si="5">H11</f>
        <v>4.7441985980827869E-2</v>
      </c>
      <c r="I13">
        <v>32.654498324639903</v>
      </c>
      <c r="J13">
        <v>21.545988693585201</v>
      </c>
      <c r="K13">
        <f t="shared" si="0"/>
        <v>4.4597984253600913</v>
      </c>
      <c r="L13">
        <f t="shared" si="1"/>
        <v>15.568308056414793</v>
      </c>
    </row>
    <row r="14" spans="1:12" x14ac:dyDescent="0.2">
      <c r="A14" t="s">
        <v>163</v>
      </c>
      <c r="B14" s="3" t="s">
        <v>61</v>
      </c>
      <c r="C14">
        <v>129</v>
      </c>
      <c r="D14" s="3" t="s">
        <v>1</v>
      </c>
      <c r="E14" s="3">
        <v>32.137479300000003</v>
      </c>
      <c r="F14" s="3">
        <v>32.137479300000003</v>
      </c>
      <c r="G14">
        <f>AVERAGE(F14:F16)</f>
        <v>31.827076400000003</v>
      </c>
      <c r="H14">
        <f>STDEV(F14:F16)</f>
        <v>0.43897599097994167</v>
      </c>
      <c r="I14">
        <f>G14</f>
        <v>31.827076400000003</v>
      </c>
      <c r="J14">
        <f>F17</f>
        <v>18.390364900000002</v>
      </c>
      <c r="K14">
        <f t="shared" si="0"/>
        <v>0</v>
      </c>
      <c r="L14">
        <f t="shared" si="1"/>
        <v>13.436711500000001</v>
      </c>
    </row>
    <row r="15" spans="1:12" x14ac:dyDescent="0.2">
      <c r="A15" t="s">
        <v>163</v>
      </c>
      <c r="B15" s="3" t="s">
        <v>62</v>
      </c>
      <c r="C15">
        <v>129</v>
      </c>
      <c r="D15" s="3" t="s">
        <v>1</v>
      </c>
      <c r="E15" s="3">
        <v>33.054991299999998</v>
      </c>
      <c r="F15" s="3"/>
      <c r="G15">
        <f t="shared" ref="G15:H15" si="6">G14</f>
        <v>31.827076400000003</v>
      </c>
      <c r="H15">
        <f t="shared" si="6"/>
        <v>0.43897599097994167</v>
      </c>
      <c r="I15">
        <v>31.827076400000003</v>
      </c>
      <c r="J15">
        <v>18.390364900000002</v>
      </c>
      <c r="K15">
        <f t="shared" si="0"/>
        <v>0</v>
      </c>
      <c r="L15">
        <f t="shared" si="1"/>
        <v>13.436711500000001</v>
      </c>
    </row>
    <row r="16" spans="1:12" x14ac:dyDescent="0.2">
      <c r="A16" t="s">
        <v>163</v>
      </c>
      <c r="B16" s="3" t="s">
        <v>63</v>
      </c>
      <c r="C16">
        <v>129</v>
      </c>
      <c r="D16" s="3" t="s">
        <v>1</v>
      </c>
      <c r="E16" s="3">
        <v>31.5166735</v>
      </c>
      <c r="F16" s="3">
        <v>31.5166735</v>
      </c>
      <c r="G16">
        <f t="shared" ref="G16:H16" si="7">G14</f>
        <v>31.827076400000003</v>
      </c>
      <c r="H16">
        <f t="shared" si="7"/>
        <v>0.43897599097994167</v>
      </c>
      <c r="I16">
        <v>31.827076400000003</v>
      </c>
      <c r="J16">
        <v>18.390364900000002</v>
      </c>
      <c r="K16">
        <f t="shared" si="0"/>
        <v>0</v>
      </c>
      <c r="L16">
        <f t="shared" si="1"/>
        <v>13.436711500000001</v>
      </c>
    </row>
    <row r="17" spans="1:12" x14ac:dyDescent="0.2">
      <c r="A17" t="s">
        <v>163</v>
      </c>
      <c r="B17" s="3" t="s">
        <v>64</v>
      </c>
      <c r="C17">
        <v>129</v>
      </c>
      <c r="D17" s="3" t="s">
        <v>2</v>
      </c>
      <c r="E17" s="3">
        <v>18.390364900000002</v>
      </c>
      <c r="F17" s="3">
        <v>18.390364900000002</v>
      </c>
      <c r="G17">
        <f>AVERAGE(F17:F19)</f>
        <v>18.468150766666668</v>
      </c>
      <c r="H17">
        <f>STDEV(F17:F19)</f>
        <v>7.1384873475079408E-2</v>
      </c>
      <c r="I17">
        <v>31.827076399999999</v>
      </c>
      <c r="J17">
        <v>18.390364900000002</v>
      </c>
      <c r="K17">
        <f t="shared" si="0"/>
        <v>-13.358925633333332</v>
      </c>
      <c r="L17">
        <f t="shared" si="1"/>
        <v>7.7785866666665981E-2</v>
      </c>
    </row>
    <row r="18" spans="1:12" x14ac:dyDescent="0.2">
      <c r="A18" t="s">
        <v>163</v>
      </c>
      <c r="B18" s="3" t="s">
        <v>65</v>
      </c>
      <c r="C18">
        <v>129</v>
      </c>
      <c r="D18" s="3" t="s">
        <v>2</v>
      </c>
      <c r="E18" s="3">
        <v>18.483425499999999</v>
      </c>
      <c r="F18" s="3">
        <v>18.483425499999999</v>
      </c>
      <c r="G18">
        <f t="shared" ref="G18:H19" si="8">G17</f>
        <v>18.468150766666668</v>
      </c>
      <c r="H18">
        <f t="shared" si="8"/>
        <v>7.1384873475079408E-2</v>
      </c>
      <c r="I18">
        <v>31.827076399999999</v>
      </c>
      <c r="J18">
        <v>18.390364900000002</v>
      </c>
      <c r="K18">
        <f t="shared" si="0"/>
        <v>-13.358925633333332</v>
      </c>
      <c r="L18">
        <f t="shared" si="1"/>
        <v>7.7785866666665981E-2</v>
      </c>
    </row>
    <row r="19" spans="1:12" x14ac:dyDescent="0.2">
      <c r="A19" t="s">
        <v>163</v>
      </c>
      <c r="B19" s="3" t="s">
        <v>66</v>
      </c>
      <c r="C19">
        <v>129</v>
      </c>
      <c r="D19" s="3" t="s">
        <v>2</v>
      </c>
      <c r="E19" s="3">
        <v>18.530661899999998</v>
      </c>
      <c r="F19" s="3">
        <v>18.530661899999998</v>
      </c>
      <c r="G19">
        <f t="shared" si="8"/>
        <v>18.468150766666668</v>
      </c>
      <c r="H19">
        <f t="shared" ref="H19" si="9">H17</f>
        <v>7.1384873475079408E-2</v>
      </c>
      <c r="I19">
        <v>31.827076399999999</v>
      </c>
      <c r="J19">
        <v>18.390364900000002</v>
      </c>
      <c r="K19">
        <f t="shared" si="0"/>
        <v>-13.358925633333332</v>
      </c>
      <c r="L19">
        <f t="shared" si="1"/>
        <v>7.7785866666665981E-2</v>
      </c>
    </row>
    <row r="20" spans="1:12" x14ac:dyDescent="0.2">
      <c r="A20" t="s">
        <v>163</v>
      </c>
      <c r="B20" s="3" t="s">
        <v>67</v>
      </c>
      <c r="C20">
        <v>129</v>
      </c>
      <c r="D20" s="3" t="s">
        <v>13</v>
      </c>
      <c r="E20" s="3">
        <v>35.406468099999998</v>
      </c>
      <c r="F20" s="3">
        <v>35.406468099999998</v>
      </c>
      <c r="G20">
        <f>AVERAGE(F20:F22)</f>
        <v>35.05137083333333</v>
      </c>
      <c r="H20">
        <f>STDEV(F20:F22)</f>
        <v>0.52257324955073081</v>
      </c>
      <c r="I20">
        <v>31.827076399999999</v>
      </c>
      <c r="J20">
        <v>18.390364900000002</v>
      </c>
      <c r="K20">
        <f t="shared" si="0"/>
        <v>3.2242944333333305</v>
      </c>
      <c r="L20">
        <f t="shared" si="1"/>
        <v>16.661005933333328</v>
      </c>
    </row>
    <row r="21" spans="1:12" x14ac:dyDescent="0.2">
      <c r="A21" t="s">
        <v>163</v>
      </c>
      <c r="B21" s="3" t="s">
        <v>68</v>
      </c>
      <c r="C21">
        <v>129</v>
      </c>
      <c r="D21" s="3" t="s">
        <v>13</v>
      </c>
      <c r="E21" s="3">
        <v>34.451315100000002</v>
      </c>
      <c r="F21" s="3">
        <v>34.451315100000002</v>
      </c>
      <c r="G21">
        <f t="shared" ref="G21:H21" si="10">G20</f>
        <v>35.05137083333333</v>
      </c>
      <c r="H21">
        <f t="shared" si="10"/>
        <v>0.52257324955073081</v>
      </c>
      <c r="I21">
        <v>31.827076399999999</v>
      </c>
      <c r="J21">
        <v>18.390364900000002</v>
      </c>
      <c r="K21">
        <f t="shared" si="0"/>
        <v>3.2242944333333305</v>
      </c>
      <c r="L21">
        <f t="shared" si="1"/>
        <v>16.661005933333328</v>
      </c>
    </row>
    <row r="22" spans="1:12" x14ac:dyDescent="0.2">
      <c r="A22" t="s">
        <v>163</v>
      </c>
      <c r="B22" s="3" t="s">
        <v>69</v>
      </c>
      <c r="C22">
        <v>129</v>
      </c>
      <c r="D22" s="3" t="s">
        <v>13</v>
      </c>
      <c r="E22" s="3">
        <v>35.296329299999996</v>
      </c>
      <c r="F22" s="3">
        <v>35.296329299999996</v>
      </c>
      <c r="G22">
        <f t="shared" ref="G22:H22" si="11">G20</f>
        <v>35.05137083333333</v>
      </c>
      <c r="H22">
        <f t="shared" si="11"/>
        <v>0.52257324955073081</v>
      </c>
      <c r="I22">
        <v>31.827076399999999</v>
      </c>
      <c r="J22">
        <v>18.390364900000002</v>
      </c>
      <c r="K22">
        <f t="shared" si="0"/>
        <v>3.2242944333333305</v>
      </c>
      <c r="L22">
        <f t="shared" si="1"/>
        <v>16.661005933333328</v>
      </c>
    </row>
    <row r="23" spans="1:12" s="1" customFormat="1" x14ac:dyDescent="0.2">
      <c r="A23" s="1" t="s">
        <v>163</v>
      </c>
      <c r="B23" s="1" t="s">
        <v>70</v>
      </c>
      <c r="C23" s="1">
        <v>129</v>
      </c>
      <c r="D23" s="1" t="s">
        <v>10</v>
      </c>
      <c r="E23" s="1" t="s">
        <v>155</v>
      </c>
      <c r="G23" s="1" t="e">
        <f>AVERAGE(F23:F25)</f>
        <v>#DIV/0!</v>
      </c>
      <c r="H23" s="1" t="e">
        <f>STDEV(F23:F25)</f>
        <v>#DIV/0!</v>
      </c>
      <c r="I23" s="1">
        <v>31.827076399999999</v>
      </c>
      <c r="J23" s="1">
        <v>18.390364900000002</v>
      </c>
      <c r="K23" s="1" t="e">
        <f t="shared" si="0"/>
        <v>#DIV/0!</v>
      </c>
      <c r="L23" s="1" t="e">
        <f t="shared" si="1"/>
        <v>#DIV/0!</v>
      </c>
    </row>
    <row r="24" spans="1:12" s="1" customFormat="1" x14ac:dyDescent="0.2">
      <c r="A24" s="1" t="s">
        <v>163</v>
      </c>
      <c r="B24" s="1" t="s">
        <v>71</v>
      </c>
      <c r="C24" s="1">
        <v>129</v>
      </c>
      <c r="D24" s="1" t="s">
        <v>10</v>
      </c>
      <c r="E24" s="1">
        <v>35.259491099999998</v>
      </c>
      <c r="G24" s="1" t="e">
        <f t="shared" ref="G24:H25" si="12">G23</f>
        <v>#DIV/0!</v>
      </c>
      <c r="H24" s="1" t="e">
        <f t="shared" si="12"/>
        <v>#DIV/0!</v>
      </c>
      <c r="I24" s="1">
        <v>31.827076399999999</v>
      </c>
      <c r="J24" s="1">
        <v>18.390364900000002</v>
      </c>
      <c r="K24" s="1" t="e">
        <f t="shared" si="0"/>
        <v>#DIV/0!</v>
      </c>
      <c r="L24" s="1" t="e">
        <f t="shared" si="1"/>
        <v>#DIV/0!</v>
      </c>
    </row>
    <row r="25" spans="1:12" s="1" customFormat="1" x14ac:dyDescent="0.2">
      <c r="A25" s="1" t="s">
        <v>163</v>
      </c>
      <c r="B25" s="1" t="s">
        <v>72</v>
      </c>
      <c r="C25" s="1">
        <v>129</v>
      </c>
      <c r="D25" s="1" t="s">
        <v>10</v>
      </c>
      <c r="E25" s="1" t="s">
        <v>155</v>
      </c>
      <c r="G25" s="1" t="e">
        <f t="shared" si="12"/>
        <v>#DIV/0!</v>
      </c>
      <c r="H25" s="1" t="e">
        <f t="shared" ref="H25" si="13">H23</f>
        <v>#DIV/0!</v>
      </c>
      <c r="I25" s="1">
        <v>31.827076399999999</v>
      </c>
      <c r="J25" s="1">
        <v>18.390364900000002</v>
      </c>
      <c r="K25" s="1" t="e">
        <f t="shared" si="0"/>
        <v>#DIV/0!</v>
      </c>
      <c r="L25" s="1" t="e">
        <f t="shared" si="1"/>
        <v>#DIV/0!</v>
      </c>
    </row>
    <row r="26" spans="1:12" x14ac:dyDescent="0.2">
      <c r="A26" t="s">
        <v>163</v>
      </c>
      <c r="B26" s="3" t="s">
        <v>73</v>
      </c>
      <c r="C26">
        <v>129</v>
      </c>
      <c r="D26" s="3" t="s">
        <v>3</v>
      </c>
      <c r="E26" s="3">
        <v>37.326817699999999</v>
      </c>
      <c r="F26" s="3">
        <v>37.326817699999999</v>
      </c>
      <c r="G26">
        <f>AVERAGE(F26:F28)</f>
        <v>37.382974449999999</v>
      </c>
      <c r="H26">
        <f>STDEV(F26:F28)</f>
        <v>7.9417637468794641E-2</v>
      </c>
      <c r="I26">
        <v>31.827076399999999</v>
      </c>
      <c r="J26">
        <v>18.390364900000002</v>
      </c>
      <c r="K26">
        <f t="shared" si="0"/>
        <v>5.5558980499999997</v>
      </c>
      <c r="L26">
        <f t="shared" si="1"/>
        <v>18.992609549999997</v>
      </c>
    </row>
    <row r="27" spans="1:12" x14ac:dyDescent="0.2">
      <c r="A27" t="s">
        <v>163</v>
      </c>
      <c r="B27" s="3" t="s">
        <v>74</v>
      </c>
      <c r="C27">
        <v>129</v>
      </c>
      <c r="D27" s="3" t="s">
        <v>3</v>
      </c>
      <c r="E27" s="3">
        <v>34.968866200000001</v>
      </c>
      <c r="F27" s="3"/>
      <c r="G27">
        <f t="shared" ref="G27:H27" si="14">G26</f>
        <v>37.382974449999999</v>
      </c>
      <c r="H27">
        <f t="shared" si="14"/>
        <v>7.9417637468794641E-2</v>
      </c>
      <c r="I27">
        <v>31.827076399999999</v>
      </c>
      <c r="J27">
        <v>18.390364900000002</v>
      </c>
      <c r="K27">
        <f t="shared" si="0"/>
        <v>5.5558980499999997</v>
      </c>
      <c r="L27">
        <f t="shared" si="1"/>
        <v>18.992609549999997</v>
      </c>
    </row>
    <row r="28" spans="1:12" x14ac:dyDescent="0.2">
      <c r="A28" t="s">
        <v>163</v>
      </c>
      <c r="B28" s="3" t="s">
        <v>75</v>
      </c>
      <c r="C28">
        <v>129</v>
      </c>
      <c r="D28" s="3" t="s">
        <v>3</v>
      </c>
      <c r="E28" s="3">
        <v>37.439131199999999</v>
      </c>
      <c r="F28" s="3">
        <v>37.439131199999999</v>
      </c>
      <c r="G28">
        <f t="shared" ref="G28:H28" si="15">G26</f>
        <v>37.382974449999999</v>
      </c>
      <c r="H28">
        <f t="shared" si="15"/>
        <v>7.9417637468794641E-2</v>
      </c>
      <c r="I28">
        <v>31.827076399999999</v>
      </c>
      <c r="J28">
        <v>18.390364900000002</v>
      </c>
      <c r="K28">
        <f t="shared" si="0"/>
        <v>5.5558980499999997</v>
      </c>
      <c r="L28">
        <f t="shared" si="1"/>
        <v>18.992609549999997</v>
      </c>
    </row>
    <row r="29" spans="1:12" x14ac:dyDescent="0.2">
      <c r="A29" t="s">
        <v>163</v>
      </c>
      <c r="B29" s="3" t="s">
        <v>76</v>
      </c>
      <c r="C29">
        <v>129</v>
      </c>
      <c r="D29" t="s">
        <v>8</v>
      </c>
      <c r="E29" s="3">
        <v>36.037144900000001</v>
      </c>
      <c r="F29" s="3">
        <v>36.037144900000001</v>
      </c>
      <c r="G29">
        <f>AVERAGE(F29:F31)</f>
        <v>35.755949749999999</v>
      </c>
      <c r="H29">
        <f>STDEV(F29:F31)</f>
        <v>0.39766999480353971</v>
      </c>
      <c r="I29">
        <v>31.827076399999999</v>
      </c>
      <c r="J29">
        <v>18.390364900000002</v>
      </c>
      <c r="K29">
        <f t="shared" si="0"/>
        <v>3.9288733499999999</v>
      </c>
      <c r="L29">
        <f t="shared" si="1"/>
        <v>17.365584849999998</v>
      </c>
    </row>
    <row r="30" spans="1:12" x14ac:dyDescent="0.2">
      <c r="A30" t="s">
        <v>163</v>
      </c>
      <c r="B30" s="3" t="s">
        <v>77</v>
      </c>
      <c r="C30">
        <v>129</v>
      </c>
      <c r="D30" t="s">
        <v>8</v>
      </c>
      <c r="E30" s="3">
        <v>35.474754599999997</v>
      </c>
      <c r="F30" s="3">
        <v>35.474754599999997</v>
      </c>
      <c r="G30">
        <f t="shared" ref="G30:H31" si="16">G29</f>
        <v>35.755949749999999</v>
      </c>
      <c r="H30">
        <f t="shared" si="16"/>
        <v>0.39766999480353971</v>
      </c>
      <c r="I30">
        <v>31.827076399999999</v>
      </c>
      <c r="J30">
        <v>18.390364900000002</v>
      </c>
      <c r="K30">
        <f t="shared" si="0"/>
        <v>3.9288733499999999</v>
      </c>
      <c r="L30">
        <f t="shared" si="1"/>
        <v>17.365584849999998</v>
      </c>
    </row>
    <row r="31" spans="1:12" x14ac:dyDescent="0.2">
      <c r="A31" t="s">
        <v>163</v>
      </c>
      <c r="B31" s="3" t="s">
        <v>78</v>
      </c>
      <c r="C31">
        <v>129</v>
      </c>
      <c r="D31" t="s">
        <v>8</v>
      </c>
      <c r="E31" s="3" t="s">
        <v>155</v>
      </c>
      <c r="F31" s="3" t="s">
        <v>155</v>
      </c>
      <c r="G31">
        <f t="shared" si="16"/>
        <v>35.755949749999999</v>
      </c>
      <c r="H31">
        <f t="shared" ref="H31" si="17">H29</f>
        <v>0.39766999480353971</v>
      </c>
      <c r="I31">
        <v>31.827076399999999</v>
      </c>
      <c r="J31">
        <v>18.390364900000002</v>
      </c>
      <c r="K31">
        <f t="shared" si="0"/>
        <v>3.9288733499999999</v>
      </c>
      <c r="L31">
        <f t="shared" si="1"/>
        <v>17.365584849999998</v>
      </c>
    </row>
    <row r="32" spans="1:12" x14ac:dyDescent="0.2">
      <c r="A32" t="s">
        <v>163</v>
      </c>
      <c r="B32" s="3" t="s">
        <v>79</v>
      </c>
      <c r="C32">
        <v>142</v>
      </c>
      <c r="D32" s="3" t="s">
        <v>1</v>
      </c>
      <c r="E32" s="3">
        <v>31.228349600000001</v>
      </c>
      <c r="F32" s="3">
        <v>31.228349600000001</v>
      </c>
      <c r="G32">
        <f>AVERAGE(F32:F34)</f>
        <v>31.412526300000003</v>
      </c>
      <c r="H32">
        <f>STDEV(F32:F34)</f>
        <v>0.26046518701312094</v>
      </c>
      <c r="I32">
        <f>G32</f>
        <v>31.412526300000003</v>
      </c>
      <c r="J32">
        <f>G35</f>
        <v>17.387610799999997</v>
      </c>
      <c r="K32">
        <f t="shared" si="0"/>
        <v>0</v>
      </c>
      <c r="L32">
        <f t="shared" si="1"/>
        <v>14.024915500000006</v>
      </c>
    </row>
    <row r="33" spans="1:12" x14ac:dyDescent="0.2">
      <c r="A33" t="s">
        <v>163</v>
      </c>
      <c r="B33" s="3" t="s">
        <v>80</v>
      </c>
      <c r="C33">
        <v>142</v>
      </c>
      <c r="D33" s="3" t="s">
        <v>1</v>
      </c>
      <c r="E33" s="3">
        <v>31.596703000000002</v>
      </c>
      <c r="F33" s="3">
        <v>31.596703000000002</v>
      </c>
      <c r="G33">
        <f t="shared" ref="G33:H33" si="18">G32</f>
        <v>31.412526300000003</v>
      </c>
      <c r="H33">
        <f t="shared" si="18"/>
        <v>0.26046518701312094</v>
      </c>
      <c r="I33">
        <v>31.412526300000003</v>
      </c>
      <c r="J33">
        <v>17.387610799999997</v>
      </c>
      <c r="K33">
        <f t="shared" si="0"/>
        <v>0</v>
      </c>
      <c r="L33">
        <f t="shared" si="1"/>
        <v>14.024915500000006</v>
      </c>
    </row>
    <row r="34" spans="1:12" x14ac:dyDescent="0.2">
      <c r="A34" t="s">
        <v>163</v>
      </c>
      <c r="B34" s="3" t="s">
        <v>81</v>
      </c>
      <c r="C34">
        <v>142</v>
      </c>
      <c r="D34" s="3" t="s">
        <v>1</v>
      </c>
      <c r="E34" s="3">
        <v>32.389249700000001</v>
      </c>
      <c r="F34" s="3"/>
      <c r="G34">
        <f t="shared" ref="G34:H34" si="19">G32</f>
        <v>31.412526300000003</v>
      </c>
      <c r="H34">
        <f t="shared" si="19"/>
        <v>0.26046518701312094</v>
      </c>
      <c r="I34">
        <v>31.412526300000003</v>
      </c>
      <c r="J34">
        <v>17.387610799999997</v>
      </c>
      <c r="K34">
        <f t="shared" si="0"/>
        <v>0</v>
      </c>
      <c r="L34">
        <f t="shared" si="1"/>
        <v>14.024915500000006</v>
      </c>
    </row>
    <row r="35" spans="1:12" x14ac:dyDescent="0.2">
      <c r="A35" t="s">
        <v>163</v>
      </c>
      <c r="B35" s="3" t="s">
        <v>82</v>
      </c>
      <c r="C35">
        <v>142</v>
      </c>
      <c r="D35" s="3" t="s">
        <v>2</v>
      </c>
      <c r="E35" s="3">
        <v>17.332162499999999</v>
      </c>
      <c r="F35" s="3">
        <v>17.332162499999999</v>
      </c>
      <c r="G35">
        <f>AVERAGE(F35:F37)</f>
        <v>17.387610799999997</v>
      </c>
      <c r="H35">
        <f>STDEV(F35:F37)</f>
        <v>7.8415737870532257E-2</v>
      </c>
      <c r="I35">
        <v>31.4125263</v>
      </c>
      <c r="J35">
        <v>17.387610800000001</v>
      </c>
      <c r="K35">
        <f t="shared" si="0"/>
        <v>-14.024915500000002</v>
      </c>
      <c r="L35">
        <f t="shared" si="1"/>
        <v>0</v>
      </c>
    </row>
    <row r="36" spans="1:12" x14ac:dyDescent="0.2">
      <c r="A36" t="s">
        <v>163</v>
      </c>
      <c r="B36" s="3" t="s">
        <v>83</v>
      </c>
      <c r="C36">
        <v>142</v>
      </c>
      <c r="D36" s="3" t="s">
        <v>2</v>
      </c>
      <c r="E36" s="3">
        <v>17.443059099999999</v>
      </c>
      <c r="F36" s="3">
        <v>17.443059099999999</v>
      </c>
      <c r="G36">
        <f t="shared" ref="G36:H37" si="20">G35</f>
        <v>17.387610799999997</v>
      </c>
      <c r="H36">
        <f t="shared" si="20"/>
        <v>7.8415737870532257E-2</v>
      </c>
      <c r="I36">
        <v>31.4125263</v>
      </c>
      <c r="J36">
        <v>17.387610800000001</v>
      </c>
      <c r="K36">
        <f t="shared" si="0"/>
        <v>-14.024915500000002</v>
      </c>
      <c r="L36">
        <f t="shared" si="1"/>
        <v>0</v>
      </c>
    </row>
    <row r="37" spans="1:12" x14ac:dyDescent="0.2">
      <c r="A37" t="s">
        <v>163</v>
      </c>
      <c r="B37" s="3" t="s">
        <v>84</v>
      </c>
      <c r="C37">
        <v>142</v>
      </c>
      <c r="D37" s="3" t="s">
        <v>2</v>
      </c>
      <c r="E37" s="3">
        <v>32.743071800000003</v>
      </c>
      <c r="F37" s="3"/>
      <c r="G37">
        <f t="shared" si="20"/>
        <v>17.387610799999997</v>
      </c>
      <c r="H37">
        <f t="shared" ref="H37" si="21">H35</f>
        <v>7.8415737870532257E-2</v>
      </c>
      <c r="I37">
        <v>31.4125263</v>
      </c>
      <c r="J37">
        <v>17.387610800000001</v>
      </c>
      <c r="K37">
        <f t="shared" si="0"/>
        <v>-14.024915500000002</v>
      </c>
      <c r="L37">
        <f t="shared" si="1"/>
        <v>0</v>
      </c>
    </row>
    <row r="38" spans="1:12" s="1" customFormat="1" x14ac:dyDescent="0.2">
      <c r="A38" s="1" t="s">
        <v>163</v>
      </c>
      <c r="B38" s="1" t="s">
        <v>85</v>
      </c>
      <c r="C38" s="1">
        <v>142</v>
      </c>
      <c r="D38" s="1" t="s">
        <v>13</v>
      </c>
      <c r="E38" s="1">
        <v>33.528346599999999</v>
      </c>
      <c r="G38" s="1" t="e">
        <f>AVERAGE(F38:F40)</f>
        <v>#DIV/0!</v>
      </c>
      <c r="H38" s="1" t="e">
        <f>STDEV(F38:F40)</f>
        <v>#DIV/0!</v>
      </c>
      <c r="I38" s="1">
        <v>31.4125263</v>
      </c>
      <c r="J38" s="1">
        <v>17.387610800000001</v>
      </c>
      <c r="K38" s="1" t="e">
        <f t="shared" si="0"/>
        <v>#DIV/0!</v>
      </c>
      <c r="L38" s="1" t="e">
        <f t="shared" si="1"/>
        <v>#DIV/0!</v>
      </c>
    </row>
    <row r="39" spans="1:12" s="1" customFormat="1" x14ac:dyDescent="0.2">
      <c r="A39" s="1" t="s">
        <v>163</v>
      </c>
      <c r="B39" s="1" t="s">
        <v>86</v>
      </c>
      <c r="C39" s="1">
        <v>142</v>
      </c>
      <c r="D39" s="1" t="s">
        <v>13</v>
      </c>
      <c r="E39" s="1">
        <v>39.813436699999997</v>
      </c>
      <c r="G39" s="1" t="e">
        <f t="shared" ref="G39:H39" si="22">G38</f>
        <v>#DIV/0!</v>
      </c>
      <c r="H39" s="1" t="e">
        <f t="shared" si="22"/>
        <v>#DIV/0!</v>
      </c>
      <c r="I39" s="1">
        <v>31.4125263</v>
      </c>
      <c r="J39" s="1">
        <v>17.387610800000001</v>
      </c>
      <c r="K39" s="1" t="e">
        <f t="shared" si="0"/>
        <v>#DIV/0!</v>
      </c>
      <c r="L39" s="1" t="e">
        <f t="shared" si="1"/>
        <v>#DIV/0!</v>
      </c>
    </row>
    <row r="40" spans="1:12" s="1" customFormat="1" x14ac:dyDescent="0.2">
      <c r="A40" s="1" t="s">
        <v>163</v>
      </c>
      <c r="B40" s="1" t="s">
        <v>87</v>
      </c>
      <c r="C40" s="1">
        <v>142</v>
      </c>
      <c r="D40" s="1" t="s">
        <v>13</v>
      </c>
      <c r="E40" s="1">
        <v>38.219750099999999</v>
      </c>
      <c r="G40" s="1" t="e">
        <f t="shared" ref="G40:H40" si="23">G38</f>
        <v>#DIV/0!</v>
      </c>
      <c r="H40" s="1" t="e">
        <f t="shared" si="23"/>
        <v>#DIV/0!</v>
      </c>
      <c r="I40" s="1">
        <v>31.4125263</v>
      </c>
      <c r="J40" s="1">
        <v>17.387610800000001</v>
      </c>
      <c r="K40" s="1" t="e">
        <f t="shared" si="0"/>
        <v>#DIV/0!</v>
      </c>
      <c r="L40" s="1" t="e">
        <f t="shared" si="1"/>
        <v>#DIV/0!</v>
      </c>
    </row>
    <row r="41" spans="1:12" x14ac:dyDescent="0.2">
      <c r="A41" t="s">
        <v>163</v>
      </c>
      <c r="B41" s="3" t="s">
        <v>88</v>
      </c>
      <c r="C41">
        <v>143</v>
      </c>
      <c r="D41" s="3" t="s">
        <v>1</v>
      </c>
      <c r="E41" s="3">
        <v>31.946591099999999</v>
      </c>
      <c r="F41" s="3">
        <v>31.946591099999999</v>
      </c>
      <c r="G41">
        <f>AVERAGE(F41:F43)</f>
        <v>32.416405133333335</v>
      </c>
      <c r="H41">
        <f>STDEV(F41:F43)</f>
        <v>0.45114790452921882</v>
      </c>
      <c r="I41">
        <f>G41</f>
        <v>32.416405133333335</v>
      </c>
      <c r="J41">
        <f>G44</f>
        <v>20.338560133333335</v>
      </c>
      <c r="K41">
        <f t="shared" si="0"/>
        <v>0</v>
      </c>
      <c r="L41">
        <f t="shared" si="1"/>
        <v>12.077845</v>
      </c>
    </row>
    <row r="42" spans="1:12" x14ac:dyDescent="0.2">
      <c r="A42" t="s">
        <v>163</v>
      </c>
      <c r="B42" s="3" t="s">
        <v>89</v>
      </c>
      <c r="C42">
        <v>143</v>
      </c>
      <c r="D42" s="3" t="s">
        <v>1</v>
      </c>
      <c r="E42" s="3">
        <v>32.846223700000003</v>
      </c>
      <c r="F42" s="3">
        <v>32.846223700000003</v>
      </c>
      <c r="G42">
        <f t="shared" ref="G42:H43" si="24">G41</f>
        <v>32.416405133333335</v>
      </c>
      <c r="H42">
        <f t="shared" si="24"/>
        <v>0.45114790452921882</v>
      </c>
      <c r="I42">
        <v>32.416405133333335</v>
      </c>
      <c r="J42">
        <v>20.338560133333335</v>
      </c>
      <c r="K42">
        <f t="shared" si="0"/>
        <v>0</v>
      </c>
      <c r="L42">
        <f t="shared" si="1"/>
        <v>12.077845</v>
      </c>
    </row>
    <row r="43" spans="1:12" x14ac:dyDescent="0.2">
      <c r="A43" t="s">
        <v>163</v>
      </c>
      <c r="B43" s="3" t="s">
        <v>90</v>
      </c>
      <c r="C43">
        <v>143</v>
      </c>
      <c r="D43" s="3" t="s">
        <v>1</v>
      </c>
      <c r="E43" s="3">
        <v>32.456400600000002</v>
      </c>
      <c r="F43" s="3">
        <v>32.456400600000002</v>
      </c>
      <c r="G43">
        <f t="shared" si="24"/>
        <v>32.416405133333335</v>
      </c>
      <c r="H43">
        <f t="shared" ref="H43" si="25">H41</f>
        <v>0.45114790452921882</v>
      </c>
      <c r="I43">
        <v>32.416405133333335</v>
      </c>
      <c r="J43">
        <v>20.338560133333335</v>
      </c>
      <c r="K43">
        <f t="shared" si="0"/>
        <v>0</v>
      </c>
      <c r="L43">
        <f t="shared" si="1"/>
        <v>12.077845</v>
      </c>
    </row>
    <row r="44" spans="1:12" x14ac:dyDescent="0.2">
      <c r="A44" t="s">
        <v>163</v>
      </c>
      <c r="B44" s="3" t="s">
        <v>91</v>
      </c>
      <c r="C44">
        <v>143</v>
      </c>
      <c r="D44" s="3" t="s">
        <v>2</v>
      </c>
      <c r="E44" s="3">
        <v>20.307723200000002</v>
      </c>
      <c r="F44" s="3">
        <v>20.307723200000002</v>
      </c>
      <c r="G44">
        <f>AVERAGE(F44:F46)</f>
        <v>20.338560133333335</v>
      </c>
      <c r="H44">
        <f>STDEV(F44:F46)</f>
        <v>6.0565372343801931E-2</v>
      </c>
      <c r="I44">
        <v>32.416405133333299</v>
      </c>
      <c r="J44">
        <v>20.338560133333299</v>
      </c>
      <c r="K44">
        <f t="shared" si="0"/>
        <v>-12.077844999999964</v>
      </c>
      <c r="L44">
        <f t="shared" si="1"/>
        <v>3.5527136788005009E-14</v>
      </c>
    </row>
    <row r="45" spans="1:12" x14ac:dyDescent="0.2">
      <c r="A45" t="s">
        <v>163</v>
      </c>
      <c r="B45" s="3" t="s">
        <v>92</v>
      </c>
      <c r="C45">
        <v>143</v>
      </c>
      <c r="D45" s="3" t="s">
        <v>2</v>
      </c>
      <c r="E45" s="3">
        <v>20.4083383</v>
      </c>
      <c r="F45" s="3">
        <v>20.4083383</v>
      </c>
      <c r="G45">
        <f t="shared" ref="G45:H45" si="26">G44</f>
        <v>20.338560133333335</v>
      </c>
      <c r="H45">
        <f t="shared" si="26"/>
        <v>6.0565372343801931E-2</v>
      </c>
      <c r="I45">
        <v>32.416405133333299</v>
      </c>
      <c r="J45">
        <v>20.338560133333299</v>
      </c>
      <c r="K45">
        <f t="shared" si="0"/>
        <v>-12.077844999999964</v>
      </c>
      <c r="L45">
        <f t="shared" si="1"/>
        <v>3.5527136788005009E-14</v>
      </c>
    </row>
    <row r="46" spans="1:12" x14ac:dyDescent="0.2">
      <c r="A46" t="s">
        <v>163</v>
      </c>
      <c r="B46" s="3" t="s">
        <v>93</v>
      </c>
      <c r="C46">
        <v>143</v>
      </c>
      <c r="D46" s="3" t="s">
        <v>2</v>
      </c>
      <c r="E46" s="3">
        <v>20.299618899999999</v>
      </c>
      <c r="F46" s="3">
        <v>20.299618899999999</v>
      </c>
      <c r="G46">
        <f t="shared" ref="G46:H46" si="27">G44</f>
        <v>20.338560133333335</v>
      </c>
      <c r="H46">
        <f t="shared" si="27"/>
        <v>6.0565372343801931E-2</v>
      </c>
      <c r="I46">
        <v>32.416405133333299</v>
      </c>
      <c r="J46">
        <v>20.338560133333299</v>
      </c>
      <c r="K46">
        <f t="shared" si="0"/>
        <v>-12.077844999999964</v>
      </c>
      <c r="L46">
        <f t="shared" si="1"/>
        <v>3.5527136788005009E-14</v>
      </c>
    </row>
    <row r="47" spans="1:12" x14ac:dyDescent="0.2">
      <c r="A47" t="s">
        <v>163</v>
      </c>
      <c r="B47" s="3" t="s">
        <v>94</v>
      </c>
      <c r="C47">
        <v>143</v>
      </c>
      <c r="D47" s="3" t="s">
        <v>3</v>
      </c>
      <c r="E47" s="3">
        <v>36.197931799999999</v>
      </c>
      <c r="F47" s="3"/>
      <c r="G47">
        <f>AVERAGE(F47:F49)</f>
        <v>35.314704200000001</v>
      </c>
      <c r="H47">
        <f>STDEV(F47:F49)</f>
        <v>8.4272986181873071E-4</v>
      </c>
      <c r="I47">
        <v>32.416405133333299</v>
      </c>
      <c r="J47">
        <v>20.338560133333299</v>
      </c>
      <c r="K47">
        <f t="shared" si="0"/>
        <v>2.8982990666667021</v>
      </c>
      <c r="L47">
        <f t="shared" si="1"/>
        <v>14.976144066666702</v>
      </c>
    </row>
    <row r="48" spans="1:12" x14ac:dyDescent="0.2">
      <c r="A48" t="s">
        <v>163</v>
      </c>
      <c r="B48" s="3" t="s">
        <v>95</v>
      </c>
      <c r="C48">
        <v>143</v>
      </c>
      <c r="D48" s="3" t="s">
        <v>3</v>
      </c>
      <c r="E48" s="3">
        <v>35.315300100000002</v>
      </c>
      <c r="F48" s="3">
        <v>35.315300100000002</v>
      </c>
      <c r="G48">
        <f t="shared" ref="G48:H49" si="28">G47</f>
        <v>35.314704200000001</v>
      </c>
      <c r="H48">
        <f t="shared" si="28"/>
        <v>8.4272986181873071E-4</v>
      </c>
      <c r="I48">
        <v>32.416405133333299</v>
      </c>
      <c r="J48">
        <v>20.338560133333299</v>
      </c>
      <c r="K48">
        <f t="shared" si="0"/>
        <v>2.8982990666667021</v>
      </c>
      <c r="L48">
        <f t="shared" si="1"/>
        <v>14.976144066666702</v>
      </c>
    </row>
    <row r="49" spans="1:12" x14ac:dyDescent="0.2">
      <c r="A49" t="s">
        <v>163</v>
      </c>
      <c r="B49" s="3" t="s">
        <v>96</v>
      </c>
      <c r="C49">
        <v>143</v>
      </c>
      <c r="D49" s="3" t="s">
        <v>3</v>
      </c>
      <c r="E49" s="3">
        <v>35.314108300000001</v>
      </c>
      <c r="F49" s="3">
        <v>35.314108300000001</v>
      </c>
      <c r="G49">
        <f t="shared" si="28"/>
        <v>35.314704200000001</v>
      </c>
      <c r="H49">
        <f t="shared" ref="H49" si="29">H47</f>
        <v>8.4272986181873071E-4</v>
      </c>
      <c r="I49">
        <v>32.416405133333299</v>
      </c>
      <c r="J49">
        <v>20.338560133333299</v>
      </c>
      <c r="K49">
        <f t="shared" si="0"/>
        <v>2.8982990666667021</v>
      </c>
      <c r="L49">
        <f t="shared" si="1"/>
        <v>14.976144066666702</v>
      </c>
    </row>
    <row r="50" spans="1:12" s="1" customFormat="1" x14ac:dyDescent="0.2">
      <c r="A50" s="1" t="s">
        <v>163</v>
      </c>
      <c r="B50" s="1" t="s">
        <v>97</v>
      </c>
      <c r="C50" s="1">
        <v>143</v>
      </c>
      <c r="D50" s="1" t="s">
        <v>14</v>
      </c>
      <c r="E50" s="1" t="s">
        <v>155</v>
      </c>
      <c r="G50" s="1" t="e">
        <f>AVERAGE(F50:F52)</f>
        <v>#DIV/0!</v>
      </c>
      <c r="H50" s="1" t="e">
        <f>STDEV(F50:F52)</f>
        <v>#DIV/0!</v>
      </c>
      <c r="I50" s="1">
        <v>32.416405133333299</v>
      </c>
      <c r="J50" s="1">
        <v>20.338560133333299</v>
      </c>
      <c r="K50" s="1" t="e">
        <f t="shared" si="0"/>
        <v>#DIV/0!</v>
      </c>
      <c r="L50" s="1" t="e">
        <f t="shared" si="1"/>
        <v>#DIV/0!</v>
      </c>
    </row>
    <row r="51" spans="1:12" s="1" customFormat="1" x14ac:dyDescent="0.2">
      <c r="A51" s="1" t="s">
        <v>163</v>
      </c>
      <c r="B51" s="1" t="s">
        <v>98</v>
      </c>
      <c r="C51" s="1">
        <v>143</v>
      </c>
      <c r="D51" s="1" t="s">
        <v>14</v>
      </c>
      <c r="E51" s="1" t="s">
        <v>155</v>
      </c>
      <c r="G51" s="1" t="e">
        <f t="shared" ref="G51:H51" si="30">G50</f>
        <v>#DIV/0!</v>
      </c>
      <c r="H51" s="1" t="e">
        <f t="shared" si="30"/>
        <v>#DIV/0!</v>
      </c>
      <c r="I51" s="1">
        <v>32.416405133333299</v>
      </c>
      <c r="J51" s="1">
        <v>20.338560133333299</v>
      </c>
      <c r="K51" s="1" t="e">
        <f t="shared" si="0"/>
        <v>#DIV/0!</v>
      </c>
      <c r="L51" s="1" t="e">
        <f t="shared" si="1"/>
        <v>#DIV/0!</v>
      </c>
    </row>
    <row r="52" spans="1:12" s="1" customFormat="1" x14ac:dyDescent="0.2">
      <c r="A52" s="1" t="s">
        <v>163</v>
      </c>
      <c r="B52" s="1" t="s">
        <v>99</v>
      </c>
      <c r="C52" s="1">
        <v>143</v>
      </c>
      <c r="D52" s="1" t="s">
        <v>14</v>
      </c>
      <c r="E52" s="1" t="s">
        <v>155</v>
      </c>
      <c r="G52" s="1" t="e">
        <f t="shared" ref="G52:H52" si="31">G50</f>
        <v>#DIV/0!</v>
      </c>
      <c r="H52" s="1" t="e">
        <f t="shared" si="31"/>
        <v>#DIV/0!</v>
      </c>
      <c r="I52" s="1">
        <v>32.416405133333299</v>
      </c>
      <c r="J52" s="1">
        <v>20.338560133333299</v>
      </c>
      <c r="K52" s="1" t="e">
        <f t="shared" si="0"/>
        <v>#DIV/0!</v>
      </c>
      <c r="L52" s="1" t="e">
        <f t="shared" si="1"/>
        <v>#DIV/0!</v>
      </c>
    </row>
    <row r="53" spans="1:12" s="1" customFormat="1" x14ac:dyDescent="0.2">
      <c r="A53" s="1" t="s">
        <v>163</v>
      </c>
      <c r="B53" s="1" t="s">
        <v>100</v>
      </c>
      <c r="C53" s="1">
        <v>143</v>
      </c>
      <c r="D53" s="1" t="s">
        <v>8</v>
      </c>
      <c r="E53" s="1">
        <v>35.814007599999997</v>
      </c>
      <c r="G53" s="1" t="e">
        <f>AVERAGE(F53:F55)</f>
        <v>#DIV/0!</v>
      </c>
      <c r="H53" s="1" t="e">
        <f>STDEV(F53:F55)</f>
        <v>#DIV/0!</v>
      </c>
      <c r="I53" s="1">
        <v>32.416405133333299</v>
      </c>
      <c r="J53" s="1">
        <v>20.338560133333299</v>
      </c>
      <c r="K53" s="1" t="e">
        <f t="shared" si="0"/>
        <v>#DIV/0!</v>
      </c>
      <c r="L53" s="1" t="e">
        <f t="shared" si="1"/>
        <v>#DIV/0!</v>
      </c>
    </row>
    <row r="54" spans="1:12" s="1" customFormat="1" x14ac:dyDescent="0.2">
      <c r="A54" s="1" t="s">
        <v>163</v>
      </c>
      <c r="B54" s="1" t="s">
        <v>101</v>
      </c>
      <c r="C54" s="1">
        <v>143</v>
      </c>
      <c r="D54" s="1" t="s">
        <v>8</v>
      </c>
      <c r="E54" s="1" t="s">
        <v>155</v>
      </c>
      <c r="G54" s="1" t="e">
        <f t="shared" ref="G54:H55" si="32">G53</f>
        <v>#DIV/0!</v>
      </c>
      <c r="H54" s="1" t="e">
        <f t="shared" si="32"/>
        <v>#DIV/0!</v>
      </c>
      <c r="I54" s="1">
        <v>32.416405133333299</v>
      </c>
      <c r="J54" s="1">
        <v>20.338560133333299</v>
      </c>
      <c r="K54" s="1" t="e">
        <f t="shared" si="0"/>
        <v>#DIV/0!</v>
      </c>
      <c r="L54" s="1" t="e">
        <f t="shared" si="1"/>
        <v>#DIV/0!</v>
      </c>
    </row>
    <row r="55" spans="1:12" s="1" customFormat="1" x14ac:dyDescent="0.2">
      <c r="A55" s="1" t="s">
        <v>163</v>
      </c>
      <c r="B55" s="1" t="s">
        <v>102</v>
      </c>
      <c r="C55" s="1">
        <v>143</v>
      </c>
      <c r="D55" s="1" t="s">
        <v>8</v>
      </c>
      <c r="E55" s="1" t="s">
        <v>155</v>
      </c>
      <c r="G55" s="1" t="e">
        <f t="shared" si="32"/>
        <v>#DIV/0!</v>
      </c>
      <c r="H55" s="1" t="e">
        <f t="shared" ref="H55" si="33">H53</f>
        <v>#DIV/0!</v>
      </c>
      <c r="I55" s="1">
        <v>32.416405133333299</v>
      </c>
      <c r="J55" s="1">
        <v>20.338560133333299</v>
      </c>
      <c r="K55" s="1" t="e">
        <f t="shared" si="0"/>
        <v>#DIV/0!</v>
      </c>
      <c r="L55" s="1" t="e">
        <f t="shared" si="1"/>
        <v>#DIV/0!</v>
      </c>
    </row>
    <row r="56" spans="1:12" x14ac:dyDescent="0.2">
      <c r="A56" t="s">
        <v>163</v>
      </c>
      <c r="B56" s="3" t="s">
        <v>103</v>
      </c>
      <c r="C56">
        <v>146</v>
      </c>
      <c r="D56" s="3" t="s">
        <v>1</v>
      </c>
      <c r="E56" s="3">
        <v>32.5088498</v>
      </c>
      <c r="F56" s="3">
        <v>32.5088498</v>
      </c>
      <c r="G56">
        <f>AVERAGE(F56:F58)</f>
        <v>32.331749000000002</v>
      </c>
      <c r="H56">
        <f>STDEV(F56:F58)</f>
        <v>0.1554251700342329</v>
      </c>
      <c r="I56">
        <f>G56</f>
        <v>32.331749000000002</v>
      </c>
      <c r="J56">
        <f>G59</f>
        <v>17.245048600000001</v>
      </c>
      <c r="K56">
        <f t="shared" si="0"/>
        <v>0</v>
      </c>
      <c r="L56">
        <f t="shared" si="1"/>
        <v>15.086700400000002</v>
      </c>
    </row>
    <row r="57" spans="1:12" x14ac:dyDescent="0.2">
      <c r="A57" t="s">
        <v>163</v>
      </c>
      <c r="B57" s="3" t="s">
        <v>104</v>
      </c>
      <c r="C57">
        <v>146</v>
      </c>
      <c r="D57" s="3" t="s">
        <v>1</v>
      </c>
      <c r="E57" s="3">
        <v>32.268367300000001</v>
      </c>
      <c r="F57" s="3">
        <v>32.268367300000001</v>
      </c>
      <c r="G57">
        <f t="shared" ref="G57:H57" si="34">G56</f>
        <v>32.331749000000002</v>
      </c>
      <c r="H57">
        <f t="shared" si="34"/>
        <v>0.1554251700342329</v>
      </c>
      <c r="I57">
        <v>32.331749000000002</v>
      </c>
      <c r="J57">
        <v>17.245048600000001</v>
      </c>
      <c r="K57">
        <f t="shared" si="0"/>
        <v>0</v>
      </c>
      <c r="L57">
        <f t="shared" si="1"/>
        <v>15.086700400000002</v>
      </c>
    </row>
    <row r="58" spans="1:12" x14ac:dyDescent="0.2">
      <c r="A58" t="s">
        <v>163</v>
      </c>
      <c r="B58" s="3" t="s">
        <v>105</v>
      </c>
      <c r="C58">
        <v>146</v>
      </c>
      <c r="D58" s="3" t="s">
        <v>1</v>
      </c>
      <c r="E58" s="3">
        <v>32.218029899999998</v>
      </c>
      <c r="F58" s="3">
        <v>32.218029899999998</v>
      </c>
      <c r="G58">
        <f t="shared" ref="G58:H58" si="35">G56</f>
        <v>32.331749000000002</v>
      </c>
      <c r="H58">
        <f t="shared" si="35"/>
        <v>0.1554251700342329</v>
      </c>
      <c r="I58">
        <v>32.331749000000002</v>
      </c>
      <c r="J58">
        <v>17.245048600000001</v>
      </c>
      <c r="K58">
        <f t="shared" si="0"/>
        <v>0</v>
      </c>
      <c r="L58">
        <f t="shared" si="1"/>
        <v>15.086700400000002</v>
      </c>
    </row>
    <row r="59" spans="1:12" x14ac:dyDescent="0.2">
      <c r="A59" t="s">
        <v>163</v>
      </c>
      <c r="B59" s="3" t="s">
        <v>106</v>
      </c>
      <c r="C59">
        <v>146</v>
      </c>
      <c r="D59" s="3" t="s">
        <v>2</v>
      </c>
      <c r="E59" s="3">
        <v>17.2557221</v>
      </c>
      <c r="F59" s="3">
        <v>17.2557221</v>
      </c>
      <c r="G59">
        <f>AVERAGE(F59:F61)</f>
        <v>17.245048600000001</v>
      </c>
      <c r="H59">
        <f>STDEV(F59:F61)</f>
        <v>1.5094608457988292E-2</v>
      </c>
      <c r="I59">
        <v>32.331749000000002</v>
      </c>
      <c r="J59">
        <v>17.245048600000001</v>
      </c>
      <c r="K59">
        <f t="shared" si="0"/>
        <v>-15.086700400000002</v>
      </c>
      <c r="L59">
        <f t="shared" si="1"/>
        <v>0</v>
      </c>
    </row>
    <row r="60" spans="1:12" x14ac:dyDescent="0.2">
      <c r="A60" t="s">
        <v>163</v>
      </c>
      <c r="B60" s="3" t="s">
        <v>107</v>
      </c>
      <c r="C60">
        <v>146</v>
      </c>
      <c r="D60" s="3" t="s">
        <v>2</v>
      </c>
      <c r="E60" s="3">
        <v>17.234375100000001</v>
      </c>
      <c r="F60" s="3">
        <v>17.234375100000001</v>
      </c>
      <c r="G60">
        <f t="shared" ref="G60:H61" si="36">G59</f>
        <v>17.245048600000001</v>
      </c>
      <c r="H60">
        <f t="shared" si="36"/>
        <v>1.5094608457988292E-2</v>
      </c>
      <c r="I60">
        <v>32.331749000000002</v>
      </c>
      <c r="J60">
        <v>17.245048600000001</v>
      </c>
      <c r="K60">
        <f t="shared" si="0"/>
        <v>-15.086700400000002</v>
      </c>
      <c r="L60">
        <f t="shared" si="1"/>
        <v>0</v>
      </c>
    </row>
    <row r="61" spans="1:12" x14ac:dyDescent="0.2">
      <c r="A61" t="s">
        <v>163</v>
      </c>
      <c r="B61" s="3" t="s">
        <v>108</v>
      </c>
      <c r="C61">
        <v>146</v>
      </c>
      <c r="D61" s="3" t="s">
        <v>2</v>
      </c>
      <c r="E61" s="3">
        <v>12.6542008</v>
      </c>
      <c r="F61" s="3"/>
      <c r="G61">
        <f t="shared" si="36"/>
        <v>17.245048600000001</v>
      </c>
      <c r="H61">
        <f t="shared" ref="H61" si="37">H59</f>
        <v>1.5094608457988292E-2</v>
      </c>
      <c r="I61">
        <v>32.331749000000002</v>
      </c>
      <c r="J61">
        <v>17.245048600000001</v>
      </c>
      <c r="K61">
        <f t="shared" si="0"/>
        <v>-15.086700400000002</v>
      </c>
      <c r="L61">
        <f t="shared" si="1"/>
        <v>0</v>
      </c>
    </row>
    <row r="62" spans="1:12" s="1" customFormat="1" x14ac:dyDescent="0.2">
      <c r="A62" s="1" t="s">
        <v>163</v>
      </c>
      <c r="B62" s="1" t="s">
        <v>109</v>
      </c>
      <c r="C62" s="1">
        <v>146</v>
      </c>
      <c r="D62" s="1" t="s">
        <v>10</v>
      </c>
      <c r="E62" s="1" t="s">
        <v>155</v>
      </c>
      <c r="G62" s="1" t="e">
        <f>AVERAGE(F62:F64)</f>
        <v>#DIV/0!</v>
      </c>
      <c r="H62" s="1" t="e">
        <f>STDEV(F62:F64)</f>
        <v>#DIV/0!</v>
      </c>
      <c r="I62" s="1">
        <v>32.331749000000002</v>
      </c>
      <c r="J62" s="1">
        <v>17.245048600000001</v>
      </c>
      <c r="K62" s="1" t="e">
        <f t="shared" si="0"/>
        <v>#DIV/0!</v>
      </c>
      <c r="L62" s="1" t="e">
        <f t="shared" si="1"/>
        <v>#DIV/0!</v>
      </c>
    </row>
    <row r="63" spans="1:12" s="1" customFormat="1" x14ac:dyDescent="0.2">
      <c r="A63" s="1" t="s">
        <v>163</v>
      </c>
      <c r="B63" s="1" t="s">
        <v>110</v>
      </c>
      <c r="C63" s="1">
        <v>146</v>
      </c>
      <c r="D63" s="1" t="s">
        <v>10</v>
      </c>
      <c r="E63" s="1">
        <v>35.006723899999997</v>
      </c>
      <c r="G63" s="1" t="e">
        <f t="shared" ref="G63:H63" si="38">G62</f>
        <v>#DIV/0!</v>
      </c>
      <c r="H63" s="1" t="e">
        <f t="shared" si="38"/>
        <v>#DIV/0!</v>
      </c>
      <c r="I63" s="1">
        <v>32.331749000000002</v>
      </c>
      <c r="J63" s="1">
        <v>17.245048600000001</v>
      </c>
      <c r="K63" s="1" t="e">
        <f t="shared" si="0"/>
        <v>#DIV/0!</v>
      </c>
      <c r="L63" s="1" t="e">
        <f t="shared" si="1"/>
        <v>#DIV/0!</v>
      </c>
    </row>
    <row r="64" spans="1:12" s="1" customFormat="1" x14ac:dyDescent="0.2">
      <c r="A64" s="1" t="s">
        <v>163</v>
      </c>
      <c r="B64" s="1" t="s">
        <v>111</v>
      </c>
      <c r="C64" s="1">
        <v>146</v>
      </c>
      <c r="D64" s="1" t="s">
        <v>10</v>
      </c>
      <c r="E64" s="1">
        <v>38.763965599999999</v>
      </c>
      <c r="G64" s="1" t="e">
        <f t="shared" ref="G64:H64" si="39">G62</f>
        <v>#DIV/0!</v>
      </c>
      <c r="H64" s="1" t="e">
        <f t="shared" si="39"/>
        <v>#DIV/0!</v>
      </c>
      <c r="I64" s="1">
        <v>32.331749000000002</v>
      </c>
      <c r="J64" s="1">
        <v>17.245048600000001</v>
      </c>
      <c r="K64" s="1" t="e">
        <f t="shared" si="0"/>
        <v>#DIV/0!</v>
      </c>
      <c r="L64" s="1" t="e">
        <f t="shared" si="1"/>
        <v>#DIV/0!</v>
      </c>
    </row>
    <row r="65" spans="1:12" s="1" customFormat="1" x14ac:dyDescent="0.2">
      <c r="A65" s="1" t="s">
        <v>163</v>
      </c>
      <c r="B65" s="1" t="s">
        <v>112</v>
      </c>
      <c r="C65" s="1">
        <v>146</v>
      </c>
      <c r="D65" s="1" t="s">
        <v>14</v>
      </c>
      <c r="E65" s="1" t="s">
        <v>155</v>
      </c>
      <c r="G65" s="1" t="e">
        <f>AVERAGE(F65:F67)</f>
        <v>#DIV/0!</v>
      </c>
      <c r="H65" s="1" t="e">
        <f>STDEV(F65:F67)</f>
        <v>#DIV/0!</v>
      </c>
      <c r="I65" s="1">
        <v>32.331749000000002</v>
      </c>
      <c r="J65" s="1">
        <v>17.245048600000001</v>
      </c>
      <c r="K65" s="1" t="e">
        <f t="shared" si="0"/>
        <v>#DIV/0!</v>
      </c>
      <c r="L65" s="1" t="e">
        <f t="shared" si="1"/>
        <v>#DIV/0!</v>
      </c>
    </row>
    <row r="66" spans="1:12" s="1" customFormat="1" x14ac:dyDescent="0.2">
      <c r="A66" s="1" t="s">
        <v>163</v>
      </c>
      <c r="B66" s="1" t="s">
        <v>113</v>
      </c>
      <c r="C66" s="1">
        <v>146</v>
      </c>
      <c r="D66" s="1" t="s">
        <v>14</v>
      </c>
      <c r="E66" s="1" t="s">
        <v>155</v>
      </c>
      <c r="G66" s="1" t="e">
        <f t="shared" ref="G66:H67" si="40">G65</f>
        <v>#DIV/0!</v>
      </c>
      <c r="H66" s="1" t="e">
        <f t="shared" si="40"/>
        <v>#DIV/0!</v>
      </c>
      <c r="I66" s="1">
        <v>32.331749000000002</v>
      </c>
      <c r="J66" s="1">
        <v>17.245048600000001</v>
      </c>
      <c r="K66" s="1" t="e">
        <f t="shared" si="0"/>
        <v>#DIV/0!</v>
      </c>
      <c r="L66" s="1" t="e">
        <f t="shared" si="1"/>
        <v>#DIV/0!</v>
      </c>
    </row>
    <row r="67" spans="1:12" s="1" customFormat="1" x14ac:dyDescent="0.2">
      <c r="A67" s="1" t="s">
        <v>163</v>
      </c>
      <c r="B67" s="1" t="s">
        <v>114</v>
      </c>
      <c r="C67" s="1">
        <v>146</v>
      </c>
      <c r="D67" s="1" t="s">
        <v>14</v>
      </c>
      <c r="E67" s="1" t="s">
        <v>155</v>
      </c>
      <c r="G67" s="1" t="e">
        <f t="shared" si="40"/>
        <v>#DIV/0!</v>
      </c>
      <c r="H67" s="1" t="e">
        <f t="shared" ref="H67" si="41">H65</f>
        <v>#DIV/0!</v>
      </c>
      <c r="I67" s="1">
        <v>32.331749000000002</v>
      </c>
      <c r="J67" s="1">
        <v>17.245048600000001</v>
      </c>
      <c r="K67" s="1" t="e">
        <f t="shared" ref="K67:K97" si="42">G67-I67</f>
        <v>#DIV/0!</v>
      </c>
      <c r="L67" s="1" t="e">
        <f t="shared" ref="L67:L97" si="43">G67-J67</f>
        <v>#DIV/0!</v>
      </c>
    </row>
    <row r="68" spans="1:12" x14ac:dyDescent="0.2">
      <c r="A68" t="s">
        <v>163</v>
      </c>
      <c r="B68" s="3" t="s">
        <v>115</v>
      </c>
      <c r="C68">
        <v>146</v>
      </c>
      <c r="D68" t="s">
        <v>8</v>
      </c>
      <c r="E68" s="3">
        <v>34.269087300000002</v>
      </c>
      <c r="F68" s="3">
        <v>34.269087300000002</v>
      </c>
      <c r="G68">
        <f>AVERAGE(F68:F70)</f>
        <v>33.965430900000001</v>
      </c>
      <c r="H68">
        <f>STDEV(F68:F70)</f>
        <v>0.29077019767254519</v>
      </c>
      <c r="I68">
        <v>32.331749000000002</v>
      </c>
      <c r="J68">
        <v>17.245048600000001</v>
      </c>
      <c r="K68">
        <f t="shared" si="42"/>
        <v>1.6336818999999991</v>
      </c>
      <c r="L68">
        <f t="shared" si="43"/>
        <v>16.720382300000001</v>
      </c>
    </row>
    <row r="69" spans="1:12" x14ac:dyDescent="0.2">
      <c r="A69" t="s">
        <v>163</v>
      </c>
      <c r="B69" s="3" t="s">
        <v>116</v>
      </c>
      <c r="C69">
        <v>146</v>
      </c>
      <c r="D69" t="s">
        <v>8</v>
      </c>
      <c r="E69" s="3">
        <v>33.937666800000002</v>
      </c>
      <c r="F69" s="3">
        <v>33.937666800000002</v>
      </c>
      <c r="G69">
        <f t="shared" ref="G69:H69" si="44">G68</f>
        <v>33.965430900000001</v>
      </c>
      <c r="H69">
        <f t="shared" si="44"/>
        <v>0.29077019767254519</v>
      </c>
      <c r="I69">
        <v>32.331749000000002</v>
      </c>
      <c r="J69">
        <v>17.245048600000001</v>
      </c>
      <c r="K69">
        <f t="shared" si="42"/>
        <v>1.6336818999999991</v>
      </c>
      <c r="L69">
        <f t="shared" si="43"/>
        <v>16.720382300000001</v>
      </c>
    </row>
    <row r="70" spans="1:12" x14ac:dyDescent="0.2">
      <c r="A70" t="s">
        <v>163</v>
      </c>
      <c r="B70" s="3" t="s">
        <v>117</v>
      </c>
      <c r="C70">
        <v>146</v>
      </c>
      <c r="D70" t="s">
        <v>8</v>
      </c>
      <c r="E70" s="3">
        <v>33.689538599999999</v>
      </c>
      <c r="F70" s="3">
        <v>33.689538599999999</v>
      </c>
      <c r="G70">
        <f t="shared" ref="G70:H70" si="45">G68</f>
        <v>33.965430900000001</v>
      </c>
      <c r="H70">
        <f t="shared" si="45"/>
        <v>0.29077019767254519</v>
      </c>
      <c r="I70">
        <v>32.331749000000002</v>
      </c>
      <c r="J70">
        <v>17.245048600000001</v>
      </c>
      <c r="K70">
        <f t="shared" si="42"/>
        <v>1.6336818999999991</v>
      </c>
      <c r="L70">
        <f t="shared" si="43"/>
        <v>16.720382300000001</v>
      </c>
    </row>
    <row r="71" spans="1:12" x14ac:dyDescent="0.2">
      <c r="A71" t="s">
        <v>163</v>
      </c>
      <c r="B71" s="3" t="s">
        <v>118</v>
      </c>
      <c r="C71">
        <v>154</v>
      </c>
      <c r="D71" s="3" t="s">
        <v>1</v>
      </c>
      <c r="E71" s="3">
        <v>32.220439900000002</v>
      </c>
      <c r="F71" s="3">
        <v>32.220439900000002</v>
      </c>
      <c r="G71">
        <f>AVERAGE(F71:F73)</f>
        <v>31.949073300000002</v>
      </c>
      <c r="H71">
        <f>STDEV(F71:F73)</f>
        <v>0.38377032609507522</v>
      </c>
      <c r="I71">
        <f>G71</f>
        <v>31.949073300000002</v>
      </c>
      <c r="J71">
        <f>G74</f>
        <v>18.082015266666669</v>
      </c>
      <c r="K71">
        <f t="shared" si="42"/>
        <v>0</v>
      </c>
      <c r="L71">
        <f t="shared" si="43"/>
        <v>13.867058033333333</v>
      </c>
    </row>
    <row r="72" spans="1:12" x14ac:dyDescent="0.2">
      <c r="A72" t="s">
        <v>163</v>
      </c>
      <c r="B72" s="3" t="s">
        <v>119</v>
      </c>
      <c r="C72">
        <v>154</v>
      </c>
      <c r="D72" s="3" t="s">
        <v>1</v>
      </c>
      <c r="E72" s="3">
        <v>31.677706700000002</v>
      </c>
      <c r="F72" s="3">
        <v>31.677706700000002</v>
      </c>
      <c r="G72">
        <f t="shared" ref="G72:H73" si="46">G71</f>
        <v>31.949073300000002</v>
      </c>
      <c r="H72">
        <f t="shared" si="46"/>
        <v>0.38377032609507522</v>
      </c>
      <c r="I72">
        <v>31.949073300000002</v>
      </c>
      <c r="J72">
        <v>18.082015266666669</v>
      </c>
      <c r="K72">
        <f t="shared" si="42"/>
        <v>0</v>
      </c>
      <c r="L72">
        <f t="shared" si="43"/>
        <v>13.867058033333333</v>
      </c>
    </row>
    <row r="73" spans="1:12" x14ac:dyDescent="0.2">
      <c r="A73" t="s">
        <v>163</v>
      </c>
      <c r="B73" s="3" t="s">
        <v>120</v>
      </c>
      <c r="C73">
        <v>154</v>
      </c>
      <c r="D73" s="3" t="s">
        <v>1</v>
      </c>
      <c r="E73" s="3">
        <v>33.3306349</v>
      </c>
      <c r="F73" s="3"/>
      <c r="G73">
        <f t="shared" si="46"/>
        <v>31.949073300000002</v>
      </c>
      <c r="H73">
        <f t="shared" ref="H73" si="47">H71</f>
        <v>0.38377032609507522</v>
      </c>
      <c r="I73">
        <v>31.949073300000002</v>
      </c>
      <c r="J73">
        <v>18.082015266666669</v>
      </c>
      <c r="K73">
        <f t="shared" si="42"/>
        <v>0</v>
      </c>
      <c r="L73">
        <f t="shared" si="43"/>
        <v>13.867058033333333</v>
      </c>
    </row>
    <row r="74" spans="1:12" x14ac:dyDescent="0.2">
      <c r="A74" t="s">
        <v>163</v>
      </c>
      <c r="B74" s="3" t="s">
        <v>121</v>
      </c>
      <c r="C74">
        <v>154</v>
      </c>
      <c r="D74" s="3" t="s">
        <v>2</v>
      </c>
      <c r="E74" s="3">
        <v>18.222828</v>
      </c>
      <c r="F74" s="3">
        <v>18.222828</v>
      </c>
      <c r="G74">
        <f>AVERAGE(F74:F76)</f>
        <v>18.082015266666669</v>
      </c>
      <c r="H74">
        <f>STDEV(F74:F76)</f>
        <v>0.12483146941714368</v>
      </c>
      <c r="I74">
        <v>31.949073299999998</v>
      </c>
      <c r="J74">
        <v>18.082015266666701</v>
      </c>
      <c r="K74">
        <f t="shared" si="42"/>
        <v>-13.867058033333329</v>
      </c>
      <c r="L74">
        <f t="shared" si="43"/>
        <v>-3.1974423109204508E-14</v>
      </c>
    </row>
    <row r="75" spans="1:12" x14ac:dyDescent="0.2">
      <c r="A75" t="s">
        <v>163</v>
      </c>
      <c r="B75" s="3" t="s">
        <v>122</v>
      </c>
      <c r="C75">
        <v>154</v>
      </c>
      <c r="D75" s="3" t="s">
        <v>2</v>
      </c>
      <c r="E75" s="3">
        <v>17.9849307</v>
      </c>
      <c r="F75" s="3">
        <v>17.9849307</v>
      </c>
      <c r="G75">
        <f t="shared" ref="G75:H75" si="48">G74</f>
        <v>18.082015266666669</v>
      </c>
      <c r="H75">
        <f t="shared" si="48"/>
        <v>0.12483146941714368</v>
      </c>
      <c r="I75">
        <v>31.949073299999998</v>
      </c>
      <c r="J75">
        <v>18.082015266666701</v>
      </c>
      <c r="K75">
        <f t="shared" si="42"/>
        <v>-13.867058033333329</v>
      </c>
      <c r="L75">
        <f t="shared" si="43"/>
        <v>-3.1974423109204508E-14</v>
      </c>
    </row>
    <row r="76" spans="1:12" x14ac:dyDescent="0.2">
      <c r="A76" t="s">
        <v>163</v>
      </c>
      <c r="B76" s="3" t="s">
        <v>123</v>
      </c>
      <c r="C76">
        <v>154</v>
      </c>
      <c r="D76" s="3" t="s">
        <v>2</v>
      </c>
      <c r="E76" s="3">
        <v>18.038287100000002</v>
      </c>
      <c r="F76" s="3">
        <v>18.038287100000002</v>
      </c>
      <c r="G76">
        <f t="shared" ref="G76:H76" si="49">G74</f>
        <v>18.082015266666669</v>
      </c>
      <c r="H76">
        <f t="shared" si="49"/>
        <v>0.12483146941714368</v>
      </c>
      <c r="I76">
        <v>31.949073299999998</v>
      </c>
      <c r="J76">
        <v>18.082015266666701</v>
      </c>
      <c r="K76">
        <f t="shared" si="42"/>
        <v>-13.867058033333329</v>
      </c>
      <c r="L76">
        <f t="shared" si="43"/>
        <v>-3.1974423109204508E-14</v>
      </c>
    </row>
    <row r="77" spans="1:12" s="1" customFormat="1" x14ac:dyDescent="0.2">
      <c r="A77" s="1" t="s">
        <v>163</v>
      </c>
      <c r="B77" s="1" t="s">
        <v>124</v>
      </c>
      <c r="C77" s="1">
        <v>154</v>
      </c>
      <c r="D77" s="1" t="s">
        <v>14</v>
      </c>
      <c r="E77" s="1" t="s">
        <v>155</v>
      </c>
      <c r="G77" s="1" t="e">
        <f>AVERAGE(F77:F79)</f>
        <v>#DIV/0!</v>
      </c>
      <c r="H77" s="1" t="e">
        <f>STDEV(F77:F79)</f>
        <v>#DIV/0!</v>
      </c>
      <c r="I77" s="1">
        <v>31.949073299999998</v>
      </c>
      <c r="J77" s="1">
        <v>18.082015266666701</v>
      </c>
      <c r="K77" s="1" t="e">
        <f t="shared" si="42"/>
        <v>#DIV/0!</v>
      </c>
      <c r="L77" s="1" t="e">
        <f t="shared" si="43"/>
        <v>#DIV/0!</v>
      </c>
    </row>
    <row r="78" spans="1:12" s="1" customFormat="1" x14ac:dyDescent="0.2">
      <c r="A78" s="1" t="s">
        <v>163</v>
      </c>
      <c r="B78" s="1" t="s">
        <v>125</v>
      </c>
      <c r="C78" s="1">
        <v>154</v>
      </c>
      <c r="D78" s="1" t="s">
        <v>14</v>
      </c>
      <c r="E78" s="1">
        <v>36.992075900000003</v>
      </c>
      <c r="G78" s="1" t="e">
        <f t="shared" ref="G78:H79" si="50">G77</f>
        <v>#DIV/0!</v>
      </c>
      <c r="H78" s="1" t="e">
        <f t="shared" si="50"/>
        <v>#DIV/0!</v>
      </c>
      <c r="I78" s="1">
        <v>31.949073299999998</v>
      </c>
      <c r="J78" s="1">
        <v>18.082015266666701</v>
      </c>
      <c r="K78" s="1" t="e">
        <f t="shared" si="42"/>
        <v>#DIV/0!</v>
      </c>
      <c r="L78" s="1" t="e">
        <f t="shared" si="43"/>
        <v>#DIV/0!</v>
      </c>
    </row>
    <row r="79" spans="1:12" s="1" customFormat="1" x14ac:dyDescent="0.2">
      <c r="A79" s="1" t="s">
        <v>163</v>
      </c>
      <c r="B79" s="1" t="s">
        <v>126</v>
      </c>
      <c r="C79" s="1">
        <v>154</v>
      </c>
      <c r="D79" s="1" t="s">
        <v>14</v>
      </c>
      <c r="E79" s="1">
        <v>33.928759399999997</v>
      </c>
      <c r="G79" s="1" t="e">
        <f t="shared" si="50"/>
        <v>#DIV/0!</v>
      </c>
      <c r="H79" s="1" t="e">
        <f t="shared" ref="H79" si="51">H77</f>
        <v>#DIV/0!</v>
      </c>
      <c r="I79" s="1">
        <v>31.949073299999998</v>
      </c>
      <c r="J79" s="1">
        <v>18.082015266666701</v>
      </c>
      <c r="K79" s="1" t="e">
        <f t="shared" si="42"/>
        <v>#DIV/0!</v>
      </c>
      <c r="L79" s="1" t="e">
        <f t="shared" si="43"/>
        <v>#DIV/0!</v>
      </c>
    </row>
    <row r="80" spans="1:12" s="1" customFormat="1" x14ac:dyDescent="0.2">
      <c r="A80" s="1" t="s">
        <v>163</v>
      </c>
      <c r="B80" s="1" t="s">
        <v>127</v>
      </c>
      <c r="C80" s="1">
        <v>154</v>
      </c>
      <c r="D80" s="1" t="s">
        <v>13</v>
      </c>
      <c r="E80" s="1">
        <v>37.4712295</v>
      </c>
      <c r="G80" s="1" t="e">
        <f>AVERAGE(F80:F82)</f>
        <v>#DIV/0!</v>
      </c>
      <c r="H80" s="1" t="e">
        <f>STDEV(F80:F82)</f>
        <v>#DIV/0!</v>
      </c>
      <c r="I80" s="1">
        <v>31.949073299999998</v>
      </c>
      <c r="J80" s="1">
        <v>18.082015266666701</v>
      </c>
      <c r="K80" s="1" t="e">
        <f t="shared" si="42"/>
        <v>#DIV/0!</v>
      </c>
      <c r="L80" s="1" t="e">
        <f t="shared" si="43"/>
        <v>#DIV/0!</v>
      </c>
    </row>
    <row r="81" spans="1:12" s="1" customFormat="1" x14ac:dyDescent="0.2">
      <c r="A81" s="1" t="s">
        <v>163</v>
      </c>
      <c r="B81" s="1" t="s">
        <v>128</v>
      </c>
      <c r="C81" s="1">
        <v>154</v>
      </c>
      <c r="D81" s="1" t="s">
        <v>13</v>
      </c>
      <c r="E81" s="1">
        <v>35.252074</v>
      </c>
      <c r="G81" s="1" t="e">
        <f t="shared" ref="G81:H81" si="52">G80</f>
        <v>#DIV/0!</v>
      </c>
      <c r="H81" s="1" t="e">
        <f t="shared" si="52"/>
        <v>#DIV/0!</v>
      </c>
      <c r="I81" s="1">
        <v>31.949073299999998</v>
      </c>
      <c r="J81" s="1">
        <v>18.082015266666701</v>
      </c>
      <c r="K81" s="1" t="e">
        <f t="shared" si="42"/>
        <v>#DIV/0!</v>
      </c>
      <c r="L81" s="1" t="e">
        <f t="shared" si="43"/>
        <v>#DIV/0!</v>
      </c>
    </row>
    <row r="82" spans="1:12" s="1" customFormat="1" x14ac:dyDescent="0.2">
      <c r="A82" s="1" t="s">
        <v>163</v>
      </c>
      <c r="B82" s="1" t="s">
        <v>129</v>
      </c>
      <c r="C82" s="1">
        <v>154</v>
      </c>
      <c r="D82" s="1" t="s">
        <v>13</v>
      </c>
      <c r="E82" s="1">
        <v>39.340661500000003</v>
      </c>
      <c r="G82" s="1" t="e">
        <f t="shared" ref="G82:H82" si="53">G80</f>
        <v>#DIV/0!</v>
      </c>
      <c r="H82" s="1" t="e">
        <f t="shared" si="53"/>
        <v>#DIV/0!</v>
      </c>
      <c r="I82" s="1">
        <v>31.949073299999998</v>
      </c>
      <c r="J82" s="1">
        <v>18.082015266666701</v>
      </c>
      <c r="K82" s="1" t="e">
        <f t="shared" si="42"/>
        <v>#DIV/0!</v>
      </c>
      <c r="L82" s="1" t="e">
        <f t="shared" si="43"/>
        <v>#DIV/0!</v>
      </c>
    </row>
    <row r="83" spans="1:12" x14ac:dyDescent="0.2">
      <c r="A83" t="s">
        <v>163</v>
      </c>
      <c r="B83" s="3" t="s">
        <v>130</v>
      </c>
      <c r="C83">
        <v>156</v>
      </c>
      <c r="D83" s="3" t="s">
        <v>1</v>
      </c>
      <c r="E83" s="3">
        <v>32.559220000000003</v>
      </c>
      <c r="F83" s="3">
        <v>32.559220000000003</v>
      </c>
      <c r="G83">
        <f>AVERAGE(F83:F85)</f>
        <v>32.457983133333336</v>
      </c>
      <c r="H83">
        <f>STDEV(F83:F85)</f>
        <v>0.12038493005822531</v>
      </c>
      <c r="I83">
        <f>G83</f>
        <v>32.457983133333336</v>
      </c>
      <c r="J83">
        <f>G86</f>
        <v>18.074410199999999</v>
      </c>
      <c r="K83">
        <f t="shared" si="42"/>
        <v>0</v>
      </c>
      <c r="L83">
        <f t="shared" si="43"/>
        <v>14.383572933333337</v>
      </c>
    </row>
    <row r="84" spans="1:12" x14ac:dyDescent="0.2">
      <c r="A84" t="s">
        <v>163</v>
      </c>
      <c r="B84" s="3" t="s">
        <v>131</v>
      </c>
      <c r="C84">
        <v>156</v>
      </c>
      <c r="D84" s="3" t="s">
        <v>1</v>
      </c>
      <c r="E84" s="3">
        <v>32.489862299999999</v>
      </c>
      <c r="F84" s="3">
        <v>32.489862299999999</v>
      </c>
      <c r="G84">
        <f t="shared" ref="G84:H85" si="54">G83</f>
        <v>32.457983133333336</v>
      </c>
      <c r="H84">
        <f t="shared" si="54"/>
        <v>0.12038493005822531</v>
      </c>
      <c r="I84">
        <v>32.457983133333336</v>
      </c>
      <c r="J84">
        <v>18.074410199999999</v>
      </c>
      <c r="K84">
        <f t="shared" si="42"/>
        <v>0</v>
      </c>
      <c r="L84">
        <f t="shared" si="43"/>
        <v>14.383572933333337</v>
      </c>
    </row>
    <row r="85" spans="1:12" x14ac:dyDescent="0.2">
      <c r="A85" t="s">
        <v>163</v>
      </c>
      <c r="B85" s="3" t="s">
        <v>132</v>
      </c>
      <c r="C85">
        <v>156</v>
      </c>
      <c r="D85" s="3" t="s">
        <v>1</v>
      </c>
      <c r="E85" s="3">
        <v>32.324867099999999</v>
      </c>
      <c r="F85" s="3">
        <v>32.324867099999999</v>
      </c>
      <c r="G85">
        <f t="shared" si="54"/>
        <v>32.457983133333336</v>
      </c>
      <c r="H85">
        <f t="shared" ref="H85" si="55">H83</f>
        <v>0.12038493005822531</v>
      </c>
      <c r="I85">
        <v>32.457983133333336</v>
      </c>
      <c r="J85">
        <v>18.074410199999999</v>
      </c>
      <c r="K85">
        <f t="shared" si="42"/>
        <v>0</v>
      </c>
      <c r="L85">
        <f t="shared" si="43"/>
        <v>14.383572933333337</v>
      </c>
    </row>
    <row r="86" spans="1:12" x14ac:dyDescent="0.2">
      <c r="A86" t="s">
        <v>163</v>
      </c>
      <c r="B86" s="3" t="s">
        <v>133</v>
      </c>
      <c r="C86">
        <v>156</v>
      </c>
      <c r="D86" s="3" t="s">
        <v>2</v>
      </c>
      <c r="E86" s="3">
        <v>18.180668499999999</v>
      </c>
      <c r="F86" s="3">
        <v>18.180668499999999</v>
      </c>
      <c r="G86">
        <f>AVERAGE(F86:F88)</f>
        <v>18.074410199999999</v>
      </c>
      <c r="H86">
        <f>STDEV(F86:F88)</f>
        <v>0.11036692814983171</v>
      </c>
      <c r="I86">
        <v>32.4579831333333</v>
      </c>
      <c r="J86">
        <v>18.074410199999999</v>
      </c>
      <c r="K86">
        <f t="shared" si="42"/>
        <v>-14.383572933333301</v>
      </c>
      <c r="L86">
        <f t="shared" si="43"/>
        <v>0</v>
      </c>
    </row>
    <row r="87" spans="1:12" x14ac:dyDescent="0.2">
      <c r="A87" t="s">
        <v>163</v>
      </c>
      <c r="B87" s="3" t="s">
        <v>134</v>
      </c>
      <c r="C87">
        <v>156</v>
      </c>
      <c r="D87" s="3" t="s">
        <v>2</v>
      </c>
      <c r="E87" s="3">
        <v>18.082213299999999</v>
      </c>
      <c r="F87" s="3">
        <v>18.082213299999999</v>
      </c>
      <c r="G87">
        <f t="shared" ref="G87:H87" si="56">G86</f>
        <v>18.074410199999999</v>
      </c>
      <c r="H87">
        <f t="shared" si="56"/>
        <v>0.11036692814983171</v>
      </c>
      <c r="I87">
        <v>32.4579831333333</v>
      </c>
      <c r="J87">
        <v>18.074410199999999</v>
      </c>
      <c r="K87">
        <f t="shared" si="42"/>
        <v>-14.383572933333301</v>
      </c>
      <c r="L87">
        <f t="shared" si="43"/>
        <v>0</v>
      </c>
    </row>
    <row r="88" spans="1:12" x14ac:dyDescent="0.2">
      <c r="A88" t="s">
        <v>163</v>
      </c>
      <c r="B88" s="3" t="s">
        <v>135</v>
      </c>
      <c r="C88">
        <v>156</v>
      </c>
      <c r="D88" s="3" t="s">
        <v>2</v>
      </c>
      <c r="E88" s="3">
        <v>17.960348799999998</v>
      </c>
      <c r="F88" s="3">
        <v>17.960348799999998</v>
      </c>
      <c r="G88">
        <f t="shared" ref="G88:H88" si="57">G86</f>
        <v>18.074410199999999</v>
      </c>
      <c r="H88">
        <f t="shared" si="57"/>
        <v>0.11036692814983171</v>
      </c>
      <c r="I88">
        <v>32.4579831333333</v>
      </c>
      <c r="J88">
        <v>18.074410199999999</v>
      </c>
      <c r="K88">
        <f t="shared" si="42"/>
        <v>-14.383572933333301</v>
      </c>
      <c r="L88">
        <f t="shared" si="43"/>
        <v>0</v>
      </c>
    </row>
    <row r="89" spans="1:12" x14ac:dyDescent="0.2">
      <c r="A89" t="s">
        <v>163</v>
      </c>
      <c r="B89" s="3" t="s">
        <v>136</v>
      </c>
      <c r="C89">
        <v>156</v>
      </c>
      <c r="D89" s="3" t="s">
        <v>10</v>
      </c>
      <c r="E89" s="3">
        <v>34.164591700000003</v>
      </c>
      <c r="F89" s="3"/>
      <c r="G89">
        <f>AVERAGE(F89:F91)</f>
        <v>37.453541649999998</v>
      </c>
      <c r="H89">
        <f>STDEV(F89:F91)</f>
        <v>0.41960176015017531</v>
      </c>
      <c r="I89">
        <v>32.4579831333333</v>
      </c>
      <c r="J89">
        <v>18.074410199999999</v>
      </c>
      <c r="K89">
        <f t="shared" si="42"/>
        <v>4.9955585166666978</v>
      </c>
      <c r="L89">
        <f t="shared" si="43"/>
        <v>19.379131449999999</v>
      </c>
    </row>
    <row r="90" spans="1:12" x14ac:dyDescent="0.2">
      <c r="A90" t="s">
        <v>163</v>
      </c>
      <c r="B90" s="3" t="s">
        <v>137</v>
      </c>
      <c r="C90">
        <v>156</v>
      </c>
      <c r="D90" s="3" t="s">
        <v>10</v>
      </c>
      <c r="E90" s="3">
        <v>37.156838399999998</v>
      </c>
      <c r="F90" s="3">
        <v>37.156838399999998</v>
      </c>
      <c r="G90">
        <f t="shared" ref="G90:H91" si="58">G89</f>
        <v>37.453541649999998</v>
      </c>
      <c r="H90">
        <f t="shared" si="58"/>
        <v>0.41960176015017531</v>
      </c>
      <c r="I90">
        <v>32.4579831333333</v>
      </c>
      <c r="J90">
        <v>18.074410199999999</v>
      </c>
      <c r="K90">
        <f t="shared" si="42"/>
        <v>4.9955585166666978</v>
      </c>
      <c r="L90">
        <f t="shared" si="43"/>
        <v>19.379131449999999</v>
      </c>
    </row>
    <row r="91" spans="1:12" x14ac:dyDescent="0.2">
      <c r="A91" t="s">
        <v>163</v>
      </c>
      <c r="B91" s="3" t="s">
        <v>138</v>
      </c>
      <c r="C91">
        <v>156</v>
      </c>
      <c r="D91" s="3" t="s">
        <v>10</v>
      </c>
      <c r="E91" s="3">
        <v>37.750244899999998</v>
      </c>
      <c r="F91" s="3">
        <v>37.750244899999998</v>
      </c>
      <c r="G91">
        <f t="shared" si="58"/>
        <v>37.453541649999998</v>
      </c>
      <c r="H91">
        <f t="shared" ref="H91" si="59">H89</f>
        <v>0.41960176015017531</v>
      </c>
      <c r="I91">
        <v>32.4579831333333</v>
      </c>
      <c r="J91">
        <v>18.074410199999999</v>
      </c>
      <c r="K91">
        <f t="shared" si="42"/>
        <v>4.9955585166666978</v>
      </c>
      <c r="L91">
        <f t="shared" si="43"/>
        <v>19.379131449999999</v>
      </c>
    </row>
    <row r="92" spans="1:12" x14ac:dyDescent="0.2">
      <c r="A92" t="s">
        <v>163</v>
      </c>
      <c r="B92" s="3" t="s">
        <v>139</v>
      </c>
      <c r="C92">
        <v>156</v>
      </c>
      <c r="D92" s="3" t="s">
        <v>13</v>
      </c>
      <c r="E92" s="3">
        <v>39.570665099999999</v>
      </c>
      <c r="F92" s="3">
        <v>39.570665099999999</v>
      </c>
      <c r="G92">
        <f>AVERAGE(F92:F94)</f>
        <v>39.689780299999995</v>
      </c>
      <c r="H92">
        <f>STDEV(F92:F94)</f>
        <v>0.16845433132478302</v>
      </c>
      <c r="I92">
        <v>32.4579831333333</v>
      </c>
      <c r="J92">
        <v>18.074410199999999</v>
      </c>
      <c r="K92">
        <f t="shared" si="42"/>
        <v>7.2317971666666949</v>
      </c>
      <c r="L92">
        <f t="shared" si="43"/>
        <v>21.615370099999996</v>
      </c>
    </row>
    <row r="93" spans="1:12" x14ac:dyDescent="0.2">
      <c r="A93" t="s">
        <v>163</v>
      </c>
      <c r="B93" s="3" t="s">
        <v>140</v>
      </c>
      <c r="C93">
        <v>156</v>
      </c>
      <c r="D93" s="3" t="s">
        <v>13</v>
      </c>
      <c r="E93" s="3">
        <v>38.632302299999999</v>
      </c>
      <c r="F93" s="3"/>
      <c r="G93">
        <f t="shared" ref="G93:H93" si="60">G92</f>
        <v>39.689780299999995</v>
      </c>
      <c r="H93">
        <f t="shared" si="60"/>
        <v>0.16845433132478302</v>
      </c>
      <c r="I93">
        <v>32.4579831333333</v>
      </c>
      <c r="J93">
        <v>18.074410199999999</v>
      </c>
      <c r="K93">
        <f t="shared" si="42"/>
        <v>7.2317971666666949</v>
      </c>
      <c r="L93">
        <f t="shared" si="43"/>
        <v>21.615370099999996</v>
      </c>
    </row>
    <row r="94" spans="1:12" x14ac:dyDescent="0.2">
      <c r="A94" t="s">
        <v>163</v>
      </c>
      <c r="B94" s="3" t="s">
        <v>141</v>
      </c>
      <c r="C94">
        <v>156</v>
      </c>
      <c r="D94" s="3" t="s">
        <v>13</v>
      </c>
      <c r="E94" s="3">
        <v>39.808895499999998</v>
      </c>
      <c r="F94" s="3">
        <v>39.808895499999998</v>
      </c>
      <c r="G94">
        <f t="shared" ref="G94:H94" si="61">G92</f>
        <v>39.689780299999995</v>
      </c>
      <c r="H94">
        <f t="shared" si="61"/>
        <v>0.16845433132478302</v>
      </c>
      <c r="I94">
        <v>32.4579831333333</v>
      </c>
      <c r="J94">
        <v>18.074410199999999</v>
      </c>
      <c r="K94">
        <f t="shared" si="42"/>
        <v>7.2317971666666949</v>
      </c>
      <c r="L94">
        <f t="shared" si="43"/>
        <v>21.615370099999996</v>
      </c>
    </row>
    <row r="95" spans="1:12" x14ac:dyDescent="0.2">
      <c r="A95" t="s">
        <v>163</v>
      </c>
      <c r="B95" s="3" t="s">
        <v>142</v>
      </c>
      <c r="E95" s="3" t="s">
        <v>155</v>
      </c>
      <c r="F95" s="3" t="s">
        <v>155</v>
      </c>
      <c r="G95" t="e">
        <f>AVERAGE(F95:F97)</f>
        <v>#DIV/0!</v>
      </c>
      <c r="H95" t="e">
        <f>STDEV(F95:F97)</f>
        <v>#DIV/0!</v>
      </c>
      <c r="K95" t="e">
        <f t="shared" si="42"/>
        <v>#DIV/0!</v>
      </c>
      <c r="L95" t="e">
        <f t="shared" si="43"/>
        <v>#DIV/0!</v>
      </c>
    </row>
    <row r="96" spans="1:12" x14ac:dyDescent="0.2">
      <c r="A96" t="s">
        <v>163</v>
      </c>
      <c r="B96" s="3" t="s">
        <v>143</v>
      </c>
      <c r="E96" s="3" t="s">
        <v>155</v>
      </c>
      <c r="F96" s="3" t="s">
        <v>155</v>
      </c>
      <c r="G96" t="e">
        <f t="shared" ref="G96:H97" si="62">G95</f>
        <v>#DIV/0!</v>
      </c>
      <c r="H96" t="e">
        <f t="shared" si="62"/>
        <v>#DIV/0!</v>
      </c>
      <c r="K96" t="e">
        <f t="shared" si="42"/>
        <v>#DIV/0!</v>
      </c>
      <c r="L96" t="e">
        <f t="shared" si="43"/>
        <v>#DIV/0!</v>
      </c>
    </row>
    <row r="97" spans="1:12" x14ac:dyDescent="0.2">
      <c r="A97" t="s">
        <v>163</v>
      </c>
      <c r="B97" s="3" t="s">
        <v>144</v>
      </c>
      <c r="E97" s="3" t="s">
        <v>155</v>
      </c>
      <c r="F97" s="3" t="s">
        <v>155</v>
      </c>
      <c r="G97" t="e">
        <f t="shared" si="62"/>
        <v>#DIV/0!</v>
      </c>
      <c r="H97" t="e">
        <f t="shared" ref="H97" si="63">H95</f>
        <v>#DIV/0!</v>
      </c>
      <c r="K97" t="e">
        <f t="shared" si="42"/>
        <v>#DIV/0!</v>
      </c>
      <c r="L97" t="e">
        <f t="shared" si="43"/>
        <v>#DIV/0!</v>
      </c>
    </row>
  </sheetData>
  <phoneticPr fontId="2" type="noConversion"/>
  <conditionalFormatting sqref="H2:H85">
    <cfRule type="cellIs" dxfId="1" priority="2" operator="greaterThan">
      <formula>0.3</formula>
    </cfRule>
  </conditionalFormatting>
  <conditionalFormatting sqref="H86:H97">
    <cfRule type="cellIs" dxfId="0" priority="1" operator="greaterThan">
      <formula>0.3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47BA-3AF9-9544-8ACB-A2DD52639B80}">
  <dimension ref="A1:D97"/>
  <sheetViews>
    <sheetView workbookViewId="0">
      <selection sqref="A1:D97"/>
    </sheetView>
  </sheetViews>
  <sheetFormatPr baseColWidth="10" defaultRowHeight="16" x14ac:dyDescent="0.2"/>
  <sheetData>
    <row r="1" spans="1:4" x14ac:dyDescent="0.2">
      <c r="A1" t="s">
        <v>147</v>
      </c>
      <c r="B1" s="3" t="s">
        <v>48</v>
      </c>
      <c r="C1" t="s">
        <v>146</v>
      </c>
      <c r="D1" t="s">
        <v>162</v>
      </c>
    </row>
    <row r="2" spans="1:4" x14ac:dyDescent="0.2">
      <c r="A2" t="s">
        <v>161</v>
      </c>
      <c r="B2" s="3" t="s">
        <v>49</v>
      </c>
      <c r="C2">
        <v>162</v>
      </c>
      <c r="D2" s="3" t="s">
        <v>1</v>
      </c>
    </row>
    <row r="3" spans="1:4" x14ac:dyDescent="0.2">
      <c r="A3" t="s">
        <v>161</v>
      </c>
      <c r="B3" s="3" t="s">
        <v>50</v>
      </c>
      <c r="C3">
        <v>162</v>
      </c>
      <c r="D3" s="3" t="s">
        <v>1</v>
      </c>
    </row>
    <row r="4" spans="1:4" x14ac:dyDescent="0.2">
      <c r="A4" t="s">
        <v>161</v>
      </c>
      <c r="B4" s="3" t="s">
        <v>51</v>
      </c>
      <c r="C4">
        <v>162</v>
      </c>
      <c r="D4" s="3" t="s">
        <v>1</v>
      </c>
    </row>
    <row r="5" spans="1:4" x14ac:dyDescent="0.2">
      <c r="A5" t="s">
        <v>161</v>
      </c>
      <c r="B5" s="3" t="s">
        <v>52</v>
      </c>
      <c r="C5">
        <v>162</v>
      </c>
      <c r="D5" s="3" t="s">
        <v>2</v>
      </c>
    </row>
    <row r="6" spans="1:4" x14ac:dyDescent="0.2">
      <c r="A6" t="s">
        <v>161</v>
      </c>
      <c r="B6" s="3" t="s">
        <v>53</v>
      </c>
      <c r="C6">
        <v>162</v>
      </c>
      <c r="D6" s="3" t="s">
        <v>2</v>
      </c>
    </row>
    <row r="7" spans="1:4" x14ac:dyDescent="0.2">
      <c r="A7" t="s">
        <v>161</v>
      </c>
      <c r="B7" s="3" t="s">
        <v>54</v>
      </c>
      <c r="C7">
        <v>162</v>
      </c>
      <c r="D7" s="3" t="s">
        <v>2</v>
      </c>
    </row>
    <row r="8" spans="1:4" x14ac:dyDescent="0.2">
      <c r="A8" t="s">
        <v>161</v>
      </c>
      <c r="B8" s="3" t="s">
        <v>55</v>
      </c>
      <c r="C8">
        <v>162</v>
      </c>
      <c r="D8" s="3" t="s">
        <v>13</v>
      </c>
    </row>
    <row r="9" spans="1:4" x14ac:dyDescent="0.2">
      <c r="A9" t="s">
        <v>161</v>
      </c>
      <c r="B9" s="3" t="s">
        <v>56</v>
      </c>
      <c r="C9">
        <v>162</v>
      </c>
      <c r="D9" s="3" t="s">
        <v>13</v>
      </c>
    </row>
    <row r="10" spans="1:4" x14ac:dyDescent="0.2">
      <c r="A10" t="s">
        <v>161</v>
      </c>
      <c r="B10" s="3" t="s">
        <v>57</v>
      </c>
      <c r="C10">
        <v>162</v>
      </c>
      <c r="D10" s="3" t="s">
        <v>13</v>
      </c>
    </row>
    <row r="11" spans="1:4" x14ac:dyDescent="0.2">
      <c r="A11" t="s">
        <v>161</v>
      </c>
      <c r="B11" s="3" t="s">
        <v>58</v>
      </c>
      <c r="C11">
        <v>162</v>
      </c>
      <c r="D11" t="s">
        <v>8</v>
      </c>
    </row>
    <row r="12" spans="1:4" x14ac:dyDescent="0.2">
      <c r="A12" t="s">
        <v>161</v>
      </c>
      <c r="B12" s="3" t="s">
        <v>59</v>
      </c>
      <c r="C12">
        <v>162</v>
      </c>
      <c r="D12" t="s">
        <v>8</v>
      </c>
    </row>
    <row r="13" spans="1:4" x14ac:dyDescent="0.2">
      <c r="A13" t="s">
        <v>161</v>
      </c>
      <c r="B13" s="3" t="s">
        <v>60</v>
      </c>
      <c r="C13">
        <v>162</v>
      </c>
      <c r="D13" t="s">
        <v>8</v>
      </c>
    </row>
    <row r="14" spans="1:4" x14ac:dyDescent="0.2">
      <c r="A14" t="s">
        <v>161</v>
      </c>
      <c r="B14" s="3" t="s">
        <v>61</v>
      </c>
      <c r="C14">
        <v>1701</v>
      </c>
      <c r="D14" s="3" t="s">
        <v>1</v>
      </c>
    </row>
    <row r="15" spans="1:4" x14ac:dyDescent="0.2">
      <c r="A15" t="s">
        <v>161</v>
      </c>
      <c r="B15" s="3" t="s">
        <v>62</v>
      </c>
      <c r="C15">
        <v>1701</v>
      </c>
      <c r="D15" s="3" t="s">
        <v>1</v>
      </c>
    </row>
    <row r="16" spans="1:4" x14ac:dyDescent="0.2">
      <c r="A16" t="s">
        <v>161</v>
      </c>
      <c r="B16" s="3" t="s">
        <v>63</v>
      </c>
      <c r="C16">
        <v>1701</v>
      </c>
      <c r="D16" s="3" t="s">
        <v>1</v>
      </c>
    </row>
    <row r="17" spans="1:4" x14ac:dyDescent="0.2">
      <c r="A17" t="s">
        <v>161</v>
      </c>
      <c r="B17" s="3" t="s">
        <v>64</v>
      </c>
      <c r="C17">
        <v>1701</v>
      </c>
      <c r="D17" s="3" t="s">
        <v>2</v>
      </c>
    </row>
    <row r="18" spans="1:4" x14ac:dyDescent="0.2">
      <c r="A18" t="s">
        <v>161</v>
      </c>
      <c r="B18" s="3" t="s">
        <v>65</v>
      </c>
      <c r="C18">
        <v>1701</v>
      </c>
      <c r="D18" s="3" t="s">
        <v>2</v>
      </c>
    </row>
    <row r="19" spans="1:4" x14ac:dyDescent="0.2">
      <c r="A19" t="s">
        <v>161</v>
      </c>
      <c r="B19" s="3" t="s">
        <v>66</v>
      </c>
      <c r="C19">
        <v>1701</v>
      </c>
      <c r="D19" s="3" t="s">
        <v>2</v>
      </c>
    </row>
    <row r="20" spans="1:4" x14ac:dyDescent="0.2">
      <c r="A20" t="s">
        <v>161</v>
      </c>
      <c r="B20" s="3" t="s">
        <v>67</v>
      </c>
      <c r="C20">
        <v>1701</v>
      </c>
      <c r="D20" s="3" t="s">
        <v>3</v>
      </c>
    </row>
    <row r="21" spans="1:4" x14ac:dyDescent="0.2">
      <c r="A21" t="s">
        <v>161</v>
      </c>
      <c r="B21" s="3" t="s">
        <v>68</v>
      </c>
      <c r="C21">
        <v>1701</v>
      </c>
      <c r="D21" s="3" t="s">
        <v>3</v>
      </c>
    </row>
    <row r="22" spans="1:4" x14ac:dyDescent="0.2">
      <c r="A22" t="s">
        <v>161</v>
      </c>
      <c r="B22" s="3" t="s">
        <v>69</v>
      </c>
      <c r="C22">
        <v>1701</v>
      </c>
      <c r="D22" s="3" t="s">
        <v>3</v>
      </c>
    </row>
    <row r="23" spans="1:4" x14ac:dyDescent="0.2">
      <c r="A23" t="s">
        <v>161</v>
      </c>
      <c r="B23" s="3" t="s">
        <v>70</v>
      </c>
      <c r="C23">
        <v>1701</v>
      </c>
      <c r="D23" s="3" t="s">
        <v>14</v>
      </c>
    </row>
    <row r="24" spans="1:4" x14ac:dyDescent="0.2">
      <c r="A24" t="s">
        <v>161</v>
      </c>
      <c r="B24" s="3" t="s">
        <v>71</v>
      </c>
      <c r="C24">
        <v>1701</v>
      </c>
      <c r="D24" s="3" t="s">
        <v>14</v>
      </c>
    </row>
    <row r="25" spans="1:4" x14ac:dyDescent="0.2">
      <c r="A25" t="s">
        <v>161</v>
      </c>
      <c r="B25" s="3" t="s">
        <v>72</v>
      </c>
      <c r="C25">
        <v>1701</v>
      </c>
      <c r="D25" s="3" t="s">
        <v>14</v>
      </c>
    </row>
    <row r="26" spans="1:4" x14ac:dyDescent="0.2">
      <c r="A26" t="s">
        <v>161</v>
      </c>
      <c r="B26" s="3" t="s">
        <v>73</v>
      </c>
      <c r="C26">
        <v>1702</v>
      </c>
      <c r="D26" s="3" t="s">
        <v>1</v>
      </c>
    </row>
    <row r="27" spans="1:4" x14ac:dyDescent="0.2">
      <c r="A27" t="s">
        <v>161</v>
      </c>
      <c r="B27" s="3" t="s">
        <v>74</v>
      </c>
      <c r="C27">
        <v>1702</v>
      </c>
      <c r="D27" s="3" t="s">
        <v>1</v>
      </c>
    </row>
    <row r="28" spans="1:4" x14ac:dyDescent="0.2">
      <c r="A28" t="s">
        <v>161</v>
      </c>
      <c r="B28" s="3" t="s">
        <v>75</v>
      </c>
      <c r="C28">
        <v>1702</v>
      </c>
      <c r="D28" s="3" t="s">
        <v>1</v>
      </c>
    </row>
    <row r="29" spans="1:4" x14ac:dyDescent="0.2">
      <c r="A29" t="s">
        <v>161</v>
      </c>
      <c r="B29" s="3" t="s">
        <v>76</v>
      </c>
      <c r="C29">
        <v>1702</v>
      </c>
      <c r="D29" s="3" t="s">
        <v>2</v>
      </c>
    </row>
    <row r="30" spans="1:4" x14ac:dyDescent="0.2">
      <c r="A30" t="s">
        <v>161</v>
      </c>
      <c r="B30" s="3" t="s">
        <v>77</v>
      </c>
      <c r="C30">
        <v>1702</v>
      </c>
      <c r="D30" s="3" t="s">
        <v>2</v>
      </c>
    </row>
    <row r="31" spans="1:4" x14ac:dyDescent="0.2">
      <c r="A31" t="s">
        <v>161</v>
      </c>
      <c r="B31" s="3" t="s">
        <v>78</v>
      </c>
      <c r="C31">
        <v>1702</v>
      </c>
      <c r="D31" s="3" t="s">
        <v>2</v>
      </c>
    </row>
    <row r="32" spans="1:4" x14ac:dyDescent="0.2">
      <c r="A32" t="s">
        <v>161</v>
      </c>
      <c r="B32" s="3" t="s">
        <v>79</v>
      </c>
      <c r="C32">
        <v>1702</v>
      </c>
      <c r="D32" s="3" t="s">
        <v>4</v>
      </c>
    </row>
    <row r="33" spans="1:4" x14ac:dyDescent="0.2">
      <c r="A33" t="s">
        <v>161</v>
      </c>
      <c r="B33" s="3" t="s">
        <v>80</v>
      </c>
      <c r="C33">
        <v>1702</v>
      </c>
      <c r="D33" s="3" t="s">
        <v>4</v>
      </c>
    </row>
    <row r="34" spans="1:4" x14ac:dyDescent="0.2">
      <c r="A34" t="s">
        <v>161</v>
      </c>
      <c r="B34" s="3" t="s">
        <v>81</v>
      </c>
      <c r="C34">
        <v>1702</v>
      </c>
      <c r="D34" s="3" t="s">
        <v>4</v>
      </c>
    </row>
    <row r="35" spans="1:4" x14ac:dyDescent="0.2">
      <c r="A35" t="s">
        <v>161</v>
      </c>
      <c r="B35" s="3" t="s">
        <v>82</v>
      </c>
      <c r="C35">
        <v>1703</v>
      </c>
      <c r="D35" s="3" t="s">
        <v>1</v>
      </c>
    </row>
    <row r="36" spans="1:4" x14ac:dyDescent="0.2">
      <c r="A36" t="s">
        <v>161</v>
      </c>
      <c r="B36" s="3" t="s">
        <v>83</v>
      </c>
      <c r="C36">
        <v>1703</v>
      </c>
      <c r="D36" s="3" t="s">
        <v>1</v>
      </c>
    </row>
    <row r="37" spans="1:4" x14ac:dyDescent="0.2">
      <c r="A37" t="s">
        <v>161</v>
      </c>
      <c r="B37" s="3" t="s">
        <v>84</v>
      </c>
      <c r="C37">
        <v>1703</v>
      </c>
      <c r="D37" s="3" t="s">
        <v>1</v>
      </c>
    </row>
    <row r="38" spans="1:4" x14ac:dyDescent="0.2">
      <c r="A38" t="s">
        <v>161</v>
      </c>
      <c r="B38" s="3" t="s">
        <v>85</v>
      </c>
      <c r="C38">
        <v>1703</v>
      </c>
      <c r="D38" s="3" t="s">
        <v>2</v>
      </c>
    </row>
    <row r="39" spans="1:4" x14ac:dyDescent="0.2">
      <c r="A39" t="s">
        <v>161</v>
      </c>
      <c r="B39" s="3" t="s">
        <v>86</v>
      </c>
      <c r="C39">
        <v>1703</v>
      </c>
      <c r="D39" s="3" t="s">
        <v>2</v>
      </c>
    </row>
    <row r="40" spans="1:4" x14ac:dyDescent="0.2">
      <c r="A40" t="s">
        <v>161</v>
      </c>
      <c r="B40" s="3" t="s">
        <v>87</v>
      </c>
      <c r="C40">
        <v>1703</v>
      </c>
      <c r="D40" s="3" t="s">
        <v>2</v>
      </c>
    </row>
    <row r="41" spans="1:4" x14ac:dyDescent="0.2">
      <c r="A41" t="s">
        <v>161</v>
      </c>
      <c r="B41" s="3" t="s">
        <v>88</v>
      </c>
      <c r="C41">
        <v>1703</v>
      </c>
      <c r="D41" s="3" t="s">
        <v>3</v>
      </c>
    </row>
    <row r="42" spans="1:4" x14ac:dyDescent="0.2">
      <c r="A42" t="s">
        <v>161</v>
      </c>
      <c r="B42" s="3" t="s">
        <v>89</v>
      </c>
      <c r="C42">
        <v>1703</v>
      </c>
      <c r="D42" s="3" t="s">
        <v>3</v>
      </c>
    </row>
    <row r="43" spans="1:4" x14ac:dyDescent="0.2">
      <c r="A43" t="s">
        <v>161</v>
      </c>
      <c r="B43" s="3" t="s">
        <v>90</v>
      </c>
      <c r="C43">
        <v>1703</v>
      </c>
      <c r="D43" s="3" t="s">
        <v>3</v>
      </c>
    </row>
    <row r="44" spans="1:4" x14ac:dyDescent="0.2">
      <c r="A44" t="s">
        <v>161</v>
      </c>
      <c r="B44" s="3" t="s">
        <v>91</v>
      </c>
      <c r="C44">
        <v>1703</v>
      </c>
      <c r="D44" s="3" t="s">
        <v>5</v>
      </c>
    </row>
    <row r="45" spans="1:4" x14ac:dyDescent="0.2">
      <c r="A45" t="s">
        <v>161</v>
      </c>
      <c r="B45" s="3" t="s">
        <v>92</v>
      </c>
      <c r="C45">
        <v>1703</v>
      </c>
      <c r="D45" s="3" t="s">
        <v>5</v>
      </c>
    </row>
    <row r="46" spans="1:4" x14ac:dyDescent="0.2">
      <c r="A46" t="s">
        <v>161</v>
      </c>
      <c r="B46" s="3" t="s">
        <v>93</v>
      </c>
      <c r="C46">
        <v>1703</v>
      </c>
      <c r="D46" s="3" t="s">
        <v>5</v>
      </c>
    </row>
    <row r="47" spans="1:4" x14ac:dyDescent="0.2">
      <c r="A47" t="s">
        <v>161</v>
      </c>
      <c r="B47" s="3" t="s">
        <v>94</v>
      </c>
      <c r="C47">
        <v>1705</v>
      </c>
      <c r="D47" s="3" t="s">
        <v>1</v>
      </c>
    </row>
    <row r="48" spans="1:4" x14ac:dyDescent="0.2">
      <c r="A48" t="s">
        <v>161</v>
      </c>
      <c r="B48" s="3" t="s">
        <v>95</v>
      </c>
      <c r="C48">
        <v>1705</v>
      </c>
      <c r="D48" s="3" t="s">
        <v>1</v>
      </c>
    </row>
    <row r="49" spans="1:4" x14ac:dyDescent="0.2">
      <c r="A49" t="s">
        <v>161</v>
      </c>
      <c r="B49" s="3" t="s">
        <v>96</v>
      </c>
      <c r="C49">
        <v>1705</v>
      </c>
      <c r="D49" s="3" t="s">
        <v>1</v>
      </c>
    </row>
    <row r="50" spans="1:4" x14ac:dyDescent="0.2">
      <c r="A50" t="s">
        <v>161</v>
      </c>
      <c r="B50" s="3" t="s">
        <v>97</v>
      </c>
      <c r="C50">
        <v>1705</v>
      </c>
      <c r="D50" s="3" t="s">
        <v>2</v>
      </c>
    </row>
    <row r="51" spans="1:4" x14ac:dyDescent="0.2">
      <c r="A51" t="s">
        <v>161</v>
      </c>
      <c r="B51" s="3" t="s">
        <v>98</v>
      </c>
      <c r="C51">
        <v>1705</v>
      </c>
      <c r="D51" s="3" t="s">
        <v>2</v>
      </c>
    </row>
    <row r="52" spans="1:4" x14ac:dyDescent="0.2">
      <c r="A52" t="s">
        <v>161</v>
      </c>
      <c r="B52" s="3" t="s">
        <v>99</v>
      </c>
      <c r="C52">
        <v>1705</v>
      </c>
      <c r="D52" s="3" t="s">
        <v>2</v>
      </c>
    </row>
    <row r="53" spans="1:4" x14ac:dyDescent="0.2">
      <c r="A53" t="s">
        <v>161</v>
      </c>
      <c r="B53" s="3" t="s">
        <v>100</v>
      </c>
      <c r="C53">
        <v>1705</v>
      </c>
      <c r="D53" s="3" t="s">
        <v>4</v>
      </c>
    </row>
    <row r="54" spans="1:4" x14ac:dyDescent="0.2">
      <c r="A54" t="s">
        <v>161</v>
      </c>
      <c r="B54" s="3" t="s">
        <v>101</v>
      </c>
      <c r="C54">
        <v>1705</v>
      </c>
      <c r="D54" s="3" t="s">
        <v>4</v>
      </c>
    </row>
    <row r="55" spans="1:4" x14ac:dyDescent="0.2">
      <c r="A55" t="s">
        <v>161</v>
      </c>
      <c r="B55" s="3" t="s">
        <v>102</v>
      </c>
      <c r="C55">
        <v>1705</v>
      </c>
      <c r="D55" s="3" t="s">
        <v>4</v>
      </c>
    </row>
    <row r="56" spans="1:4" x14ac:dyDescent="0.2">
      <c r="A56" t="s">
        <v>161</v>
      </c>
      <c r="B56" s="3" t="s">
        <v>103</v>
      </c>
      <c r="C56">
        <v>113</v>
      </c>
      <c r="D56" s="3" t="s">
        <v>1</v>
      </c>
    </row>
    <row r="57" spans="1:4" x14ac:dyDescent="0.2">
      <c r="A57" t="s">
        <v>161</v>
      </c>
      <c r="B57" s="3" t="s">
        <v>104</v>
      </c>
      <c r="C57">
        <v>113</v>
      </c>
      <c r="D57" s="3" t="s">
        <v>1</v>
      </c>
    </row>
    <row r="58" spans="1:4" x14ac:dyDescent="0.2">
      <c r="A58" t="s">
        <v>161</v>
      </c>
      <c r="B58" s="3" t="s">
        <v>105</v>
      </c>
      <c r="C58">
        <v>113</v>
      </c>
      <c r="D58" s="3" t="s">
        <v>1</v>
      </c>
    </row>
    <row r="59" spans="1:4" x14ac:dyDescent="0.2">
      <c r="A59" t="s">
        <v>161</v>
      </c>
      <c r="B59" s="3" t="s">
        <v>106</v>
      </c>
      <c r="C59">
        <v>113</v>
      </c>
      <c r="D59" s="3" t="s">
        <v>2</v>
      </c>
    </row>
    <row r="60" spans="1:4" x14ac:dyDescent="0.2">
      <c r="A60" t="s">
        <v>161</v>
      </c>
      <c r="B60" s="3" t="s">
        <v>107</v>
      </c>
      <c r="C60">
        <v>113</v>
      </c>
      <c r="D60" s="3" t="s">
        <v>2</v>
      </c>
    </row>
    <row r="61" spans="1:4" x14ac:dyDescent="0.2">
      <c r="A61" t="s">
        <v>161</v>
      </c>
      <c r="B61" s="3" t="s">
        <v>108</v>
      </c>
      <c r="C61">
        <v>113</v>
      </c>
      <c r="D61" s="3" t="s">
        <v>2</v>
      </c>
    </row>
    <row r="62" spans="1:4" x14ac:dyDescent="0.2">
      <c r="A62" t="s">
        <v>161</v>
      </c>
      <c r="B62" s="3" t="s">
        <v>109</v>
      </c>
      <c r="C62">
        <v>113</v>
      </c>
      <c r="D62" s="3" t="s">
        <v>10</v>
      </c>
    </row>
    <row r="63" spans="1:4" x14ac:dyDescent="0.2">
      <c r="A63" t="s">
        <v>161</v>
      </c>
      <c r="B63" s="3" t="s">
        <v>110</v>
      </c>
      <c r="C63">
        <v>113</v>
      </c>
      <c r="D63" s="3" t="s">
        <v>10</v>
      </c>
    </row>
    <row r="64" spans="1:4" x14ac:dyDescent="0.2">
      <c r="A64" t="s">
        <v>161</v>
      </c>
      <c r="B64" s="3" t="s">
        <v>111</v>
      </c>
      <c r="C64">
        <v>113</v>
      </c>
      <c r="D64" s="3" t="s">
        <v>10</v>
      </c>
    </row>
    <row r="65" spans="1:4" x14ac:dyDescent="0.2">
      <c r="A65" t="s">
        <v>161</v>
      </c>
      <c r="B65" s="3" t="s">
        <v>112</v>
      </c>
      <c r="C65">
        <v>113</v>
      </c>
      <c r="D65" s="3" t="s">
        <v>13</v>
      </c>
    </row>
    <row r="66" spans="1:4" x14ac:dyDescent="0.2">
      <c r="A66" t="s">
        <v>161</v>
      </c>
      <c r="B66" s="3" t="s">
        <v>113</v>
      </c>
      <c r="C66">
        <v>113</v>
      </c>
      <c r="D66" s="3" t="s">
        <v>13</v>
      </c>
    </row>
    <row r="67" spans="1:4" x14ac:dyDescent="0.2">
      <c r="A67" t="s">
        <v>161</v>
      </c>
      <c r="B67" s="3" t="s">
        <v>114</v>
      </c>
      <c r="C67">
        <v>113</v>
      </c>
      <c r="D67" s="3" t="s">
        <v>13</v>
      </c>
    </row>
    <row r="68" spans="1:4" x14ac:dyDescent="0.2">
      <c r="A68" t="s">
        <v>161</v>
      </c>
      <c r="B68" s="3" t="s">
        <v>115</v>
      </c>
      <c r="C68">
        <v>113</v>
      </c>
      <c r="D68" s="3" t="s">
        <v>14</v>
      </c>
    </row>
    <row r="69" spans="1:4" x14ac:dyDescent="0.2">
      <c r="A69" t="s">
        <v>161</v>
      </c>
      <c r="B69" s="3" t="s">
        <v>116</v>
      </c>
      <c r="C69">
        <v>113</v>
      </c>
      <c r="D69" s="3" t="s">
        <v>14</v>
      </c>
    </row>
    <row r="70" spans="1:4" x14ac:dyDescent="0.2">
      <c r="A70" t="s">
        <v>161</v>
      </c>
      <c r="B70" s="3" t="s">
        <v>117</v>
      </c>
      <c r="C70">
        <v>113</v>
      </c>
      <c r="D70" s="3" t="s">
        <v>14</v>
      </c>
    </row>
    <row r="71" spans="1:4" x14ac:dyDescent="0.2">
      <c r="A71" t="s">
        <v>161</v>
      </c>
      <c r="B71" s="3" t="s">
        <v>118</v>
      </c>
      <c r="C71">
        <v>113</v>
      </c>
      <c r="D71" t="s">
        <v>7</v>
      </c>
    </row>
    <row r="72" spans="1:4" x14ac:dyDescent="0.2">
      <c r="A72" t="s">
        <v>161</v>
      </c>
      <c r="B72" s="3" t="s">
        <v>119</v>
      </c>
      <c r="C72">
        <v>113</v>
      </c>
      <c r="D72" t="s">
        <v>7</v>
      </c>
    </row>
    <row r="73" spans="1:4" x14ac:dyDescent="0.2">
      <c r="A73" t="s">
        <v>161</v>
      </c>
      <c r="B73" s="3" t="s">
        <v>120</v>
      </c>
      <c r="C73">
        <v>113</v>
      </c>
      <c r="D73" t="s">
        <v>7</v>
      </c>
    </row>
    <row r="74" spans="1:4" x14ac:dyDescent="0.2">
      <c r="A74" t="s">
        <v>161</v>
      </c>
      <c r="B74" s="3" t="s">
        <v>121</v>
      </c>
      <c r="C74">
        <v>107</v>
      </c>
      <c r="D74" s="3" t="s">
        <v>1</v>
      </c>
    </row>
    <row r="75" spans="1:4" x14ac:dyDescent="0.2">
      <c r="A75" t="s">
        <v>161</v>
      </c>
      <c r="B75" s="3" t="s">
        <v>122</v>
      </c>
      <c r="C75">
        <v>107</v>
      </c>
      <c r="D75" s="3" t="s">
        <v>1</v>
      </c>
    </row>
    <row r="76" spans="1:4" x14ac:dyDescent="0.2">
      <c r="A76" t="s">
        <v>161</v>
      </c>
      <c r="B76" s="3" t="s">
        <v>123</v>
      </c>
      <c r="C76">
        <v>107</v>
      </c>
      <c r="D76" s="3" t="s">
        <v>1</v>
      </c>
    </row>
    <row r="77" spans="1:4" x14ac:dyDescent="0.2">
      <c r="A77" t="s">
        <v>161</v>
      </c>
      <c r="B77" s="3" t="s">
        <v>124</v>
      </c>
      <c r="C77">
        <v>107</v>
      </c>
      <c r="D77" s="3" t="s">
        <v>2</v>
      </c>
    </row>
    <row r="78" spans="1:4" x14ac:dyDescent="0.2">
      <c r="A78" t="s">
        <v>161</v>
      </c>
      <c r="B78" s="3" t="s">
        <v>125</v>
      </c>
      <c r="C78">
        <v>107</v>
      </c>
      <c r="D78" s="3" t="s">
        <v>2</v>
      </c>
    </row>
    <row r="79" spans="1:4" x14ac:dyDescent="0.2">
      <c r="A79" t="s">
        <v>161</v>
      </c>
      <c r="B79" s="3" t="s">
        <v>126</v>
      </c>
      <c r="C79">
        <v>107</v>
      </c>
      <c r="D79" s="3" t="s">
        <v>2</v>
      </c>
    </row>
    <row r="80" spans="1:4" x14ac:dyDescent="0.2">
      <c r="A80" t="s">
        <v>161</v>
      </c>
      <c r="B80" s="3" t="s">
        <v>127</v>
      </c>
      <c r="C80">
        <v>107</v>
      </c>
      <c r="D80" s="3" t="s">
        <v>10</v>
      </c>
    </row>
    <row r="81" spans="1:4" x14ac:dyDescent="0.2">
      <c r="A81" t="s">
        <v>161</v>
      </c>
      <c r="B81" s="3" t="s">
        <v>128</v>
      </c>
      <c r="C81">
        <v>107</v>
      </c>
      <c r="D81" s="3" t="s">
        <v>10</v>
      </c>
    </row>
    <row r="82" spans="1:4" x14ac:dyDescent="0.2">
      <c r="A82" t="s">
        <v>161</v>
      </c>
      <c r="B82" s="3" t="s">
        <v>129</v>
      </c>
      <c r="C82">
        <v>107</v>
      </c>
      <c r="D82" s="3" t="s">
        <v>10</v>
      </c>
    </row>
    <row r="83" spans="1:4" x14ac:dyDescent="0.2">
      <c r="A83" t="s">
        <v>161</v>
      </c>
      <c r="B83" s="3" t="s">
        <v>130</v>
      </c>
      <c r="C83">
        <v>1710</v>
      </c>
      <c r="D83" t="s">
        <v>1</v>
      </c>
    </row>
    <row r="84" spans="1:4" x14ac:dyDescent="0.2">
      <c r="A84" t="s">
        <v>161</v>
      </c>
      <c r="B84" s="3" t="s">
        <v>131</v>
      </c>
      <c r="C84">
        <v>1710</v>
      </c>
      <c r="D84" t="s">
        <v>1</v>
      </c>
    </row>
    <row r="85" spans="1:4" x14ac:dyDescent="0.2">
      <c r="A85" t="s">
        <v>161</v>
      </c>
      <c r="B85" s="3" t="s">
        <v>132</v>
      </c>
      <c r="C85">
        <v>1710</v>
      </c>
      <c r="D85" t="s">
        <v>1</v>
      </c>
    </row>
    <row r="86" spans="1:4" x14ac:dyDescent="0.2">
      <c r="A86" t="s">
        <v>161</v>
      </c>
      <c r="B86" s="3" t="s">
        <v>133</v>
      </c>
      <c r="C86">
        <v>1710</v>
      </c>
      <c r="D86" t="s">
        <v>2</v>
      </c>
    </row>
    <row r="87" spans="1:4" x14ac:dyDescent="0.2">
      <c r="A87" t="s">
        <v>161</v>
      </c>
      <c r="B87" s="3" t="s">
        <v>134</v>
      </c>
      <c r="C87">
        <v>1710</v>
      </c>
      <c r="D87" t="s">
        <v>2</v>
      </c>
    </row>
    <row r="88" spans="1:4" x14ac:dyDescent="0.2">
      <c r="A88" t="s">
        <v>161</v>
      </c>
      <c r="B88" s="3" t="s">
        <v>135</v>
      </c>
      <c r="C88">
        <v>1710</v>
      </c>
      <c r="D88" t="s">
        <v>2</v>
      </c>
    </row>
    <row r="89" spans="1:4" x14ac:dyDescent="0.2">
      <c r="A89" t="s">
        <v>161</v>
      </c>
      <c r="B89" s="3" t="s">
        <v>136</v>
      </c>
      <c r="C89">
        <v>1710</v>
      </c>
      <c r="D89" t="s">
        <v>14</v>
      </c>
    </row>
    <row r="90" spans="1:4" x14ac:dyDescent="0.2">
      <c r="A90" t="s">
        <v>161</v>
      </c>
      <c r="B90" s="3" t="s">
        <v>137</v>
      </c>
      <c r="C90">
        <v>1710</v>
      </c>
      <c r="D90" t="s">
        <v>14</v>
      </c>
    </row>
    <row r="91" spans="1:4" x14ac:dyDescent="0.2">
      <c r="A91" t="s">
        <v>161</v>
      </c>
      <c r="B91" s="3" t="s">
        <v>138</v>
      </c>
      <c r="C91">
        <v>1710</v>
      </c>
      <c r="D91" t="s">
        <v>14</v>
      </c>
    </row>
    <row r="92" spans="1:4" x14ac:dyDescent="0.2">
      <c r="A92" t="s">
        <v>161</v>
      </c>
      <c r="B92" s="3" t="s">
        <v>139</v>
      </c>
      <c r="C92">
        <v>1710</v>
      </c>
      <c r="D92" t="s">
        <v>10</v>
      </c>
    </row>
    <row r="93" spans="1:4" x14ac:dyDescent="0.2">
      <c r="A93" t="s">
        <v>161</v>
      </c>
      <c r="B93" s="3" t="s">
        <v>140</v>
      </c>
      <c r="C93">
        <v>1710</v>
      </c>
      <c r="D93" t="s">
        <v>10</v>
      </c>
    </row>
    <row r="94" spans="1:4" x14ac:dyDescent="0.2">
      <c r="A94" t="s">
        <v>161</v>
      </c>
      <c r="B94" s="3" t="s">
        <v>141</v>
      </c>
      <c r="C94">
        <v>1710</v>
      </c>
      <c r="D94" t="s">
        <v>10</v>
      </c>
    </row>
    <row r="95" spans="1:4" x14ac:dyDescent="0.2">
      <c r="A95" t="s">
        <v>161</v>
      </c>
      <c r="B95" s="3" t="s">
        <v>142</v>
      </c>
      <c r="C95">
        <v>1710</v>
      </c>
      <c r="D95" t="s">
        <v>13</v>
      </c>
    </row>
    <row r="96" spans="1:4" x14ac:dyDescent="0.2">
      <c r="A96" t="s">
        <v>161</v>
      </c>
      <c r="B96" s="3" t="s">
        <v>143</v>
      </c>
      <c r="C96">
        <v>1710</v>
      </c>
      <c r="D96" t="s">
        <v>13</v>
      </c>
    </row>
    <row r="97" spans="1:4" x14ac:dyDescent="0.2">
      <c r="A97" t="s">
        <v>161</v>
      </c>
      <c r="B97" s="3" t="s">
        <v>144</v>
      </c>
      <c r="C97">
        <v>1710</v>
      </c>
      <c r="D97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Sheet10</vt:lpstr>
      <vt:lpstr>RE_1</vt:lpstr>
      <vt:lpstr>RE_2</vt:lpstr>
      <vt:lpstr>RE_3</vt:lpstr>
      <vt:lpstr>RE_4</vt:lpstr>
      <vt:lpstr>RE_5</vt:lpstr>
      <vt:lpstr>RE_6</vt:lpstr>
      <vt:lpstr>RE_7</vt:lpstr>
      <vt:lpstr>RE_8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Bazany, Kathryn</dc:creator>
  <cp:lastModifiedBy>Bazany, Kathryn</cp:lastModifiedBy>
  <cp:lastPrinted>2026-06-04T20:26:09Z</cp:lastPrinted>
  <dcterms:created xsi:type="dcterms:W3CDTF">2026-06-02T17:18:53Z</dcterms:created>
  <dcterms:modified xsi:type="dcterms:W3CDTF">2026-06-12T18:53:23Z</dcterms:modified>
</cp:coreProperties>
</file>