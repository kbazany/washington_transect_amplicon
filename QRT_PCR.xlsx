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qq/washington_transect/"/>
    </mc:Choice>
  </mc:AlternateContent>
  <xr:revisionPtr revIDLastSave="0" documentId="13_ncr:1_{FF2CFD1C-F3B6-4642-BBAB-1DD2869B6200}" xr6:coauthVersionLast="47" xr6:coauthVersionMax="47" xr10:uidLastSave="{00000000-0000-0000-0000-000000000000}"/>
  <bookViews>
    <workbookView xWindow="2320" yWindow="680" windowWidth="30280" windowHeight="19940" firstSheet="6" activeTab="7" xr2:uid="{89D61AFD-5F95-2C44-B928-4A3ECB8F5900}"/>
  </bookViews>
  <sheets>
    <sheet name="README" sheetId="3" r:id="rId1"/>
    <sheet name="TEMPLATE" sheetId="5" r:id="rId2"/>
    <sheet name="qRT-PCR primer layout" sheetId="1" r:id="rId3"/>
    <sheet name="qRT-PCR primer order" sheetId="4" r:id="rId4"/>
    <sheet name="100_102" sheetId="2" r:id="rId5"/>
    <sheet name="105(fail)" sheetId="10" r:id="rId6"/>
    <sheet name="106_107" sheetId="9" r:id="rId7"/>
    <sheet name="111(fail)_113" sheetId="8" r:id="rId8"/>
    <sheet name="115_122" sheetId="7" r:id="rId9"/>
    <sheet name="128(fail)_129(fail)" sheetId="6" r:id="rId10"/>
    <sheet name="131_142" sheetId="11" r:id="rId11"/>
    <sheet name="143(fail)_144(fail)" sheetId="12" r:id="rId12"/>
    <sheet name="146_149" sheetId="13" r:id="rId13"/>
    <sheet name="152_153" sheetId="14" r:id="rId14"/>
    <sheet name="154_156" sheetId="15" r:id="rId15"/>
    <sheet name="159(fail)_162(fail)" sheetId="16" r:id="rId16"/>
    <sheet name="163(fail)_1701(fail)" sheetId="17" r:id="rId17"/>
    <sheet name="1702_1703" sheetId="18" r:id="rId18"/>
    <sheet name="1704_1705" sheetId="20" r:id="rId19"/>
    <sheet name="1706_1708" sheetId="19" r:id="rId20"/>
    <sheet name="1710_1713" sheetId="21" r:id="rId21"/>
    <sheet name="163_1701" sheetId="22" r:id="rId22"/>
    <sheet name="143_159" sheetId="23" r:id="rId23"/>
    <sheet name="144_162" sheetId="24" r:id="rId24"/>
    <sheet name="128_129" sheetId="25" r:id="rId25"/>
    <sheet name="105_111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5" i="26" l="1"/>
  <c r="J96" i="26" s="1"/>
  <c r="I95" i="26"/>
  <c r="I96" i="26" s="1"/>
  <c r="J92" i="26"/>
  <c r="J94" i="26" s="1"/>
  <c r="I92" i="26"/>
  <c r="I94" i="26" s="1"/>
  <c r="J89" i="26"/>
  <c r="J91" i="26" s="1"/>
  <c r="I89" i="26"/>
  <c r="I90" i="26" s="1"/>
  <c r="I91" i="26" s="1"/>
  <c r="J86" i="26"/>
  <c r="J88" i="26" s="1"/>
  <c r="I86" i="26"/>
  <c r="I87" i="26" s="1"/>
  <c r="J83" i="26"/>
  <c r="J84" i="26" s="1"/>
  <c r="I83" i="26"/>
  <c r="I84" i="26" s="1"/>
  <c r="J80" i="26"/>
  <c r="J82" i="26" s="1"/>
  <c r="I80" i="26"/>
  <c r="I81" i="26" s="1"/>
  <c r="L79" i="26"/>
  <c r="L78" i="26"/>
  <c r="J77" i="26"/>
  <c r="J79" i="26" s="1"/>
  <c r="I77" i="26"/>
  <c r="I78" i="26" s="1"/>
  <c r="J74" i="26"/>
  <c r="J76" i="26" s="1"/>
  <c r="I74" i="26"/>
  <c r="J71" i="26"/>
  <c r="J73" i="26" s="1"/>
  <c r="I71" i="26"/>
  <c r="J68" i="26"/>
  <c r="J70" i="26" s="1"/>
  <c r="I68" i="26"/>
  <c r="I70" i="26" s="1"/>
  <c r="L66" i="26"/>
  <c r="J65" i="26"/>
  <c r="J67" i="26" s="1"/>
  <c r="I65" i="26"/>
  <c r="I66" i="26" s="1"/>
  <c r="L64" i="26"/>
  <c r="J62" i="26"/>
  <c r="J63" i="26" s="1"/>
  <c r="I62" i="26"/>
  <c r="I63" i="26" s="1"/>
  <c r="J59" i="26"/>
  <c r="J60" i="26" s="1"/>
  <c r="I59" i="26"/>
  <c r="I60" i="26" s="1"/>
  <c r="L57" i="26"/>
  <c r="J56" i="26"/>
  <c r="J57" i="26" s="1"/>
  <c r="I56" i="26"/>
  <c r="I57" i="26" s="1"/>
  <c r="L55" i="26"/>
  <c r="J53" i="26"/>
  <c r="J55" i="26" s="1"/>
  <c r="I53" i="26"/>
  <c r="I54" i="26" s="1"/>
  <c r="I55" i="26" s="1"/>
  <c r="L50" i="26"/>
  <c r="K50" i="26"/>
  <c r="J50" i="26"/>
  <c r="J52" i="26" s="1"/>
  <c r="I50" i="26"/>
  <c r="K47" i="26"/>
  <c r="M47" i="26" s="1"/>
  <c r="J47" i="26"/>
  <c r="J49" i="26" s="1"/>
  <c r="I47" i="26"/>
  <c r="I48" i="26" s="1"/>
  <c r="I49" i="26" s="1"/>
  <c r="J44" i="26"/>
  <c r="J46" i="26" s="1"/>
  <c r="I44" i="26"/>
  <c r="I46" i="26" s="1"/>
  <c r="L41" i="26"/>
  <c r="J41" i="26"/>
  <c r="J43" i="26" s="1"/>
  <c r="I41" i="26"/>
  <c r="N41" i="26" s="1"/>
  <c r="L40" i="26"/>
  <c r="J38" i="26"/>
  <c r="J39" i="26" s="1"/>
  <c r="I38" i="26"/>
  <c r="I39" i="26" s="1"/>
  <c r="J35" i="26"/>
  <c r="J36" i="26" s="1"/>
  <c r="I35" i="26"/>
  <c r="I36" i="26" s="1"/>
  <c r="J32" i="26"/>
  <c r="J33" i="26" s="1"/>
  <c r="I32" i="26"/>
  <c r="I33" i="26" s="1"/>
  <c r="J29" i="26"/>
  <c r="J31" i="26" s="1"/>
  <c r="I29" i="26"/>
  <c r="I30" i="26" s="1"/>
  <c r="L26" i="26"/>
  <c r="J26" i="26"/>
  <c r="J28" i="26" s="1"/>
  <c r="I26" i="26"/>
  <c r="J23" i="26"/>
  <c r="J25" i="26" s="1"/>
  <c r="I23" i="26"/>
  <c r="I24" i="26" s="1"/>
  <c r="I25" i="26" s="1"/>
  <c r="J20" i="26"/>
  <c r="J22" i="26" s="1"/>
  <c r="I20" i="26"/>
  <c r="L92" i="26" s="1"/>
  <c r="N92" i="26" s="1"/>
  <c r="L18" i="26"/>
  <c r="L17" i="26"/>
  <c r="J17" i="26"/>
  <c r="J19" i="26" s="1"/>
  <c r="I17" i="26"/>
  <c r="I18" i="26" s="1"/>
  <c r="N18" i="26" s="1"/>
  <c r="L15" i="26"/>
  <c r="J14" i="26"/>
  <c r="J16" i="26" s="1"/>
  <c r="I14" i="26"/>
  <c r="L76" i="26" s="1"/>
  <c r="L11" i="26"/>
  <c r="J11" i="26"/>
  <c r="J12" i="26" s="1"/>
  <c r="I11" i="26"/>
  <c r="I12" i="26" s="1"/>
  <c r="J8" i="26"/>
  <c r="J9" i="26" s="1"/>
  <c r="I8" i="26"/>
  <c r="K37" i="26" s="1"/>
  <c r="L7" i="26"/>
  <c r="L6" i="26"/>
  <c r="L5" i="26"/>
  <c r="J5" i="26"/>
  <c r="J7" i="26" s="1"/>
  <c r="I5" i="26"/>
  <c r="I6" i="26" s="1"/>
  <c r="J2" i="26"/>
  <c r="J4" i="26" s="1"/>
  <c r="I2" i="26"/>
  <c r="K7" i="26" s="1"/>
  <c r="J95" i="24"/>
  <c r="J97" i="24" s="1"/>
  <c r="I95" i="24"/>
  <c r="I96" i="24" s="1"/>
  <c r="I97" i="24" s="1"/>
  <c r="J92" i="24"/>
  <c r="J94" i="24" s="1"/>
  <c r="I92" i="24"/>
  <c r="I93" i="24" s="1"/>
  <c r="J91" i="24"/>
  <c r="L90" i="24"/>
  <c r="J89" i="24"/>
  <c r="J90" i="24" s="1"/>
  <c r="I89" i="24"/>
  <c r="I90" i="24" s="1"/>
  <c r="L88" i="24"/>
  <c r="L87" i="24"/>
  <c r="J86" i="24"/>
  <c r="J87" i="24" s="1"/>
  <c r="I86" i="24"/>
  <c r="I87" i="24" s="1"/>
  <c r="J83" i="24"/>
  <c r="J84" i="24" s="1"/>
  <c r="I83" i="24"/>
  <c r="I84" i="24" s="1"/>
  <c r="J80" i="24"/>
  <c r="J81" i="24" s="1"/>
  <c r="I80" i="24"/>
  <c r="I81" i="24" s="1"/>
  <c r="L79" i="24"/>
  <c r="L77" i="24"/>
  <c r="J77" i="24"/>
  <c r="J79" i="24" s="1"/>
  <c r="I77" i="24"/>
  <c r="I78" i="24" s="1"/>
  <c r="L74" i="24"/>
  <c r="J74" i="24"/>
  <c r="J76" i="24" s="1"/>
  <c r="I74" i="24"/>
  <c r="L72" i="24"/>
  <c r="J71" i="24"/>
  <c r="J72" i="24" s="1"/>
  <c r="I71" i="24"/>
  <c r="I72" i="24" s="1"/>
  <c r="I73" i="24" s="1"/>
  <c r="J68" i="24"/>
  <c r="J69" i="24" s="1"/>
  <c r="I68" i="24"/>
  <c r="I69" i="24" s="1"/>
  <c r="L66" i="24"/>
  <c r="J65" i="24"/>
  <c r="J66" i="24" s="1"/>
  <c r="I65" i="24"/>
  <c r="I66" i="24" s="1"/>
  <c r="L64" i="24"/>
  <c r="L63" i="24"/>
  <c r="J62" i="24"/>
  <c r="J63" i="24" s="1"/>
  <c r="I62" i="24"/>
  <c r="I63" i="24" s="1"/>
  <c r="L61" i="24"/>
  <c r="J59" i="24"/>
  <c r="J60" i="24" s="1"/>
  <c r="I59" i="24"/>
  <c r="I60" i="24" s="1"/>
  <c r="J56" i="24"/>
  <c r="J57" i="24" s="1"/>
  <c r="I56" i="24"/>
  <c r="I57" i="24" s="1"/>
  <c r="L55" i="24"/>
  <c r="L53" i="24"/>
  <c r="J53" i="24"/>
  <c r="J55" i="24" s="1"/>
  <c r="I53" i="24"/>
  <c r="I54" i="24" s="1"/>
  <c r="L50" i="24"/>
  <c r="J50" i="24"/>
  <c r="J52" i="24" s="1"/>
  <c r="I50" i="24"/>
  <c r="L48" i="24"/>
  <c r="J47" i="24"/>
  <c r="J49" i="24" s="1"/>
  <c r="I47" i="24"/>
  <c r="I48" i="24" s="1"/>
  <c r="I49" i="24" s="1"/>
  <c r="J44" i="24"/>
  <c r="J46" i="24" s="1"/>
  <c r="I44" i="24"/>
  <c r="I45" i="24" s="1"/>
  <c r="J41" i="24"/>
  <c r="J42" i="24" s="1"/>
  <c r="I41" i="24"/>
  <c r="I42" i="24" s="1"/>
  <c r="L40" i="24"/>
  <c r="L39" i="24"/>
  <c r="J38" i="24"/>
  <c r="J39" i="24" s="1"/>
  <c r="I38" i="24"/>
  <c r="I39" i="24" s="1"/>
  <c r="L37" i="24"/>
  <c r="J35" i="24"/>
  <c r="J36" i="24" s="1"/>
  <c r="I35" i="24"/>
  <c r="I36" i="24" s="1"/>
  <c r="J32" i="24"/>
  <c r="J33" i="24" s="1"/>
  <c r="I32" i="24"/>
  <c r="I33" i="24" s="1"/>
  <c r="L31" i="24"/>
  <c r="L29" i="24"/>
  <c r="J29" i="24"/>
  <c r="J31" i="24" s="1"/>
  <c r="I29" i="24"/>
  <c r="I30" i="24" s="1"/>
  <c r="L26" i="24"/>
  <c r="J26" i="24"/>
  <c r="J28" i="24" s="1"/>
  <c r="I26" i="24"/>
  <c r="J23" i="24"/>
  <c r="J25" i="24" s="1"/>
  <c r="I23" i="24"/>
  <c r="I24" i="24" s="1"/>
  <c r="I25" i="24" s="1"/>
  <c r="L21" i="24"/>
  <c r="J21" i="24"/>
  <c r="J20" i="24"/>
  <c r="J22" i="24" s="1"/>
  <c r="I20" i="24"/>
  <c r="L92" i="24" s="1"/>
  <c r="L18" i="24"/>
  <c r="J17" i="24"/>
  <c r="J19" i="24" s="1"/>
  <c r="I17" i="24"/>
  <c r="I18" i="24" s="1"/>
  <c r="J14" i="24"/>
  <c r="J15" i="24" s="1"/>
  <c r="I14" i="24"/>
  <c r="L76" i="24" s="1"/>
  <c r="L11" i="24"/>
  <c r="J11" i="24"/>
  <c r="J12" i="24" s="1"/>
  <c r="I11" i="24"/>
  <c r="I12" i="24" s="1"/>
  <c r="L9" i="24"/>
  <c r="L8" i="24"/>
  <c r="J8" i="24"/>
  <c r="J9" i="24" s="1"/>
  <c r="I8" i="24"/>
  <c r="K93" i="24" s="1"/>
  <c r="L7" i="24"/>
  <c r="J5" i="24"/>
  <c r="J7" i="24" s="1"/>
  <c r="I5" i="24"/>
  <c r="I6" i="24" s="1"/>
  <c r="J2" i="24"/>
  <c r="J4" i="24" s="1"/>
  <c r="I2" i="24"/>
  <c r="K26" i="24" s="1"/>
  <c r="J97" i="25"/>
  <c r="J96" i="25"/>
  <c r="J95" i="25"/>
  <c r="I95" i="25"/>
  <c r="I96" i="25" s="1"/>
  <c r="I97" i="25" s="1"/>
  <c r="J92" i="25"/>
  <c r="J93" i="25" s="1"/>
  <c r="I92" i="25"/>
  <c r="I93" i="25" s="1"/>
  <c r="J89" i="25"/>
  <c r="J91" i="25" s="1"/>
  <c r="I89" i="25"/>
  <c r="I90" i="25" s="1"/>
  <c r="I91" i="25" s="1"/>
  <c r="J86" i="25"/>
  <c r="J87" i="25" s="1"/>
  <c r="I86" i="25"/>
  <c r="I87" i="25" s="1"/>
  <c r="J83" i="25"/>
  <c r="J84" i="25" s="1"/>
  <c r="I83" i="25"/>
  <c r="I84" i="25" s="1"/>
  <c r="J80" i="25"/>
  <c r="J81" i="25" s="1"/>
  <c r="I80" i="25"/>
  <c r="I81" i="25" s="1"/>
  <c r="J77" i="25"/>
  <c r="J79" i="25" s="1"/>
  <c r="I77" i="25"/>
  <c r="I78" i="25" s="1"/>
  <c r="J74" i="25"/>
  <c r="J76" i="25" s="1"/>
  <c r="I74" i="25"/>
  <c r="I76" i="25" s="1"/>
  <c r="J71" i="25"/>
  <c r="J73" i="25" s="1"/>
  <c r="I71" i="25"/>
  <c r="I72" i="25" s="1"/>
  <c r="I73" i="25" s="1"/>
  <c r="J68" i="25"/>
  <c r="J70" i="25" s="1"/>
  <c r="I68" i="25"/>
  <c r="I70" i="25" s="1"/>
  <c r="I66" i="25"/>
  <c r="J65" i="25"/>
  <c r="J67" i="25" s="1"/>
  <c r="I65" i="25"/>
  <c r="J62" i="25"/>
  <c r="J63" i="25" s="1"/>
  <c r="I62" i="25"/>
  <c r="I63" i="25" s="1"/>
  <c r="J59" i="25"/>
  <c r="J60" i="25" s="1"/>
  <c r="I59" i="25"/>
  <c r="I60" i="25" s="1"/>
  <c r="J56" i="25"/>
  <c r="J57" i="25" s="1"/>
  <c r="I56" i="25"/>
  <c r="I57" i="25" s="1"/>
  <c r="J53" i="25"/>
  <c r="J55" i="25" s="1"/>
  <c r="I53" i="25"/>
  <c r="I54" i="25" s="1"/>
  <c r="J50" i="25"/>
  <c r="J52" i="25" s="1"/>
  <c r="I50" i="25"/>
  <c r="J47" i="25"/>
  <c r="J49" i="25" s="1"/>
  <c r="I47" i="25"/>
  <c r="I48" i="25" s="1"/>
  <c r="I49" i="25" s="1"/>
  <c r="J46" i="25"/>
  <c r="I46" i="25"/>
  <c r="J44" i="25"/>
  <c r="J45" i="25" s="1"/>
  <c r="I44" i="25"/>
  <c r="I45" i="25" s="1"/>
  <c r="J41" i="25"/>
  <c r="J43" i="25" s="1"/>
  <c r="I41" i="25"/>
  <c r="I42" i="25" s="1"/>
  <c r="J38" i="25"/>
  <c r="J39" i="25" s="1"/>
  <c r="I38" i="25"/>
  <c r="I39" i="25" s="1"/>
  <c r="J35" i="25"/>
  <c r="J36" i="25" s="1"/>
  <c r="I35" i="25"/>
  <c r="I36" i="25" s="1"/>
  <c r="J32" i="25"/>
  <c r="J33" i="25" s="1"/>
  <c r="I32" i="25"/>
  <c r="I33" i="25" s="1"/>
  <c r="J29" i="25"/>
  <c r="J31" i="25" s="1"/>
  <c r="I29" i="25"/>
  <c r="I30" i="25" s="1"/>
  <c r="J26" i="25"/>
  <c r="J28" i="25" s="1"/>
  <c r="I26" i="25"/>
  <c r="I28" i="25" s="1"/>
  <c r="J23" i="25"/>
  <c r="J25" i="25" s="1"/>
  <c r="I23" i="25"/>
  <c r="I24" i="25" s="1"/>
  <c r="I25" i="25" s="1"/>
  <c r="J20" i="25"/>
  <c r="J21" i="25" s="1"/>
  <c r="I20" i="25"/>
  <c r="L92" i="25" s="1"/>
  <c r="J17" i="25"/>
  <c r="J19" i="25" s="1"/>
  <c r="I17" i="25"/>
  <c r="I18" i="25" s="1"/>
  <c r="J14" i="25"/>
  <c r="J15" i="25" s="1"/>
  <c r="I14" i="25"/>
  <c r="L76" i="25" s="1"/>
  <c r="J11" i="25"/>
  <c r="J13" i="25" s="1"/>
  <c r="I11" i="25"/>
  <c r="I12" i="25" s="1"/>
  <c r="J8" i="25"/>
  <c r="J9" i="25" s="1"/>
  <c r="I8" i="25"/>
  <c r="K69" i="25" s="1"/>
  <c r="L5" i="25"/>
  <c r="J5" i="25"/>
  <c r="J7" i="25" s="1"/>
  <c r="I5" i="25"/>
  <c r="I6" i="25" s="1"/>
  <c r="J2" i="25"/>
  <c r="J4" i="25" s="1"/>
  <c r="I2" i="25"/>
  <c r="K53" i="25" s="1"/>
  <c r="J95" i="23"/>
  <c r="J97" i="23" s="1"/>
  <c r="I95" i="23"/>
  <c r="I96" i="23" s="1"/>
  <c r="I97" i="23" s="1"/>
  <c r="J92" i="23"/>
  <c r="J93" i="23" s="1"/>
  <c r="I92" i="23"/>
  <c r="I93" i="23" s="1"/>
  <c r="J91" i="23"/>
  <c r="L90" i="23"/>
  <c r="J89" i="23"/>
  <c r="J90" i="23" s="1"/>
  <c r="I89" i="23"/>
  <c r="I90" i="23" s="1"/>
  <c r="I91" i="23" s="1"/>
  <c r="L87" i="23"/>
  <c r="J86" i="23"/>
  <c r="J87" i="23" s="1"/>
  <c r="I86" i="23"/>
  <c r="I87" i="23" s="1"/>
  <c r="L83" i="23"/>
  <c r="J83" i="23"/>
  <c r="J84" i="23" s="1"/>
  <c r="I83" i="23"/>
  <c r="I84" i="23" s="1"/>
  <c r="L82" i="23"/>
  <c r="K82" i="23"/>
  <c r="J80" i="23"/>
  <c r="J81" i="23" s="1"/>
  <c r="I80" i="23"/>
  <c r="I81" i="23" s="1"/>
  <c r="L79" i="23"/>
  <c r="J77" i="23"/>
  <c r="J79" i="23" s="1"/>
  <c r="I77" i="23"/>
  <c r="I78" i="23" s="1"/>
  <c r="L74" i="23"/>
  <c r="J74" i="23"/>
  <c r="J76" i="23" s="1"/>
  <c r="I74" i="23"/>
  <c r="I76" i="23" s="1"/>
  <c r="L73" i="23"/>
  <c r="L72" i="23"/>
  <c r="J71" i="23"/>
  <c r="J73" i="23" s="1"/>
  <c r="I71" i="23"/>
  <c r="I72" i="23" s="1"/>
  <c r="I73" i="23" s="1"/>
  <c r="J68" i="23"/>
  <c r="J70" i="23" s="1"/>
  <c r="I68" i="23"/>
  <c r="I70" i="23" s="1"/>
  <c r="L66" i="23"/>
  <c r="I66" i="23"/>
  <c r="I67" i="23" s="1"/>
  <c r="J65" i="23"/>
  <c r="J66" i="23" s="1"/>
  <c r="I65" i="23"/>
  <c r="J62" i="23"/>
  <c r="J63" i="23" s="1"/>
  <c r="I62" i="23"/>
  <c r="I63" i="23" s="1"/>
  <c r="J59" i="23"/>
  <c r="J60" i="23" s="1"/>
  <c r="I59" i="23"/>
  <c r="I60" i="23" s="1"/>
  <c r="L58" i="23"/>
  <c r="K58" i="23"/>
  <c r="J58" i="23"/>
  <c r="I58" i="23"/>
  <c r="N58" i="23" s="1"/>
  <c r="L57" i="23"/>
  <c r="L56" i="23"/>
  <c r="J56" i="23"/>
  <c r="J57" i="23" s="1"/>
  <c r="I56" i="23"/>
  <c r="I57" i="23" s="1"/>
  <c r="J53" i="23"/>
  <c r="J55" i="23" s="1"/>
  <c r="I53" i="23"/>
  <c r="I54" i="23" s="1"/>
  <c r="L50" i="23"/>
  <c r="J50" i="23"/>
  <c r="J52" i="23" s="1"/>
  <c r="I50" i="23"/>
  <c r="I52" i="23" s="1"/>
  <c r="L47" i="23"/>
  <c r="K47" i="23"/>
  <c r="J47" i="23"/>
  <c r="J49" i="23" s="1"/>
  <c r="I47" i="23"/>
  <c r="I48" i="23" s="1"/>
  <c r="I49" i="23" s="1"/>
  <c r="J44" i="23"/>
  <c r="J46" i="23" s="1"/>
  <c r="I44" i="23"/>
  <c r="I46" i="23" s="1"/>
  <c r="L42" i="23"/>
  <c r="J41" i="23"/>
  <c r="J42" i="23" s="1"/>
  <c r="I41" i="23"/>
  <c r="I42" i="23" s="1"/>
  <c r="I43" i="23" s="1"/>
  <c r="J38" i="23"/>
  <c r="J39" i="23" s="1"/>
  <c r="I38" i="23"/>
  <c r="I39" i="23" s="1"/>
  <c r="J35" i="23"/>
  <c r="J36" i="23" s="1"/>
  <c r="I35" i="23"/>
  <c r="I36" i="23" s="1"/>
  <c r="K34" i="23"/>
  <c r="L33" i="23"/>
  <c r="L32" i="23"/>
  <c r="J32" i="23"/>
  <c r="J33" i="23" s="1"/>
  <c r="I32" i="23"/>
  <c r="I33" i="23" s="1"/>
  <c r="J29" i="23"/>
  <c r="J31" i="23" s="1"/>
  <c r="I29" i="23"/>
  <c r="I30" i="23" s="1"/>
  <c r="J26" i="23"/>
  <c r="J28" i="23" s="1"/>
  <c r="I26" i="23"/>
  <c r="I28" i="23" s="1"/>
  <c r="L23" i="23"/>
  <c r="K23" i="23"/>
  <c r="J23" i="23"/>
  <c r="J25" i="23" s="1"/>
  <c r="I23" i="23"/>
  <c r="I24" i="23" s="1"/>
  <c r="I25" i="23" s="1"/>
  <c r="L22" i="23"/>
  <c r="J20" i="23"/>
  <c r="J22" i="23" s="1"/>
  <c r="I20" i="23"/>
  <c r="L92" i="23" s="1"/>
  <c r="L18" i="23"/>
  <c r="J17" i="23"/>
  <c r="J18" i="23" s="1"/>
  <c r="I17" i="23"/>
  <c r="I18" i="23" s="1"/>
  <c r="I19" i="23" s="1"/>
  <c r="L16" i="23"/>
  <c r="J14" i="23"/>
  <c r="J15" i="23" s="1"/>
  <c r="I14" i="23"/>
  <c r="L76" i="23" s="1"/>
  <c r="L12" i="23"/>
  <c r="L11" i="23"/>
  <c r="J11" i="23"/>
  <c r="J12" i="23" s="1"/>
  <c r="I11" i="23"/>
  <c r="I12" i="23" s="1"/>
  <c r="L10" i="23"/>
  <c r="K10" i="23"/>
  <c r="J10" i="23"/>
  <c r="I10" i="23"/>
  <c r="N10" i="23" s="1"/>
  <c r="L9" i="23"/>
  <c r="L8" i="23"/>
  <c r="J8" i="23"/>
  <c r="J9" i="23" s="1"/>
  <c r="I8" i="23"/>
  <c r="K70" i="23" s="1"/>
  <c r="L7" i="23"/>
  <c r="J5" i="23"/>
  <c r="J7" i="23" s="1"/>
  <c r="I5" i="23"/>
  <c r="I6" i="23" s="1"/>
  <c r="L2" i="23"/>
  <c r="J2" i="23"/>
  <c r="J4" i="23" s="1"/>
  <c r="I2" i="23"/>
  <c r="K86" i="23" s="1"/>
  <c r="J95" i="22"/>
  <c r="J97" i="22" s="1"/>
  <c r="I95" i="22"/>
  <c r="I96" i="22" s="1"/>
  <c r="L93" i="22"/>
  <c r="J92" i="22"/>
  <c r="J93" i="22" s="1"/>
  <c r="I92" i="22"/>
  <c r="I94" i="22" s="1"/>
  <c r="J89" i="22"/>
  <c r="J91" i="22" s="1"/>
  <c r="I89" i="22"/>
  <c r="I90" i="22" s="1"/>
  <c r="J86" i="22"/>
  <c r="J87" i="22" s="1"/>
  <c r="I86" i="22"/>
  <c r="I87" i="22" s="1"/>
  <c r="L85" i="22"/>
  <c r="L83" i="22"/>
  <c r="J83" i="22"/>
  <c r="J84" i="22" s="1"/>
  <c r="I83" i="22"/>
  <c r="I84" i="22" s="1"/>
  <c r="J80" i="22"/>
  <c r="J81" i="22" s="1"/>
  <c r="I80" i="22"/>
  <c r="I81" i="22" s="1"/>
  <c r="J77" i="22"/>
  <c r="J79" i="22" s="1"/>
  <c r="I77" i="22"/>
  <c r="I78" i="22" s="1"/>
  <c r="J74" i="22"/>
  <c r="J76" i="22" s="1"/>
  <c r="I74" i="22"/>
  <c r="I76" i="22" s="1"/>
  <c r="J71" i="22"/>
  <c r="J73" i="22" s="1"/>
  <c r="I71" i="22"/>
  <c r="I72" i="22" s="1"/>
  <c r="I73" i="22" s="1"/>
  <c r="J68" i="22"/>
  <c r="J69" i="22" s="1"/>
  <c r="I68" i="22"/>
  <c r="I69" i="22" s="1"/>
  <c r="J65" i="22"/>
  <c r="J66" i="22" s="1"/>
  <c r="I65" i="22"/>
  <c r="I66" i="22" s="1"/>
  <c r="J62" i="22"/>
  <c r="J63" i="22" s="1"/>
  <c r="I62" i="22"/>
  <c r="I63" i="22" s="1"/>
  <c r="L61" i="22"/>
  <c r="L59" i="22"/>
  <c r="J59" i="22"/>
  <c r="J60" i="22" s="1"/>
  <c r="I59" i="22"/>
  <c r="I60" i="22" s="1"/>
  <c r="J56" i="22"/>
  <c r="J57" i="22" s="1"/>
  <c r="I56" i="22"/>
  <c r="I57" i="22" s="1"/>
  <c r="J53" i="22"/>
  <c r="J55" i="22" s="1"/>
  <c r="I53" i="22"/>
  <c r="I54" i="22" s="1"/>
  <c r="J50" i="22"/>
  <c r="J52" i="22" s="1"/>
  <c r="I50" i="22"/>
  <c r="I52" i="22" s="1"/>
  <c r="L48" i="22"/>
  <c r="J47" i="22"/>
  <c r="J48" i="22" s="1"/>
  <c r="I47" i="22"/>
  <c r="I48" i="22" s="1"/>
  <c r="I49" i="22" s="1"/>
  <c r="J44" i="22"/>
  <c r="J46" i="22" s="1"/>
  <c r="I44" i="22"/>
  <c r="I45" i="22" s="1"/>
  <c r="L42" i="22"/>
  <c r="J41" i="22"/>
  <c r="J43" i="22" s="1"/>
  <c r="I41" i="22"/>
  <c r="I42" i="22" s="1"/>
  <c r="J38" i="22"/>
  <c r="J39" i="22" s="1"/>
  <c r="I38" i="22"/>
  <c r="I39" i="22" s="1"/>
  <c r="L35" i="22"/>
  <c r="J35" i="22"/>
  <c r="J36" i="22" s="1"/>
  <c r="I35" i="22"/>
  <c r="I36" i="22" s="1"/>
  <c r="L34" i="22"/>
  <c r="K34" i="22"/>
  <c r="J32" i="22"/>
  <c r="J33" i="22" s="1"/>
  <c r="I32" i="22"/>
  <c r="I33" i="22" s="1"/>
  <c r="J29" i="22"/>
  <c r="J31" i="22" s="1"/>
  <c r="I29" i="22"/>
  <c r="I30" i="22" s="1"/>
  <c r="L26" i="22"/>
  <c r="J26" i="22"/>
  <c r="J28" i="22" s="1"/>
  <c r="I26" i="22"/>
  <c r="L24" i="22"/>
  <c r="J23" i="22"/>
  <c r="J24" i="22" s="1"/>
  <c r="I23" i="22"/>
  <c r="I24" i="22" s="1"/>
  <c r="I25" i="22" s="1"/>
  <c r="J20" i="22"/>
  <c r="J22" i="22" s="1"/>
  <c r="I20" i="22"/>
  <c r="L92" i="22" s="1"/>
  <c r="J17" i="22"/>
  <c r="J18" i="22" s="1"/>
  <c r="I17" i="22"/>
  <c r="I18" i="22" s="1"/>
  <c r="J14" i="22"/>
  <c r="J15" i="22" s="1"/>
  <c r="I14" i="22"/>
  <c r="L76" i="22" s="1"/>
  <c r="J11" i="22"/>
  <c r="J12" i="22" s="1"/>
  <c r="I11" i="22"/>
  <c r="I12" i="22" s="1"/>
  <c r="L10" i="22"/>
  <c r="J8" i="22"/>
  <c r="J9" i="22" s="1"/>
  <c r="I8" i="22"/>
  <c r="K85" i="22" s="1"/>
  <c r="J5" i="22"/>
  <c r="J7" i="22" s="1"/>
  <c r="I5" i="22"/>
  <c r="I6" i="22" s="1"/>
  <c r="J2" i="22"/>
  <c r="J4" i="22" s="1"/>
  <c r="I2" i="22"/>
  <c r="K30" i="22" s="1"/>
  <c r="J95" i="21"/>
  <c r="J97" i="21" s="1"/>
  <c r="I95" i="21"/>
  <c r="I96" i="21" s="1"/>
  <c r="J92" i="21"/>
  <c r="J94" i="21" s="1"/>
  <c r="I92" i="21"/>
  <c r="I94" i="21" s="1"/>
  <c r="L89" i="21"/>
  <c r="J89" i="21"/>
  <c r="J91" i="21" s="1"/>
  <c r="I89" i="21"/>
  <c r="N89" i="21" s="1"/>
  <c r="J86" i="21"/>
  <c r="J87" i="21" s="1"/>
  <c r="I86" i="21"/>
  <c r="L83" i="21"/>
  <c r="J83" i="21"/>
  <c r="J84" i="21" s="1"/>
  <c r="I83" i="21"/>
  <c r="I84" i="21" s="1"/>
  <c r="L81" i="21"/>
  <c r="J80" i="21"/>
  <c r="J82" i="21" s="1"/>
  <c r="I80" i="21"/>
  <c r="J77" i="21"/>
  <c r="J79" i="21" s="1"/>
  <c r="I77" i="21"/>
  <c r="I78" i="21" s="1"/>
  <c r="L75" i="21"/>
  <c r="J74" i="21"/>
  <c r="J76" i="21" s="1"/>
  <c r="I74" i="21"/>
  <c r="I76" i="21" s="1"/>
  <c r="L73" i="21"/>
  <c r="J71" i="21"/>
  <c r="J72" i="21" s="1"/>
  <c r="I71" i="21"/>
  <c r="I72" i="21" s="1"/>
  <c r="I73" i="21" s="1"/>
  <c r="L70" i="21"/>
  <c r="J68" i="21"/>
  <c r="J70" i="21" s="1"/>
  <c r="I68" i="21"/>
  <c r="I69" i="21" s="1"/>
  <c r="L67" i="21"/>
  <c r="J67" i="21"/>
  <c r="K66" i="21"/>
  <c r="J66" i="21"/>
  <c r="J65" i="21"/>
  <c r="I65" i="21"/>
  <c r="L63" i="21"/>
  <c r="J62" i="21"/>
  <c r="J63" i="21" s="1"/>
  <c r="I62" i="21"/>
  <c r="I63" i="21" s="1"/>
  <c r="N63" i="21" s="1"/>
  <c r="L59" i="21"/>
  <c r="J59" i="21"/>
  <c r="J61" i="21" s="1"/>
  <c r="I59" i="21"/>
  <c r="I60" i="21" s="1"/>
  <c r="L58" i="21"/>
  <c r="L56" i="21"/>
  <c r="J56" i="21"/>
  <c r="J58" i="21" s="1"/>
  <c r="I56" i="21"/>
  <c r="I57" i="21" s="1"/>
  <c r="L55" i="21"/>
  <c r="J53" i="21"/>
  <c r="J55" i="21" s="1"/>
  <c r="I53" i="21"/>
  <c r="I54" i="21" s="1"/>
  <c r="L51" i="21"/>
  <c r="J50" i="21"/>
  <c r="J51" i="21" s="1"/>
  <c r="I50" i="21"/>
  <c r="I52" i="21" s="1"/>
  <c r="L49" i="21"/>
  <c r="L48" i="21"/>
  <c r="L47" i="21"/>
  <c r="J47" i="21"/>
  <c r="J48" i="21" s="1"/>
  <c r="I47" i="21"/>
  <c r="N47" i="21" s="1"/>
  <c r="L46" i="21"/>
  <c r="J44" i="21"/>
  <c r="J46" i="21" s="1"/>
  <c r="I44" i="21"/>
  <c r="I46" i="21" s="1"/>
  <c r="N46" i="21" s="1"/>
  <c r="L43" i="21"/>
  <c r="L41" i="21"/>
  <c r="J41" i="21"/>
  <c r="J43" i="21" s="1"/>
  <c r="I41" i="21"/>
  <c r="N41" i="21" s="1"/>
  <c r="L40" i="21"/>
  <c r="K40" i="21"/>
  <c r="J38" i="21"/>
  <c r="J39" i="21" s="1"/>
  <c r="I38" i="21"/>
  <c r="I39" i="21" s="1"/>
  <c r="L37" i="21"/>
  <c r="L35" i="21"/>
  <c r="J35" i="21"/>
  <c r="J37" i="21" s="1"/>
  <c r="I35" i="21"/>
  <c r="I36" i="21" s="1"/>
  <c r="L34" i="21"/>
  <c r="L33" i="21"/>
  <c r="J32" i="21"/>
  <c r="J34" i="21" s="1"/>
  <c r="I32" i="21"/>
  <c r="I33" i="21" s="1"/>
  <c r="L31" i="21"/>
  <c r="J29" i="21"/>
  <c r="J31" i="21" s="1"/>
  <c r="I29" i="21"/>
  <c r="I30" i="21" s="1"/>
  <c r="L27" i="21"/>
  <c r="I27" i="21"/>
  <c r="N27" i="21" s="1"/>
  <c r="J26" i="21"/>
  <c r="J27" i="21" s="1"/>
  <c r="I26" i="21"/>
  <c r="I28" i="21" s="1"/>
  <c r="L24" i="21"/>
  <c r="L23" i="21"/>
  <c r="J23" i="21"/>
  <c r="J25" i="21" s="1"/>
  <c r="I23" i="21"/>
  <c r="L22" i="21"/>
  <c r="I22" i="21"/>
  <c r="N22" i="21" s="1"/>
  <c r="L21" i="21"/>
  <c r="I21" i="21"/>
  <c r="N21" i="21" s="1"/>
  <c r="L20" i="21"/>
  <c r="N20" i="21" s="1"/>
  <c r="J20" i="21"/>
  <c r="J22" i="21" s="1"/>
  <c r="I20" i="21"/>
  <c r="L92" i="21" s="1"/>
  <c r="L17" i="21"/>
  <c r="J17" i="21"/>
  <c r="J19" i="21" s="1"/>
  <c r="I17" i="21"/>
  <c r="N17" i="21" s="1"/>
  <c r="L16" i="21"/>
  <c r="I16" i="21"/>
  <c r="N16" i="21" s="1"/>
  <c r="L15" i="21"/>
  <c r="I15" i="21"/>
  <c r="N15" i="21" s="1"/>
  <c r="J14" i="21"/>
  <c r="J15" i="21" s="1"/>
  <c r="I14" i="21"/>
  <c r="L76" i="21" s="1"/>
  <c r="L13" i="21"/>
  <c r="L12" i="21"/>
  <c r="L11" i="21"/>
  <c r="J11" i="21"/>
  <c r="J12" i="21" s="1"/>
  <c r="I11" i="21"/>
  <c r="I12" i="21" s="1"/>
  <c r="L10" i="21"/>
  <c r="L9" i="21"/>
  <c r="L8" i="21"/>
  <c r="J8" i="21"/>
  <c r="J10" i="21" s="1"/>
  <c r="I8" i="21"/>
  <c r="K92" i="21" s="1"/>
  <c r="J5" i="21"/>
  <c r="J7" i="21" s="1"/>
  <c r="I5" i="21"/>
  <c r="I6" i="21" s="1"/>
  <c r="L3" i="21"/>
  <c r="J2" i="21"/>
  <c r="J4" i="21" s="1"/>
  <c r="I2" i="21"/>
  <c r="K89" i="21" s="1"/>
  <c r="J95" i="20"/>
  <c r="J97" i="20" s="1"/>
  <c r="I95" i="20"/>
  <c r="I96" i="20" s="1"/>
  <c r="I97" i="20" s="1"/>
  <c r="L92" i="20"/>
  <c r="J92" i="20"/>
  <c r="J94" i="20" s="1"/>
  <c r="I92" i="20"/>
  <c r="I94" i="20" s="1"/>
  <c r="J91" i="20"/>
  <c r="L90" i="20"/>
  <c r="J90" i="20"/>
  <c r="J89" i="20"/>
  <c r="I89" i="20"/>
  <c r="I90" i="20" s="1"/>
  <c r="L87" i="20"/>
  <c r="J87" i="20"/>
  <c r="J86" i="20"/>
  <c r="J88" i="20" s="1"/>
  <c r="I86" i="20"/>
  <c r="I87" i="20" s="1"/>
  <c r="L84" i="20"/>
  <c r="L83" i="20"/>
  <c r="J83" i="20"/>
  <c r="J84" i="20" s="1"/>
  <c r="I83" i="20"/>
  <c r="I84" i="20" s="1"/>
  <c r="L82" i="20"/>
  <c r="J80" i="20"/>
  <c r="J81" i="20" s="1"/>
  <c r="I80" i="20"/>
  <c r="I81" i="20" s="1"/>
  <c r="L79" i="20"/>
  <c r="J77" i="20"/>
  <c r="J78" i="20" s="1"/>
  <c r="I77" i="20"/>
  <c r="I78" i="20" s="1"/>
  <c r="L76" i="20"/>
  <c r="L74" i="20"/>
  <c r="J74" i="20"/>
  <c r="J76" i="20" s="1"/>
  <c r="I74" i="20"/>
  <c r="I76" i="20" s="1"/>
  <c r="L71" i="20"/>
  <c r="J71" i="20"/>
  <c r="J73" i="20" s="1"/>
  <c r="I71" i="20"/>
  <c r="I72" i="20" s="1"/>
  <c r="I73" i="20" s="1"/>
  <c r="L68" i="20"/>
  <c r="J68" i="20"/>
  <c r="J70" i="20" s="1"/>
  <c r="I68" i="20"/>
  <c r="I70" i="20" s="1"/>
  <c r="L66" i="20"/>
  <c r="J65" i="20"/>
  <c r="J67" i="20" s="1"/>
  <c r="I65" i="20"/>
  <c r="I66" i="20" s="1"/>
  <c r="J62" i="20"/>
  <c r="J64" i="20" s="1"/>
  <c r="I62" i="20"/>
  <c r="I63" i="20" s="1"/>
  <c r="L60" i="20"/>
  <c r="L59" i="20"/>
  <c r="J59" i="20"/>
  <c r="J60" i="20" s="1"/>
  <c r="I59" i="20"/>
  <c r="I60" i="20" s="1"/>
  <c r="L58" i="20"/>
  <c r="J56" i="20"/>
  <c r="J57" i="20" s="1"/>
  <c r="I56" i="20"/>
  <c r="I58" i="20" s="1"/>
  <c r="J53" i="20"/>
  <c r="J54" i="20" s="1"/>
  <c r="I53" i="20"/>
  <c r="I54" i="20" s="1"/>
  <c r="L52" i="20"/>
  <c r="L50" i="20"/>
  <c r="J50" i="20"/>
  <c r="J52" i="20" s="1"/>
  <c r="I50" i="20"/>
  <c r="I52" i="20" s="1"/>
  <c r="L47" i="20"/>
  <c r="J47" i="20"/>
  <c r="J49" i="20" s="1"/>
  <c r="I47" i="20"/>
  <c r="I48" i="20" s="1"/>
  <c r="I49" i="20" s="1"/>
  <c r="J44" i="20"/>
  <c r="J46" i="20" s="1"/>
  <c r="I44" i="20"/>
  <c r="I46" i="20" s="1"/>
  <c r="L42" i="20"/>
  <c r="J41" i="20"/>
  <c r="J42" i="20" s="1"/>
  <c r="I41" i="20"/>
  <c r="I42" i="20" s="1"/>
  <c r="L39" i="20"/>
  <c r="J38" i="20"/>
  <c r="J40" i="20" s="1"/>
  <c r="I38" i="20"/>
  <c r="I39" i="20" s="1"/>
  <c r="L35" i="20"/>
  <c r="J35" i="20"/>
  <c r="J36" i="20" s="1"/>
  <c r="I35" i="20"/>
  <c r="I36" i="20" s="1"/>
  <c r="L34" i="20"/>
  <c r="L32" i="20"/>
  <c r="J32" i="20"/>
  <c r="J33" i="20" s="1"/>
  <c r="I32" i="20"/>
  <c r="N32" i="20" s="1"/>
  <c r="L31" i="20"/>
  <c r="J29" i="20"/>
  <c r="J30" i="20" s="1"/>
  <c r="I29" i="20"/>
  <c r="I30" i="20" s="1"/>
  <c r="L26" i="20"/>
  <c r="J26" i="20"/>
  <c r="J28" i="20" s="1"/>
  <c r="I26" i="20"/>
  <c r="I28" i="20" s="1"/>
  <c r="L24" i="20"/>
  <c r="L23" i="20"/>
  <c r="J23" i="20"/>
  <c r="J25" i="20" s="1"/>
  <c r="I23" i="20"/>
  <c r="I24" i="20" s="1"/>
  <c r="I25" i="20" s="1"/>
  <c r="J22" i="20"/>
  <c r="I22" i="20"/>
  <c r="J20" i="20"/>
  <c r="J21" i="20" s="1"/>
  <c r="I20" i="20"/>
  <c r="L97" i="20" s="1"/>
  <c r="L18" i="20"/>
  <c r="J17" i="20"/>
  <c r="J19" i="20" s="1"/>
  <c r="I17" i="20"/>
  <c r="I18" i="20" s="1"/>
  <c r="J16" i="20"/>
  <c r="I16" i="20"/>
  <c r="L15" i="20"/>
  <c r="K15" i="20"/>
  <c r="J15" i="20"/>
  <c r="J14" i="20"/>
  <c r="I14" i="20"/>
  <c r="I15" i="20" s="1"/>
  <c r="L12" i="20"/>
  <c r="L11" i="20"/>
  <c r="J11" i="20"/>
  <c r="J12" i="20" s="1"/>
  <c r="I11" i="20"/>
  <c r="I12" i="20" s="1"/>
  <c r="L10" i="20"/>
  <c r="L8" i="20"/>
  <c r="J8" i="20"/>
  <c r="J9" i="20" s="1"/>
  <c r="I8" i="20"/>
  <c r="K92" i="20" s="1"/>
  <c r="M92" i="20" s="1"/>
  <c r="L7" i="20"/>
  <c r="L5" i="20"/>
  <c r="J5" i="20"/>
  <c r="J6" i="20" s="1"/>
  <c r="I5" i="20"/>
  <c r="I6" i="20" s="1"/>
  <c r="L4" i="20"/>
  <c r="L3" i="20"/>
  <c r="L2" i="20"/>
  <c r="J2" i="20"/>
  <c r="J4" i="20" s="1"/>
  <c r="I2" i="20"/>
  <c r="K76" i="20" s="1"/>
  <c r="J96" i="19"/>
  <c r="J95" i="19"/>
  <c r="J97" i="19" s="1"/>
  <c r="I95" i="19"/>
  <c r="I96" i="19" s="1"/>
  <c r="I97" i="19" s="1"/>
  <c r="L93" i="19"/>
  <c r="J92" i="19"/>
  <c r="J93" i="19" s="1"/>
  <c r="I92" i="19"/>
  <c r="I93" i="19" s="1"/>
  <c r="N93" i="19" s="1"/>
  <c r="J90" i="19"/>
  <c r="J89" i="19"/>
  <c r="J91" i="19" s="1"/>
  <c r="I89" i="19"/>
  <c r="I90" i="19" s="1"/>
  <c r="L87" i="19"/>
  <c r="J86" i="19"/>
  <c r="J87" i="19" s="1"/>
  <c r="I86" i="19"/>
  <c r="I87" i="19" s="1"/>
  <c r="L85" i="19"/>
  <c r="J83" i="19"/>
  <c r="J84" i="19" s="1"/>
  <c r="I83" i="19"/>
  <c r="I84" i="19" s="1"/>
  <c r="J80" i="19"/>
  <c r="J81" i="19" s="1"/>
  <c r="I80" i="19"/>
  <c r="I81" i="19" s="1"/>
  <c r="L79" i="19"/>
  <c r="L77" i="19"/>
  <c r="J77" i="19"/>
  <c r="J79" i="19" s="1"/>
  <c r="I77" i="19"/>
  <c r="I78" i="19" s="1"/>
  <c r="J74" i="19"/>
  <c r="J76" i="19" s="1"/>
  <c r="I74" i="19"/>
  <c r="J71" i="19"/>
  <c r="J73" i="19" s="1"/>
  <c r="I71" i="19"/>
  <c r="I72" i="19" s="1"/>
  <c r="I73" i="19" s="1"/>
  <c r="L69" i="19"/>
  <c r="J68" i="19"/>
  <c r="J70" i="19" s="1"/>
  <c r="I68" i="19"/>
  <c r="I70" i="19" s="1"/>
  <c r="L66" i="19"/>
  <c r="J65" i="19"/>
  <c r="J67" i="19" s="1"/>
  <c r="I65" i="19"/>
  <c r="I66" i="19" s="1"/>
  <c r="N66" i="19" s="1"/>
  <c r="L63" i="19"/>
  <c r="J62" i="19"/>
  <c r="J63" i="19" s="1"/>
  <c r="I62" i="19"/>
  <c r="I63" i="19" s="1"/>
  <c r="L61" i="19"/>
  <c r="L59" i="19"/>
  <c r="J59" i="19"/>
  <c r="J60" i="19" s="1"/>
  <c r="I59" i="19"/>
  <c r="I60" i="19" s="1"/>
  <c r="J56" i="19"/>
  <c r="J57" i="19" s="1"/>
  <c r="I56" i="19"/>
  <c r="I57" i="19" s="1"/>
  <c r="L53" i="19"/>
  <c r="J53" i="19"/>
  <c r="J55" i="19" s="1"/>
  <c r="I53" i="19"/>
  <c r="I54" i="19" s="1"/>
  <c r="L50" i="19"/>
  <c r="J50" i="19"/>
  <c r="J52" i="19" s="1"/>
  <c r="I50" i="19"/>
  <c r="I52" i="19" s="1"/>
  <c r="L48" i="19"/>
  <c r="J47" i="19"/>
  <c r="J49" i="19" s="1"/>
  <c r="I47" i="19"/>
  <c r="I48" i="19" s="1"/>
  <c r="I49" i="19" s="1"/>
  <c r="J44" i="19"/>
  <c r="J46" i="19" s="1"/>
  <c r="I44" i="19"/>
  <c r="I46" i="19" s="1"/>
  <c r="L42" i="19"/>
  <c r="J41" i="19"/>
  <c r="J43" i="19" s="1"/>
  <c r="I41" i="19"/>
  <c r="I42" i="19" s="1"/>
  <c r="J38" i="19"/>
  <c r="J39" i="19" s="1"/>
  <c r="I38" i="19"/>
  <c r="I39" i="19" s="1"/>
  <c r="J35" i="19"/>
  <c r="J36" i="19" s="1"/>
  <c r="I35" i="19"/>
  <c r="I36" i="19" s="1"/>
  <c r="L34" i="19"/>
  <c r="K34" i="19"/>
  <c r="J32" i="19"/>
  <c r="J33" i="19" s="1"/>
  <c r="I32" i="19"/>
  <c r="I33" i="19" s="1"/>
  <c r="J29" i="19"/>
  <c r="J31" i="19" s="1"/>
  <c r="I29" i="19"/>
  <c r="I30" i="19" s="1"/>
  <c r="J26" i="19"/>
  <c r="J28" i="19" s="1"/>
  <c r="I26" i="19"/>
  <c r="L24" i="19"/>
  <c r="L23" i="19"/>
  <c r="N23" i="19" s="1"/>
  <c r="J23" i="19"/>
  <c r="J25" i="19" s="1"/>
  <c r="I23" i="19"/>
  <c r="I24" i="19" s="1"/>
  <c r="I25" i="19" s="1"/>
  <c r="J20" i="19"/>
  <c r="J22" i="19" s="1"/>
  <c r="I20" i="19"/>
  <c r="L92" i="19" s="1"/>
  <c r="N92" i="19" s="1"/>
  <c r="L18" i="19"/>
  <c r="J17" i="19"/>
  <c r="J18" i="19" s="1"/>
  <c r="I17" i="19"/>
  <c r="I18" i="19" s="1"/>
  <c r="N18" i="19" s="1"/>
  <c r="I16" i="19"/>
  <c r="J14" i="19"/>
  <c r="J15" i="19" s="1"/>
  <c r="I14" i="19"/>
  <c r="L76" i="19" s="1"/>
  <c r="J11" i="19"/>
  <c r="J12" i="19" s="1"/>
  <c r="I11" i="19"/>
  <c r="I12" i="19" s="1"/>
  <c r="L10" i="19"/>
  <c r="K10" i="19"/>
  <c r="I10" i="19"/>
  <c r="N10" i="19" s="1"/>
  <c r="J8" i="19"/>
  <c r="J9" i="19" s="1"/>
  <c r="I8" i="19"/>
  <c r="K92" i="19" s="1"/>
  <c r="J5" i="19"/>
  <c r="J7" i="19" s="1"/>
  <c r="I5" i="19"/>
  <c r="I6" i="19" s="1"/>
  <c r="J2" i="19"/>
  <c r="J4" i="19" s="1"/>
  <c r="I2" i="19"/>
  <c r="K42" i="19" s="1"/>
  <c r="J95" i="18"/>
  <c r="J97" i="18" s="1"/>
  <c r="I95" i="18"/>
  <c r="I96" i="18" s="1"/>
  <c r="I97" i="18" s="1"/>
  <c r="J92" i="18"/>
  <c r="J93" i="18" s="1"/>
  <c r="I92" i="18"/>
  <c r="I93" i="18" s="1"/>
  <c r="J89" i="18"/>
  <c r="J91" i="18" s="1"/>
  <c r="I89" i="18"/>
  <c r="I90" i="18" s="1"/>
  <c r="J86" i="18"/>
  <c r="J87" i="18" s="1"/>
  <c r="I86" i="18"/>
  <c r="I87" i="18" s="1"/>
  <c r="J83" i="18"/>
  <c r="J84" i="18" s="1"/>
  <c r="I83" i="18"/>
  <c r="I84" i="18" s="1"/>
  <c r="J80" i="18"/>
  <c r="J81" i="18" s="1"/>
  <c r="I80" i="18"/>
  <c r="I81" i="18" s="1"/>
  <c r="J77" i="18"/>
  <c r="J79" i="18" s="1"/>
  <c r="I77" i="18"/>
  <c r="I78" i="18" s="1"/>
  <c r="J74" i="18"/>
  <c r="J76" i="18" s="1"/>
  <c r="I74" i="18"/>
  <c r="I76" i="18" s="1"/>
  <c r="J71" i="18"/>
  <c r="J73" i="18" s="1"/>
  <c r="I71" i="18"/>
  <c r="I72" i="18" s="1"/>
  <c r="I73" i="18" s="1"/>
  <c r="J68" i="18"/>
  <c r="J70" i="18" s="1"/>
  <c r="I68" i="18"/>
  <c r="I69" i="18" s="1"/>
  <c r="J66" i="18"/>
  <c r="I66" i="18"/>
  <c r="J65" i="18"/>
  <c r="J67" i="18" s="1"/>
  <c r="I65" i="18"/>
  <c r="J62" i="18"/>
  <c r="J63" i="18" s="1"/>
  <c r="I62" i="18"/>
  <c r="I63" i="18" s="1"/>
  <c r="J59" i="18"/>
  <c r="J60" i="18" s="1"/>
  <c r="I59" i="18"/>
  <c r="I60" i="18" s="1"/>
  <c r="J58" i="18"/>
  <c r="J56" i="18"/>
  <c r="J57" i="18" s="1"/>
  <c r="I56" i="18"/>
  <c r="I57" i="18" s="1"/>
  <c r="J53" i="18"/>
  <c r="J55" i="18" s="1"/>
  <c r="I53" i="18"/>
  <c r="I54" i="18" s="1"/>
  <c r="J50" i="18"/>
  <c r="J52" i="18" s="1"/>
  <c r="I50" i="18"/>
  <c r="J47" i="18"/>
  <c r="J48" i="18" s="1"/>
  <c r="I47" i="18"/>
  <c r="I48" i="18" s="1"/>
  <c r="I49" i="18" s="1"/>
  <c r="J44" i="18"/>
  <c r="J46" i="18" s="1"/>
  <c r="I44" i="18"/>
  <c r="I46" i="18" s="1"/>
  <c r="J41" i="18"/>
  <c r="J43" i="18" s="1"/>
  <c r="I41" i="18"/>
  <c r="I42" i="18" s="1"/>
  <c r="J38" i="18"/>
  <c r="J39" i="18" s="1"/>
  <c r="I38" i="18"/>
  <c r="I39" i="18" s="1"/>
  <c r="J35" i="18"/>
  <c r="J36" i="18" s="1"/>
  <c r="I35" i="18"/>
  <c r="I36" i="18" s="1"/>
  <c r="J32" i="18"/>
  <c r="J33" i="18" s="1"/>
  <c r="I32" i="18"/>
  <c r="I33" i="18" s="1"/>
  <c r="J29" i="18"/>
  <c r="J31" i="18" s="1"/>
  <c r="I29" i="18"/>
  <c r="I30" i="18" s="1"/>
  <c r="J26" i="18"/>
  <c r="J28" i="18" s="1"/>
  <c r="I26" i="18"/>
  <c r="J23" i="18"/>
  <c r="J25" i="18" s="1"/>
  <c r="I23" i="18"/>
  <c r="I24" i="18" s="1"/>
  <c r="I25" i="18" s="1"/>
  <c r="J20" i="18"/>
  <c r="J22" i="18" s="1"/>
  <c r="I20" i="18"/>
  <c r="L92" i="18" s="1"/>
  <c r="J17" i="18"/>
  <c r="J19" i="18" s="1"/>
  <c r="I17" i="18"/>
  <c r="I18" i="18" s="1"/>
  <c r="J14" i="18"/>
  <c r="J15" i="18" s="1"/>
  <c r="I14" i="18"/>
  <c r="L76" i="18" s="1"/>
  <c r="J11" i="18"/>
  <c r="J12" i="18" s="1"/>
  <c r="I11" i="18"/>
  <c r="I12" i="18" s="1"/>
  <c r="J8" i="18"/>
  <c r="J9" i="18" s="1"/>
  <c r="I8" i="18"/>
  <c r="K85" i="18" s="1"/>
  <c r="J5" i="18"/>
  <c r="J7" i="18" s="1"/>
  <c r="I5" i="18"/>
  <c r="I6" i="18" s="1"/>
  <c r="J2" i="18"/>
  <c r="J4" i="18" s="1"/>
  <c r="I2" i="18"/>
  <c r="K53" i="18" s="1"/>
  <c r="J96" i="17"/>
  <c r="J95" i="17"/>
  <c r="J97" i="17" s="1"/>
  <c r="I95" i="17"/>
  <c r="I96" i="17" s="1"/>
  <c r="I97" i="17" s="1"/>
  <c r="J92" i="17"/>
  <c r="J93" i="17" s="1"/>
  <c r="I92" i="17"/>
  <c r="I94" i="17" s="1"/>
  <c r="J89" i="17"/>
  <c r="J90" i="17" s="1"/>
  <c r="I89" i="17"/>
  <c r="I90" i="17" s="1"/>
  <c r="J86" i="17"/>
  <c r="J87" i="17" s="1"/>
  <c r="I86" i="17"/>
  <c r="I87" i="17" s="1"/>
  <c r="J83" i="17"/>
  <c r="J84" i="17" s="1"/>
  <c r="I83" i="17"/>
  <c r="J80" i="17"/>
  <c r="J81" i="17" s="1"/>
  <c r="I80" i="17"/>
  <c r="I81" i="17" s="1"/>
  <c r="J77" i="17"/>
  <c r="J79" i="17" s="1"/>
  <c r="I77" i="17"/>
  <c r="I78" i="17" s="1"/>
  <c r="J74" i="17"/>
  <c r="J76" i="17" s="1"/>
  <c r="I74" i="17"/>
  <c r="J71" i="17"/>
  <c r="J73" i="17" s="1"/>
  <c r="I71" i="17"/>
  <c r="I72" i="17" s="1"/>
  <c r="I73" i="17" s="1"/>
  <c r="J68" i="17"/>
  <c r="J70" i="17" s="1"/>
  <c r="I68" i="17"/>
  <c r="I70" i="17" s="1"/>
  <c r="J67" i="17"/>
  <c r="J66" i="17"/>
  <c r="J65" i="17"/>
  <c r="I65" i="17"/>
  <c r="I66" i="17" s="1"/>
  <c r="J62" i="17"/>
  <c r="J63" i="17" s="1"/>
  <c r="I62" i="17"/>
  <c r="I63" i="17" s="1"/>
  <c r="J59" i="17"/>
  <c r="J60" i="17" s="1"/>
  <c r="I59" i="17"/>
  <c r="J56" i="17"/>
  <c r="J57" i="17" s="1"/>
  <c r="I56" i="17"/>
  <c r="I57" i="17" s="1"/>
  <c r="J53" i="17"/>
  <c r="J55" i="17" s="1"/>
  <c r="I53" i="17"/>
  <c r="I54" i="17" s="1"/>
  <c r="J50" i="17"/>
  <c r="J52" i="17" s="1"/>
  <c r="I50" i="17"/>
  <c r="I52" i="17" s="1"/>
  <c r="J47" i="17"/>
  <c r="J49" i="17" s="1"/>
  <c r="I47" i="17"/>
  <c r="I48" i="17" s="1"/>
  <c r="I49" i="17" s="1"/>
  <c r="J44" i="17"/>
  <c r="J46" i="17" s="1"/>
  <c r="I44" i="17"/>
  <c r="I46" i="17" s="1"/>
  <c r="L42" i="17"/>
  <c r="I42" i="17"/>
  <c r="I43" i="17" s="1"/>
  <c r="J41" i="17"/>
  <c r="J43" i="17" s="1"/>
  <c r="I41" i="17"/>
  <c r="J38" i="17"/>
  <c r="J39" i="17" s="1"/>
  <c r="I38" i="17"/>
  <c r="I39" i="17" s="1"/>
  <c r="J35" i="17"/>
  <c r="J36" i="17" s="1"/>
  <c r="I35" i="17"/>
  <c r="J32" i="17"/>
  <c r="J33" i="17" s="1"/>
  <c r="I32" i="17"/>
  <c r="I33" i="17" s="1"/>
  <c r="L29" i="17"/>
  <c r="J29" i="17"/>
  <c r="J31" i="17" s="1"/>
  <c r="I29" i="17"/>
  <c r="I30" i="17" s="1"/>
  <c r="J26" i="17"/>
  <c r="J28" i="17" s="1"/>
  <c r="I26" i="17"/>
  <c r="I28" i="17" s="1"/>
  <c r="J23" i="17"/>
  <c r="J25" i="17" s="1"/>
  <c r="I23" i="17"/>
  <c r="I24" i="17" s="1"/>
  <c r="I25" i="17" s="1"/>
  <c r="J20" i="17"/>
  <c r="J22" i="17" s="1"/>
  <c r="I20" i="17"/>
  <c r="L92" i="17" s="1"/>
  <c r="J17" i="17"/>
  <c r="J19" i="17" s="1"/>
  <c r="I17" i="17"/>
  <c r="I18" i="17" s="1"/>
  <c r="J14" i="17"/>
  <c r="J15" i="17" s="1"/>
  <c r="I14" i="17"/>
  <c r="L76" i="17" s="1"/>
  <c r="J11" i="17"/>
  <c r="J12" i="17" s="1"/>
  <c r="I11" i="17"/>
  <c r="I12" i="17" s="1"/>
  <c r="I13" i="17" s="1"/>
  <c r="J8" i="17"/>
  <c r="J9" i="17" s="1"/>
  <c r="I8" i="17"/>
  <c r="K61" i="17" s="1"/>
  <c r="J5" i="17"/>
  <c r="J7" i="17" s="1"/>
  <c r="I5" i="17"/>
  <c r="I6" i="17" s="1"/>
  <c r="J2" i="17"/>
  <c r="J4" i="17" s="1"/>
  <c r="I2" i="17"/>
  <c r="K53" i="17" s="1"/>
  <c r="J95" i="16"/>
  <c r="J97" i="16" s="1"/>
  <c r="I95" i="16"/>
  <c r="I96" i="16" s="1"/>
  <c r="J92" i="16"/>
  <c r="J94" i="16" s="1"/>
  <c r="I92" i="16"/>
  <c r="I93" i="16" s="1"/>
  <c r="J89" i="16"/>
  <c r="J91" i="16" s="1"/>
  <c r="I89" i="16"/>
  <c r="J86" i="16"/>
  <c r="J87" i="16" s="1"/>
  <c r="I86" i="16"/>
  <c r="I87" i="16" s="1"/>
  <c r="J83" i="16"/>
  <c r="J85" i="16" s="1"/>
  <c r="I83" i="16"/>
  <c r="I84" i="16" s="1"/>
  <c r="J80" i="16"/>
  <c r="J81" i="16" s="1"/>
  <c r="I80" i="16"/>
  <c r="I81" i="16" s="1"/>
  <c r="J77" i="16"/>
  <c r="J79" i="16" s="1"/>
  <c r="I77" i="16"/>
  <c r="I78" i="16" s="1"/>
  <c r="J74" i="16"/>
  <c r="J76" i="16" s="1"/>
  <c r="I74" i="16"/>
  <c r="I76" i="16" s="1"/>
  <c r="J71" i="16"/>
  <c r="J73" i="16" s="1"/>
  <c r="I71" i="16"/>
  <c r="I72" i="16" s="1"/>
  <c r="I73" i="16" s="1"/>
  <c r="J68" i="16"/>
  <c r="J70" i="16" s="1"/>
  <c r="I68" i="16"/>
  <c r="I70" i="16" s="1"/>
  <c r="J65" i="16"/>
  <c r="J67" i="16" s="1"/>
  <c r="I65" i="16"/>
  <c r="I66" i="16" s="1"/>
  <c r="I67" i="16" s="1"/>
  <c r="J62" i="16"/>
  <c r="J63" i="16" s="1"/>
  <c r="I62" i="16"/>
  <c r="I63" i="16" s="1"/>
  <c r="J59" i="16"/>
  <c r="J60" i="16" s="1"/>
  <c r="I59" i="16"/>
  <c r="I60" i="16" s="1"/>
  <c r="J56" i="16"/>
  <c r="J57" i="16" s="1"/>
  <c r="I56" i="16"/>
  <c r="J53" i="16"/>
  <c r="J55" i="16" s="1"/>
  <c r="I53" i="16"/>
  <c r="I54" i="16" s="1"/>
  <c r="J50" i="16"/>
  <c r="J52" i="16" s="1"/>
  <c r="I50" i="16"/>
  <c r="I52" i="16" s="1"/>
  <c r="J47" i="16"/>
  <c r="J49" i="16" s="1"/>
  <c r="I47" i="16"/>
  <c r="I48" i="16" s="1"/>
  <c r="J44" i="16"/>
  <c r="J46" i="16" s="1"/>
  <c r="I44" i="16"/>
  <c r="I45" i="16" s="1"/>
  <c r="I42" i="16"/>
  <c r="I43" i="16" s="1"/>
  <c r="J41" i="16"/>
  <c r="J43" i="16" s="1"/>
  <c r="I41" i="16"/>
  <c r="J38" i="16"/>
  <c r="J39" i="16" s="1"/>
  <c r="I38" i="16"/>
  <c r="I39" i="16" s="1"/>
  <c r="J35" i="16"/>
  <c r="J37" i="16" s="1"/>
  <c r="I35" i="16"/>
  <c r="I36" i="16" s="1"/>
  <c r="J32" i="16"/>
  <c r="J33" i="16" s="1"/>
  <c r="I32" i="16"/>
  <c r="J29" i="16"/>
  <c r="J31" i="16" s="1"/>
  <c r="I29" i="16"/>
  <c r="I30" i="16" s="1"/>
  <c r="J26" i="16"/>
  <c r="J28" i="16" s="1"/>
  <c r="I26" i="16"/>
  <c r="I28" i="16" s="1"/>
  <c r="K23" i="16"/>
  <c r="J23" i="16"/>
  <c r="J25" i="16" s="1"/>
  <c r="I23" i="16"/>
  <c r="I24" i="16" s="1"/>
  <c r="J20" i="16"/>
  <c r="J22" i="16" s="1"/>
  <c r="I20" i="16"/>
  <c r="L94" i="16" s="1"/>
  <c r="J17" i="16"/>
  <c r="J18" i="16" s="1"/>
  <c r="I17" i="16"/>
  <c r="J14" i="16"/>
  <c r="J15" i="16" s="1"/>
  <c r="I14" i="16"/>
  <c r="L76" i="16" s="1"/>
  <c r="J11" i="16"/>
  <c r="J13" i="16" s="1"/>
  <c r="I11" i="16"/>
  <c r="I12" i="16" s="1"/>
  <c r="J8" i="16"/>
  <c r="J9" i="16" s="1"/>
  <c r="I8" i="16"/>
  <c r="K92" i="16" s="1"/>
  <c r="J5" i="16"/>
  <c r="J7" i="16" s="1"/>
  <c r="I5" i="16"/>
  <c r="I6" i="16" s="1"/>
  <c r="J2" i="16"/>
  <c r="J4" i="16" s="1"/>
  <c r="I2" i="16"/>
  <c r="K90" i="16" s="1"/>
  <c r="J95" i="15"/>
  <c r="J97" i="15" s="1"/>
  <c r="I95" i="15"/>
  <c r="I96" i="15" s="1"/>
  <c r="I97" i="15" s="1"/>
  <c r="J92" i="15"/>
  <c r="J94" i="15" s="1"/>
  <c r="I92" i="15"/>
  <c r="I94" i="15" s="1"/>
  <c r="J91" i="15"/>
  <c r="J89" i="15"/>
  <c r="J90" i="15" s="1"/>
  <c r="I89" i="15"/>
  <c r="I90" i="15" s="1"/>
  <c r="J86" i="15"/>
  <c r="J87" i="15" s="1"/>
  <c r="I86" i="15"/>
  <c r="I87" i="15" s="1"/>
  <c r="J83" i="15"/>
  <c r="J84" i="15" s="1"/>
  <c r="I83" i="15"/>
  <c r="I84" i="15" s="1"/>
  <c r="J80" i="15"/>
  <c r="J81" i="15" s="1"/>
  <c r="I80" i="15"/>
  <c r="I82" i="15" s="1"/>
  <c r="J77" i="15"/>
  <c r="J79" i="15" s="1"/>
  <c r="I77" i="15"/>
  <c r="I78" i="15" s="1"/>
  <c r="J74" i="15"/>
  <c r="J76" i="15" s="1"/>
  <c r="I74" i="15"/>
  <c r="I76" i="15" s="1"/>
  <c r="J71" i="15"/>
  <c r="J73" i="15" s="1"/>
  <c r="I71" i="15"/>
  <c r="I72" i="15" s="1"/>
  <c r="J68" i="15"/>
  <c r="J70" i="15" s="1"/>
  <c r="I68" i="15"/>
  <c r="I70" i="15" s="1"/>
  <c r="J65" i="15"/>
  <c r="J67" i="15" s="1"/>
  <c r="I65" i="15"/>
  <c r="I66" i="15" s="1"/>
  <c r="I67" i="15" s="1"/>
  <c r="J64" i="15"/>
  <c r="J62" i="15"/>
  <c r="J63" i="15" s="1"/>
  <c r="I62" i="15"/>
  <c r="I63" i="15" s="1"/>
  <c r="J59" i="15"/>
  <c r="J60" i="15" s="1"/>
  <c r="I59" i="15"/>
  <c r="I60" i="15" s="1"/>
  <c r="J56" i="15"/>
  <c r="J57" i="15" s="1"/>
  <c r="I56" i="15"/>
  <c r="I58" i="15" s="1"/>
  <c r="J53" i="15"/>
  <c r="J55" i="15" s="1"/>
  <c r="I53" i="15"/>
  <c r="I54" i="15" s="1"/>
  <c r="J50" i="15"/>
  <c r="J52" i="15" s="1"/>
  <c r="I50" i="15"/>
  <c r="I52" i="15" s="1"/>
  <c r="J47" i="15"/>
  <c r="J49" i="15" s="1"/>
  <c r="I47" i="15"/>
  <c r="I48" i="15" s="1"/>
  <c r="I46" i="15"/>
  <c r="J45" i="15"/>
  <c r="J44" i="15"/>
  <c r="J46" i="15" s="1"/>
  <c r="I44" i="15"/>
  <c r="I45" i="15" s="1"/>
  <c r="J41" i="15"/>
  <c r="J43" i="15" s="1"/>
  <c r="I41" i="15"/>
  <c r="I42" i="15" s="1"/>
  <c r="I43" i="15" s="1"/>
  <c r="J38" i="15"/>
  <c r="J39" i="15" s="1"/>
  <c r="I38" i="15"/>
  <c r="I39" i="15" s="1"/>
  <c r="J35" i="15"/>
  <c r="J36" i="15" s="1"/>
  <c r="I35" i="15"/>
  <c r="I36" i="15" s="1"/>
  <c r="J32" i="15"/>
  <c r="J33" i="15" s="1"/>
  <c r="I32" i="15"/>
  <c r="I34" i="15" s="1"/>
  <c r="J29" i="15"/>
  <c r="J31" i="15" s="1"/>
  <c r="I29" i="15"/>
  <c r="I30" i="15" s="1"/>
  <c r="J26" i="15"/>
  <c r="J28" i="15" s="1"/>
  <c r="I26" i="15"/>
  <c r="I28" i="15" s="1"/>
  <c r="J23" i="15"/>
  <c r="J25" i="15" s="1"/>
  <c r="I23" i="15"/>
  <c r="I24" i="15" s="1"/>
  <c r="J20" i="15"/>
  <c r="J21" i="15" s="1"/>
  <c r="I20" i="15"/>
  <c r="L92" i="15" s="1"/>
  <c r="N92" i="15" s="1"/>
  <c r="J17" i="15"/>
  <c r="J19" i="15" s="1"/>
  <c r="I17" i="15"/>
  <c r="I18" i="15" s="1"/>
  <c r="I19" i="15" s="1"/>
  <c r="J16" i="15"/>
  <c r="L15" i="15"/>
  <c r="J14" i="15"/>
  <c r="J15" i="15" s="1"/>
  <c r="I14" i="15"/>
  <c r="L76" i="15" s="1"/>
  <c r="J11" i="15"/>
  <c r="J12" i="15" s="1"/>
  <c r="I11" i="15"/>
  <c r="I12" i="15" s="1"/>
  <c r="J8" i="15"/>
  <c r="J9" i="15" s="1"/>
  <c r="I8" i="15"/>
  <c r="K92" i="15" s="1"/>
  <c r="J5" i="15"/>
  <c r="J7" i="15" s="1"/>
  <c r="I5" i="15"/>
  <c r="I6" i="15" s="1"/>
  <c r="J2" i="15"/>
  <c r="J4" i="15" s="1"/>
  <c r="I2" i="15"/>
  <c r="K66" i="15" s="1"/>
  <c r="J95" i="14"/>
  <c r="J97" i="14" s="1"/>
  <c r="I95" i="14"/>
  <c r="I96" i="14" s="1"/>
  <c r="I97" i="14" s="1"/>
  <c r="L93" i="14"/>
  <c r="J92" i="14"/>
  <c r="J93" i="14" s="1"/>
  <c r="I92" i="14"/>
  <c r="I94" i="14" s="1"/>
  <c r="J89" i="14"/>
  <c r="J91" i="14" s="1"/>
  <c r="I89" i="14"/>
  <c r="J86" i="14"/>
  <c r="J87" i="14" s="1"/>
  <c r="I86" i="14"/>
  <c r="I87" i="14" s="1"/>
  <c r="J83" i="14"/>
  <c r="J84" i="14" s="1"/>
  <c r="I83" i="14"/>
  <c r="J80" i="14"/>
  <c r="J81" i="14" s="1"/>
  <c r="I80" i="14"/>
  <c r="I81" i="14" s="1"/>
  <c r="J77" i="14"/>
  <c r="J79" i="14" s="1"/>
  <c r="I77" i="14"/>
  <c r="I78" i="14" s="1"/>
  <c r="I79" i="14" s="1"/>
  <c r="J74" i="14"/>
  <c r="J76" i="14" s="1"/>
  <c r="I74" i="14"/>
  <c r="I76" i="14" s="1"/>
  <c r="L71" i="14"/>
  <c r="J71" i="14"/>
  <c r="J73" i="14" s="1"/>
  <c r="I71" i="14"/>
  <c r="I72" i="14" s="1"/>
  <c r="I73" i="14" s="1"/>
  <c r="J68" i="14"/>
  <c r="J69" i="14" s="1"/>
  <c r="I68" i="14"/>
  <c r="I69" i="14" s="1"/>
  <c r="J65" i="14"/>
  <c r="J67" i="14" s="1"/>
  <c r="I65" i="14"/>
  <c r="I66" i="14" s="1"/>
  <c r="I67" i="14" s="1"/>
  <c r="J62" i="14"/>
  <c r="J63" i="14" s="1"/>
  <c r="I62" i="14"/>
  <c r="I63" i="14" s="1"/>
  <c r="J59" i="14"/>
  <c r="J60" i="14" s="1"/>
  <c r="I59" i="14"/>
  <c r="J56" i="14"/>
  <c r="J57" i="14" s="1"/>
  <c r="I56" i="14"/>
  <c r="I57" i="14" s="1"/>
  <c r="J53" i="14"/>
  <c r="J55" i="14" s="1"/>
  <c r="I53" i="14"/>
  <c r="I54" i="14" s="1"/>
  <c r="I55" i="14" s="1"/>
  <c r="J50" i="14"/>
  <c r="J52" i="14" s="1"/>
  <c r="I50" i="14"/>
  <c r="I52" i="14" s="1"/>
  <c r="J47" i="14"/>
  <c r="J49" i="14" s="1"/>
  <c r="I47" i="14"/>
  <c r="I48" i="14" s="1"/>
  <c r="I49" i="14" s="1"/>
  <c r="L46" i="14"/>
  <c r="I46" i="14"/>
  <c r="N46" i="14" s="1"/>
  <c r="L45" i="14"/>
  <c r="J44" i="14"/>
  <c r="J46" i="14" s="1"/>
  <c r="I44" i="14"/>
  <c r="I45" i="14" s="1"/>
  <c r="J41" i="14"/>
  <c r="J43" i="14" s="1"/>
  <c r="I41" i="14"/>
  <c r="I42" i="14" s="1"/>
  <c r="I43" i="14" s="1"/>
  <c r="J38" i="14"/>
  <c r="J39" i="14" s="1"/>
  <c r="I38" i="14"/>
  <c r="I39" i="14" s="1"/>
  <c r="J35" i="14"/>
  <c r="J36" i="14" s="1"/>
  <c r="I35" i="14"/>
  <c r="J32" i="14"/>
  <c r="J33" i="14" s="1"/>
  <c r="I32" i="14"/>
  <c r="I33" i="14" s="1"/>
  <c r="J29" i="14"/>
  <c r="J31" i="14" s="1"/>
  <c r="I29" i="14"/>
  <c r="I30" i="14" s="1"/>
  <c r="I31" i="14" s="1"/>
  <c r="J26" i="14"/>
  <c r="J28" i="14" s="1"/>
  <c r="I26" i="14"/>
  <c r="I28" i="14" s="1"/>
  <c r="J23" i="14"/>
  <c r="J25" i="14" s="1"/>
  <c r="I23" i="14"/>
  <c r="I24" i="14" s="1"/>
  <c r="L22" i="14"/>
  <c r="L21" i="14"/>
  <c r="J20" i="14"/>
  <c r="J21" i="14" s="1"/>
  <c r="I20" i="14"/>
  <c r="L92" i="14" s="1"/>
  <c r="J17" i="14"/>
  <c r="J19" i="14" s="1"/>
  <c r="I17" i="14"/>
  <c r="I18" i="14" s="1"/>
  <c r="I19" i="14" s="1"/>
  <c r="J14" i="14"/>
  <c r="J15" i="14" s="1"/>
  <c r="I14" i="14"/>
  <c r="L76" i="14" s="1"/>
  <c r="J11" i="14"/>
  <c r="J12" i="14" s="1"/>
  <c r="I11" i="14"/>
  <c r="L9" i="14"/>
  <c r="L8" i="14"/>
  <c r="J8" i="14"/>
  <c r="J9" i="14" s="1"/>
  <c r="I8" i="14"/>
  <c r="K92" i="14" s="1"/>
  <c r="J5" i="14"/>
  <c r="J7" i="14" s="1"/>
  <c r="I5" i="14"/>
  <c r="I6" i="14" s="1"/>
  <c r="I7" i="14" s="1"/>
  <c r="J3" i="14"/>
  <c r="J2" i="14"/>
  <c r="J4" i="14" s="1"/>
  <c r="I2" i="14"/>
  <c r="K14" i="14" s="1"/>
  <c r="J95" i="13"/>
  <c r="J97" i="13" s="1"/>
  <c r="I95" i="13"/>
  <c r="I96" i="13" s="1"/>
  <c r="I97" i="13" s="1"/>
  <c r="J92" i="13"/>
  <c r="J93" i="13" s="1"/>
  <c r="I92" i="13"/>
  <c r="I94" i="13" s="1"/>
  <c r="J89" i="13"/>
  <c r="J91" i="13" s="1"/>
  <c r="I89" i="13"/>
  <c r="I90" i="13" s="1"/>
  <c r="L87" i="13"/>
  <c r="K87" i="13"/>
  <c r="J86" i="13"/>
  <c r="J87" i="13" s="1"/>
  <c r="I86" i="13"/>
  <c r="I87" i="13" s="1"/>
  <c r="L85" i="13"/>
  <c r="J83" i="13"/>
  <c r="J84" i="13" s="1"/>
  <c r="I83" i="13"/>
  <c r="I84" i="13" s="1"/>
  <c r="I85" i="13" s="1"/>
  <c r="J80" i="13"/>
  <c r="J81" i="13" s="1"/>
  <c r="I80" i="13"/>
  <c r="I81" i="13" s="1"/>
  <c r="J77" i="13"/>
  <c r="J79" i="13" s="1"/>
  <c r="I77" i="13"/>
  <c r="J74" i="13"/>
  <c r="I74" i="13"/>
  <c r="L72" i="13"/>
  <c r="J71" i="13"/>
  <c r="J73" i="13" s="1"/>
  <c r="I71" i="13"/>
  <c r="I72" i="13" s="1"/>
  <c r="N72" i="13" s="1"/>
  <c r="J68" i="13"/>
  <c r="J70" i="13" s="1"/>
  <c r="I68" i="13"/>
  <c r="I70" i="13" s="1"/>
  <c r="J67" i="13"/>
  <c r="J65" i="13"/>
  <c r="J66" i="13" s="1"/>
  <c r="I65" i="13"/>
  <c r="I66" i="13" s="1"/>
  <c r="L63" i="13"/>
  <c r="J62" i="13"/>
  <c r="J63" i="13" s="1"/>
  <c r="I62" i="13"/>
  <c r="I63" i="13" s="1"/>
  <c r="L59" i="13"/>
  <c r="J59" i="13"/>
  <c r="J60" i="13" s="1"/>
  <c r="I59" i="13"/>
  <c r="I60" i="13" s="1"/>
  <c r="I61" i="13" s="1"/>
  <c r="L58" i="13"/>
  <c r="I58" i="13"/>
  <c r="J56" i="13"/>
  <c r="J57" i="13" s="1"/>
  <c r="I56" i="13"/>
  <c r="J53" i="13"/>
  <c r="I53" i="13"/>
  <c r="J50" i="13"/>
  <c r="I50" i="13"/>
  <c r="L47" i="13"/>
  <c r="J47" i="13"/>
  <c r="J48" i="13" s="1"/>
  <c r="I47" i="13"/>
  <c r="I48" i="13" s="1"/>
  <c r="J44" i="13"/>
  <c r="J45" i="13" s="1"/>
  <c r="I44" i="13"/>
  <c r="I45" i="13" s="1"/>
  <c r="L42" i="13"/>
  <c r="J41" i="13"/>
  <c r="J43" i="13" s="1"/>
  <c r="I41" i="13"/>
  <c r="I42" i="13" s="1"/>
  <c r="J38" i="13"/>
  <c r="J39" i="13" s="1"/>
  <c r="I38" i="13"/>
  <c r="I39" i="13" s="1"/>
  <c r="J35" i="13"/>
  <c r="J36" i="13" s="1"/>
  <c r="I35" i="13"/>
  <c r="I36" i="13" s="1"/>
  <c r="I37" i="13" s="1"/>
  <c r="J32" i="13"/>
  <c r="J33" i="13" s="1"/>
  <c r="I32" i="13"/>
  <c r="I33" i="13" s="1"/>
  <c r="J29" i="13"/>
  <c r="J31" i="13" s="1"/>
  <c r="I29" i="13"/>
  <c r="L26" i="13"/>
  <c r="J26" i="13"/>
  <c r="I26" i="13"/>
  <c r="L24" i="13"/>
  <c r="I24" i="13"/>
  <c r="J23" i="13"/>
  <c r="J24" i="13" s="1"/>
  <c r="I23" i="13"/>
  <c r="J20" i="13"/>
  <c r="J22" i="13" s="1"/>
  <c r="I20" i="13"/>
  <c r="L92" i="13" s="1"/>
  <c r="J17" i="13"/>
  <c r="J19" i="13" s="1"/>
  <c r="I17" i="13"/>
  <c r="I18" i="13" s="1"/>
  <c r="L16" i="13"/>
  <c r="J14" i="13"/>
  <c r="J15" i="13" s="1"/>
  <c r="I14" i="13"/>
  <c r="L76" i="13" s="1"/>
  <c r="J11" i="13"/>
  <c r="J12" i="13" s="1"/>
  <c r="I11" i="13"/>
  <c r="I12" i="13" s="1"/>
  <c r="I13" i="13" s="1"/>
  <c r="L8" i="13"/>
  <c r="J8" i="13"/>
  <c r="J9" i="13" s="1"/>
  <c r="I8" i="13"/>
  <c r="J5" i="13"/>
  <c r="I5" i="13"/>
  <c r="L2" i="13"/>
  <c r="J2" i="13"/>
  <c r="I2" i="13"/>
  <c r="K15" i="13" s="1"/>
  <c r="J95" i="12"/>
  <c r="J97" i="12" s="1"/>
  <c r="I95" i="12"/>
  <c r="I96" i="12" s="1"/>
  <c r="I97" i="12" s="1"/>
  <c r="J92" i="12"/>
  <c r="J93" i="12" s="1"/>
  <c r="I92" i="12"/>
  <c r="I93" i="12" s="1"/>
  <c r="J89" i="12"/>
  <c r="J90" i="12" s="1"/>
  <c r="I89" i="12"/>
  <c r="I90" i="12" s="1"/>
  <c r="J86" i="12"/>
  <c r="J87" i="12" s="1"/>
  <c r="I86" i="12"/>
  <c r="I87" i="12" s="1"/>
  <c r="J83" i="12"/>
  <c r="J84" i="12" s="1"/>
  <c r="I83" i="12"/>
  <c r="I84" i="12" s="1"/>
  <c r="I85" i="12" s="1"/>
  <c r="J80" i="12"/>
  <c r="J81" i="12" s="1"/>
  <c r="I80" i="12"/>
  <c r="I81" i="12" s="1"/>
  <c r="J77" i="12"/>
  <c r="J79" i="12" s="1"/>
  <c r="I77" i="12"/>
  <c r="J74" i="12"/>
  <c r="I74" i="12"/>
  <c r="J71" i="12"/>
  <c r="J73" i="12" s="1"/>
  <c r="I71" i="12"/>
  <c r="I72" i="12" s="1"/>
  <c r="J68" i="12"/>
  <c r="J70" i="12" s="1"/>
  <c r="I68" i="12"/>
  <c r="I70" i="12" s="1"/>
  <c r="J65" i="12"/>
  <c r="J67" i="12" s="1"/>
  <c r="I65" i="12"/>
  <c r="I66" i="12" s="1"/>
  <c r="J62" i="12"/>
  <c r="J63" i="12" s="1"/>
  <c r="I62" i="12"/>
  <c r="I63" i="12" s="1"/>
  <c r="J59" i="12"/>
  <c r="J60" i="12" s="1"/>
  <c r="I59" i="12"/>
  <c r="I60" i="12" s="1"/>
  <c r="I61" i="12" s="1"/>
  <c r="I58" i="12"/>
  <c r="J56" i="12"/>
  <c r="J57" i="12" s="1"/>
  <c r="I56" i="12"/>
  <c r="I57" i="12" s="1"/>
  <c r="K55" i="12"/>
  <c r="J53" i="12"/>
  <c r="I53" i="12"/>
  <c r="K50" i="12"/>
  <c r="J50" i="12"/>
  <c r="I50" i="12"/>
  <c r="J47" i="12"/>
  <c r="J49" i="12" s="1"/>
  <c r="I47" i="12"/>
  <c r="I48" i="12" s="1"/>
  <c r="I49" i="12" s="1"/>
  <c r="J44" i="12"/>
  <c r="J46" i="12" s="1"/>
  <c r="I44" i="12"/>
  <c r="J41" i="12"/>
  <c r="J42" i="12" s="1"/>
  <c r="I41" i="12"/>
  <c r="I42" i="12" s="1"/>
  <c r="J38" i="12"/>
  <c r="J39" i="12" s="1"/>
  <c r="I38" i="12"/>
  <c r="I39" i="12" s="1"/>
  <c r="J35" i="12"/>
  <c r="J36" i="12" s="1"/>
  <c r="I35" i="12"/>
  <c r="I36" i="12" s="1"/>
  <c r="J32" i="12"/>
  <c r="J33" i="12" s="1"/>
  <c r="I32" i="12"/>
  <c r="J29" i="12"/>
  <c r="I29" i="12"/>
  <c r="J26" i="12"/>
  <c r="I26" i="12"/>
  <c r="J23" i="12"/>
  <c r="J25" i="12" s="1"/>
  <c r="I23" i="12"/>
  <c r="I24" i="12" s="1"/>
  <c r="J20" i="12"/>
  <c r="J21" i="12" s="1"/>
  <c r="I20" i="12"/>
  <c r="L92" i="12" s="1"/>
  <c r="J17" i="12"/>
  <c r="J19" i="12" s="1"/>
  <c r="I17" i="12"/>
  <c r="I18" i="12" s="1"/>
  <c r="J14" i="12"/>
  <c r="J15" i="12" s="1"/>
  <c r="I14" i="12"/>
  <c r="L76" i="12" s="1"/>
  <c r="J11" i="12"/>
  <c r="J12" i="12" s="1"/>
  <c r="I11" i="12"/>
  <c r="I12" i="12" s="1"/>
  <c r="I13" i="12" s="1"/>
  <c r="J8" i="12"/>
  <c r="J9" i="12" s="1"/>
  <c r="I8" i="12"/>
  <c r="K83" i="12" s="1"/>
  <c r="J5" i="12"/>
  <c r="I5" i="12"/>
  <c r="J2" i="12"/>
  <c r="J4" i="12" s="1"/>
  <c r="I2" i="12"/>
  <c r="K90" i="12" s="1"/>
  <c r="J95" i="11"/>
  <c r="J97" i="11" s="1"/>
  <c r="I95" i="11"/>
  <c r="I96" i="11" s="1"/>
  <c r="L93" i="11"/>
  <c r="J92" i="11"/>
  <c r="J94" i="11" s="1"/>
  <c r="I92" i="11"/>
  <c r="I93" i="11" s="1"/>
  <c r="J89" i="11"/>
  <c r="J90" i="11" s="1"/>
  <c r="I89" i="11"/>
  <c r="I90" i="11" s="1"/>
  <c r="I91" i="11" s="1"/>
  <c r="J88" i="11"/>
  <c r="J86" i="11"/>
  <c r="J87" i="11" s="1"/>
  <c r="I86" i="11"/>
  <c r="I87" i="11" s="1"/>
  <c r="L83" i="11"/>
  <c r="J83" i="11"/>
  <c r="J84" i="11" s="1"/>
  <c r="I83" i="11"/>
  <c r="I84" i="11" s="1"/>
  <c r="J80" i="11"/>
  <c r="J81" i="11" s="1"/>
  <c r="I80" i="11"/>
  <c r="I81" i="11" s="1"/>
  <c r="J77" i="11"/>
  <c r="J79" i="11" s="1"/>
  <c r="I77" i="11"/>
  <c r="J74" i="11"/>
  <c r="J76" i="11" s="1"/>
  <c r="I74" i="11"/>
  <c r="L72" i="11"/>
  <c r="J71" i="11"/>
  <c r="J73" i="11" s="1"/>
  <c r="I71" i="11"/>
  <c r="I72" i="11" s="1"/>
  <c r="I73" i="11" s="1"/>
  <c r="J68" i="11"/>
  <c r="J70" i="11" s="1"/>
  <c r="I68" i="11"/>
  <c r="I70" i="11" s="1"/>
  <c r="J65" i="11"/>
  <c r="J67" i="11" s="1"/>
  <c r="I65" i="11"/>
  <c r="I66" i="11" s="1"/>
  <c r="I67" i="11" s="1"/>
  <c r="J62" i="11"/>
  <c r="J63" i="11" s="1"/>
  <c r="I62" i="11"/>
  <c r="I63" i="11" s="1"/>
  <c r="L61" i="11"/>
  <c r="L60" i="11"/>
  <c r="J59" i="11"/>
  <c r="J60" i="11" s="1"/>
  <c r="I59" i="11"/>
  <c r="I60" i="11" s="1"/>
  <c r="L57" i="11"/>
  <c r="L56" i="11"/>
  <c r="J56" i="11"/>
  <c r="J57" i="11" s="1"/>
  <c r="I56" i="11"/>
  <c r="J53" i="11"/>
  <c r="J55" i="11" s="1"/>
  <c r="I53" i="11"/>
  <c r="L50" i="11"/>
  <c r="J50" i="11"/>
  <c r="J52" i="11" s="1"/>
  <c r="I50" i="11"/>
  <c r="I51" i="11" s="1"/>
  <c r="L47" i="11"/>
  <c r="J47" i="11"/>
  <c r="J49" i="11" s="1"/>
  <c r="I47" i="11"/>
  <c r="I48" i="11" s="1"/>
  <c r="L46" i="11"/>
  <c r="I46" i="11"/>
  <c r="N46" i="11" s="1"/>
  <c r="J45" i="11"/>
  <c r="J44" i="11"/>
  <c r="J46" i="11" s="1"/>
  <c r="I44" i="11"/>
  <c r="I45" i="11" s="1"/>
  <c r="J42" i="11"/>
  <c r="J41" i="11"/>
  <c r="J43" i="11" s="1"/>
  <c r="I41" i="11"/>
  <c r="I42" i="11" s="1"/>
  <c r="I43" i="11" s="1"/>
  <c r="J38" i="11"/>
  <c r="J39" i="11" s="1"/>
  <c r="I38" i="11"/>
  <c r="I39" i="11" s="1"/>
  <c r="J35" i="11"/>
  <c r="J36" i="11" s="1"/>
  <c r="I35" i="11"/>
  <c r="I36" i="11" s="1"/>
  <c r="L34" i="11"/>
  <c r="L32" i="11"/>
  <c r="J32" i="11"/>
  <c r="J33" i="11" s="1"/>
  <c r="I32" i="11"/>
  <c r="L31" i="11"/>
  <c r="J29" i="11"/>
  <c r="J31" i="11" s="1"/>
  <c r="I29" i="11"/>
  <c r="J26" i="11"/>
  <c r="J28" i="11" s="1"/>
  <c r="I26" i="11"/>
  <c r="I27" i="11" s="1"/>
  <c r="L25" i="11"/>
  <c r="L23" i="11"/>
  <c r="J23" i="11"/>
  <c r="J25" i="11" s="1"/>
  <c r="I23" i="11"/>
  <c r="I24" i="11" s="1"/>
  <c r="L22" i="11"/>
  <c r="L20" i="11"/>
  <c r="N20" i="11" s="1"/>
  <c r="J20" i="11"/>
  <c r="J22" i="11" s="1"/>
  <c r="I20" i="11"/>
  <c r="L92" i="11" s="1"/>
  <c r="L18" i="11"/>
  <c r="J17" i="11"/>
  <c r="J18" i="11" s="1"/>
  <c r="I17" i="11"/>
  <c r="I18" i="11" s="1"/>
  <c r="J14" i="11"/>
  <c r="J15" i="11" s="1"/>
  <c r="I14" i="11"/>
  <c r="L76" i="11" s="1"/>
  <c r="L12" i="11"/>
  <c r="L11" i="11"/>
  <c r="J11" i="11"/>
  <c r="J12" i="11" s="1"/>
  <c r="I11" i="11"/>
  <c r="I12" i="11" s="1"/>
  <c r="J8" i="11"/>
  <c r="J9" i="11" s="1"/>
  <c r="I8" i="11"/>
  <c r="K10" i="11" s="1"/>
  <c r="J5" i="11"/>
  <c r="J7" i="11" s="1"/>
  <c r="I5" i="11"/>
  <c r="J2" i="11"/>
  <c r="J4" i="11" s="1"/>
  <c r="I2" i="11"/>
  <c r="J95" i="10"/>
  <c r="J97" i="10" s="1"/>
  <c r="I95" i="10"/>
  <c r="I96" i="10" s="1"/>
  <c r="J92" i="10"/>
  <c r="J94" i="10" s="1"/>
  <c r="I92" i="10"/>
  <c r="I93" i="10" s="1"/>
  <c r="J89" i="10"/>
  <c r="J91" i="10" s="1"/>
  <c r="I89" i="10"/>
  <c r="I90" i="10" s="1"/>
  <c r="J86" i="10"/>
  <c r="J87" i="10" s="1"/>
  <c r="I86" i="10"/>
  <c r="I87" i="10" s="1"/>
  <c r="J83" i="10"/>
  <c r="J84" i="10" s="1"/>
  <c r="I83" i="10"/>
  <c r="J80" i="10"/>
  <c r="J81" i="10" s="1"/>
  <c r="I80" i="10"/>
  <c r="I81" i="10" s="1"/>
  <c r="J77" i="10"/>
  <c r="J79" i="10" s="1"/>
  <c r="I77" i="10"/>
  <c r="L75" i="10"/>
  <c r="J74" i="10"/>
  <c r="J76" i="10" s="1"/>
  <c r="I74" i="10"/>
  <c r="J71" i="10"/>
  <c r="J73" i="10" s="1"/>
  <c r="I71" i="10"/>
  <c r="I72" i="10" s="1"/>
  <c r="J68" i="10"/>
  <c r="J70" i="10" s="1"/>
  <c r="I68" i="10"/>
  <c r="I69" i="10" s="1"/>
  <c r="J65" i="10"/>
  <c r="J67" i="10" s="1"/>
  <c r="I65" i="10"/>
  <c r="I66" i="10" s="1"/>
  <c r="I67" i="10" s="1"/>
  <c r="J62" i="10"/>
  <c r="J63" i="10" s="1"/>
  <c r="I62" i="10"/>
  <c r="I63" i="10" s="1"/>
  <c r="J59" i="10"/>
  <c r="J60" i="10" s="1"/>
  <c r="I59" i="10"/>
  <c r="I60" i="10" s="1"/>
  <c r="J56" i="10"/>
  <c r="J57" i="10" s="1"/>
  <c r="I56" i="10"/>
  <c r="I57" i="10" s="1"/>
  <c r="L55" i="10"/>
  <c r="L53" i="10"/>
  <c r="J53" i="10"/>
  <c r="J55" i="10" s="1"/>
  <c r="I53" i="10"/>
  <c r="I54" i="10" s="1"/>
  <c r="J50" i="10"/>
  <c r="J52" i="10" s="1"/>
  <c r="I50" i="10"/>
  <c r="J47" i="10"/>
  <c r="J49" i="10" s="1"/>
  <c r="I47" i="10"/>
  <c r="I48" i="10" s="1"/>
  <c r="I49" i="10" s="1"/>
  <c r="J44" i="10"/>
  <c r="J45" i="10" s="1"/>
  <c r="I44" i="10"/>
  <c r="I45" i="10" s="1"/>
  <c r="L43" i="10"/>
  <c r="J41" i="10"/>
  <c r="J42" i="10" s="1"/>
  <c r="I41" i="10"/>
  <c r="I42" i="10" s="1"/>
  <c r="L40" i="10"/>
  <c r="J38" i="10"/>
  <c r="J39" i="10" s="1"/>
  <c r="I38" i="10"/>
  <c r="I39" i="10" s="1"/>
  <c r="J35" i="10"/>
  <c r="J36" i="10" s="1"/>
  <c r="I35" i="10"/>
  <c r="J32" i="10"/>
  <c r="J33" i="10" s="1"/>
  <c r="I32" i="10"/>
  <c r="I33" i="10" s="1"/>
  <c r="J29" i="10"/>
  <c r="J31" i="10" s="1"/>
  <c r="I29" i="10"/>
  <c r="L26" i="10"/>
  <c r="J26" i="10"/>
  <c r="J28" i="10" s="1"/>
  <c r="I26" i="10"/>
  <c r="J23" i="10"/>
  <c r="J24" i="10" s="1"/>
  <c r="I23" i="10"/>
  <c r="I24" i="10" s="1"/>
  <c r="J20" i="10"/>
  <c r="J21" i="10" s="1"/>
  <c r="I20" i="10"/>
  <c r="L92" i="10" s="1"/>
  <c r="J17" i="10"/>
  <c r="J19" i="10" s="1"/>
  <c r="I17" i="10"/>
  <c r="I18" i="10" s="1"/>
  <c r="I16" i="10"/>
  <c r="J14" i="10"/>
  <c r="J15" i="10" s="1"/>
  <c r="I14" i="10"/>
  <c r="L76" i="10" s="1"/>
  <c r="J11" i="10"/>
  <c r="J12" i="10" s="1"/>
  <c r="I11" i="10"/>
  <c r="I12" i="10" s="1"/>
  <c r="J8" i="10"/>
  <c r="J9" i="10" s="1"/>
  <c r="I8" i="10"/>
  <c r="I9" i="10" s="1"/>
  <c r="L7" i="10"/>
  <c r="J5" i="10"/>
  <c r="J7" i="10" s="1"/>
  <c r="I5" i="10"/>
  <c r="J2" i="10"/>
  <c r="J3" i="10" s="1"/>
  <c r="I2" i="10"/>
  <c r="K86" i="10" s="1"/>
  <c r="J95" i="9"/>
  <c r="J97" i="9" s="1"/>
  <c r="I95" i="9"/>
  <c r="I96" i="9" s="1"/>
  <c r="J92" i="9"/>
  <c r="J93" i="9" s="1"/>
  <c r="I92" i="9"/>
  <c r="I93" i="9" s="1"/>
  <c r="J89" i="9"/>
  <c r="J91" i="9" s="1"/>
  <c r="I89" i="9"/>
  <c r="I90" i="9" s="1"/>
  <c r="J86" i="9"/>
  <c r="J87" i="9" s="1"/>
  <c r="I86" i="9"/>
  <c r="I87" i="9" s="1"/>
  <c r="L83" i="9"/>
  <c r="J83" i="9"/>
  <c r="J84" i="9" s="1"/>
  <c r="I83" i="9"/>
  <c r="I84" i="9" s="1"/>
  <c r="I85" i="9" s="1"/>
  <c r="J80" i="9"/>
  <c r="J81" i="9" s="1"/>
  <c r="I80" i="9"/>
  <c r="I82" i="9" s="1"/>
  <c r="J77" i="9"/>
  <c r="I77" i="9"/>
  <c r="J74" i="9"/>
  <c r="I74" i="9"/>
  <c r="J71" i="9"/>
  <c r="J72" i="9" s="1"/>
  <c r="I71" i="9"/>
  <c r="I72" i="9" s="1"/>
  <c r="J68" i="9"/>
  <c r="J70" i="9" s="1"/>
  <c r="I68" i="9"/>
  <c r="I69" i="9" s="1"/>
  <c r="J65" i="9"/>
  <c r="J67" i="9" s="1"/>
  <c r="I65" i="9"/>
  <c r="I66" i="9" s="1"/>
  <c r="J62" i="9"/>
  <c r="J63" i="9" s="1"/>
  <c r="I62" i="9"/>
  <c r="I63" i="9" s="1"/>
  <c r="J59" i="9"/>
  <c r="J60" i="9" s="1"/>
  <c r="I59" i="9"/>
  <c r="I60" i="9" s="1"/>
  <c r="I61" i="9" s="1"/>
  <c r="J56" i="9"/>
  <c r="J57" i="9" s="1"/>
  <c r="I56" i="9"/>
  <c r="I57" i="9" s="1"/>
  <c r="J53" i="9"/>
  <c r="I53" i="9"/>
  <c r="J50" i="9"/>
  <c r="I50" i="9"/>
  <c r="J49" i="9"/>
  <c r="L48" i="9"/>
  <c r="J48" i="9"/>
  <c r="J47" i="9"/>
  <c r="I47" i="9"/>
  <c r="I48" i="9" s="1"/>
  <c r="J44" i="9"/>
  <c r="J45" i="9" s="1"/>
  <c r="I44" i="9"/>
  <c r="I46" i="9" s="1"/>
  <c r="J41" i="9"/>
  <c r="J42" i="9" s="1"/>
  <c r="I41" i="9"/>
  <c r="I42" i="9" s="1"/>
  <c r="J38" i="9"/>
  <c r="J39" i="9" s="1"/>
  <c r="I38" i="9"/>
  <c r="I39" i="9" s="1"/>
  <c r="J35" i="9"/>
  <c r="J36" i="9" s="1"/>
  <c r="I35" i="9"/>
  <c r="L34" i="9"/>
  <c r="K34" i="9"/>
  <c r="L32" i="9"/>
  <c r="J32" i="9"/>
  <c r="J33" i="9" s="1"/>
  <c r="I32" i="9"/>
  <c r="I34" i="9" s="1"/>
  <c r="J29" i="9"/>
  <c r="I29" i="9"/>
  <c r="J26" i="9"/>
  <c r="I26" i="9"/>
  <c r="J23" i="9"/>
  <c r="J24" i="9" s="1"/>
  <c r="I23" i="9"/>
  <c r="I24" i="9" s="1"/>
  <c r="I25" i="9" s="1"/>
  <c r="J20" i="9"/>
  <c r="J22" i="9" s="1"/>
  <c r="I20" i="9"/>
  <c r="L92" i="9" s="1"/>
  <c r="J17" i="9"/>
  <c r="J19" i="9" s="1"/>
  <c r="I17" i="9"/>
  <c r="I18" i="9" s="1"/>
  <c r="J14" i="9"/>
  <c r="J15" i="9" s="1"/>
  <c r="I14" i="9"/>
  <c r="L76" i="9" s="1"/>
  <c r="J11" i="9"/>
  <c r="J12" i="9" s="1"/>
  <c r="I11" i="9"/>
  <c r="K10" i="9"/>
  <c r="J8" i="9"/>
  <c r="J9" i="9" s="1"/>
  <c r="I8" i="9"/>
  <c r="K47" i="9" s="1"/>
  <c r="J5" i="9"/>
  <c r="I5" i="9"/>
  <c r="J2" i="9"/>
  <c r="I2" i="9"/>
  <c r="J95" i="8"/>
  <c r="J97" i="8" s="1"/>
  <c r="I95" i="8"/>
  <c r="I96" i="8" s="1"/>
  <c r="J92" i="8"/>
  <c r="J93" i="8" s="1"/>
  <c r="I92" i="8"/>
  <c r="I93" i="8" s="1"/>
  <c r="J89" i="8"/>
  <c r="J90" i="8" s="1"/>
  <c r="I89" i="8"/>
  <c r="I90" i="8" s="1"/>
  <c r="J86" i="8"/>
  <c r="J87" i="8" s="1"/>
  <c r="I86" i="8"/>
  <c r="I87" i="8" s="1"/>
  <c r="J83" i="8"/>
  <c r="J84" i="8" s="1"/>
  <c r="I83" i="8"/>
  <c r="I84" i="8" s="1"/>
  <c r="I85" i="8" s="1"/>
  <c r="J80" i="8"/>
  <c r="J81" i="8" s="1"/>
  <c r="I80" i="8"/>
  <c r="J77" i="8"/>
  <c r="I77" i="8"/>
  <c r="J74" i="8"/>
  <c r="I74" i="8"/>
  <c r="J71" i="8"/>
  <c r="J72" i="8" s="1"/>
  <c r="I71" i="8"/>
  <c r="I72" i="8" s="1"/>
  <c r="J68" i="8"/>
  <c r="J70" i="8" s="1"/>
  <c r="I68" i="8"/>
  <c r="I69" i="8" s="1"/>
  <c r="J65" i="8"/>
  <c r="J66" i="8" s="1"/>
  <c r="I65" i="8"/>
  <c r="I66" i="8" s="1"/>
  <c r="J62" i="8"/>
  <c r="J63" i="8" s="1"/>
  <c r="I62" i="8"/>
  <c r="I63" i="8" s="1"/>
  <c r="J59" i="8"/>
  <c r="J60" i="8" s="1"/>
  <c r="I59" i="8"/>
  <c r="I60" i="8" s="1"/>
  <c r="I61" i="8" s="1"/>
  <c r="J56" i="8"/>
  <c r="J57" i="8" s="1"/>
  <c r="I56" i="8"/>
  <c r="I57" i="8" s="1"/>
  <c r="J53" i="8"/>
  <c r="I53" i="8"/>
  <c r="J50" i="8"/>
  <c r="I50" i="8"/>
  <c r="J47" i="8"/>
  <c r="J49" i="8" s="1"/>
  <c r="I47" i="8"/>
  <c r="I48" i="8" s="1"/>
  <c r="J44" i="8"/>
  <c r="J45" i="8" s="1"/>
  <c r="I44" i="8"/>
  <c r="I46" i="8" s="1"/>
  <c r="J41" i="8"/>
  <c r="J43" i="8" s="1"/>
  <c r="I41" i="8"/>
  <c r="I42" i="8" s="1"/>
  <c r="J38" i="8"/>
  <c r="J39" i="8" s="1"/>
  <c r="I38" i="8"/>
  <c r="I39" i="8" s="1"/>
  <c r="J35" i="8"/>
  <c r="J36" i="8" s="1"/>
  <c r="I35" i="8"/>
  <c r="J32" i="8"/>
  <c r="J33" i="8" s="1"/>
  <c r="I32" i="8"/>
  <c r="I33" i="8" s="1"/>
  <c r="J29" i="8"/>
  <c r="I29" i="8"/>
  <c r="J26" i="8"/>
  <c r="I26" i="8"/>
  <c r="I24" i="8"/>
  <c r="J23" i="8"/>
  <c r="J25" i="8" s="1"/>
  <c r="I23" i="8"/>
  <c r="J20" i="8"/>
  <c r="J22" i="8" s="1"/>
  <c r="I20" i="8"/>
  <c r="L92" i="8" s="1"/>
  <c r="J17" i="8"/>
  <c r="J19" i="8" s="1"/>
  <c r="I17" i="8"/>
  <c r="I18" i="8" s="1"/>
  <c r="J14" i="8"/>
  <c r="J15" i="8" s="1"/>
  <c r="I14" i="8"/>
  <c r="L76" i="8" s="1"/>
  <c r="J11" i="8"/>
  <c r="J12" i="8" s="1"/>
  <c r="I11" i="8"/>
  <c r="J8" i="8"/>
  <c r="J9" i="8" s="1"/>
  <c r="I8" i="8"/>
  <c r="K70" i="8" s="1"/>
  <c r="J5" i="8"/>
  <c r="I5" i="8"/>
  <c r="J2" i="8"/>
  <c r="I2" i="8"/>
  <c r="K15" i="8" s="1"/>
  <c r="I96" i="7"/>
  <c r="J95" i="7"/>
  <c r="J97" i="7" s="1"/>
  <c r="I95" i="7"/>
  <c r="J92" i="7"/>
  <c r="J94" i="7" s="1"/>
  <c r="I92" i="7"/>
  <c r="I94" i="7" s="1"/>
  <c r="J91" i="7"/>
  <c r="L90" i="7"/>
  <c r="J89" i="7"/>
  <c r="J90" i="7" s="1"/>
  <c r="I89" i="7"/>
  <c r="I90" i="7" s="1"/>
  <c r="L87" i="7"/>
  <c r="J86" i="7"/>
  <c r="J87" i="7" s="1"/>
  <c r="I86" i="7"/>
  <c r="I87" i="7" s="1"/>
  <c r="L83" i="7"/>
  <c r="J83" i="7"/>
  <c r="J84" i="7" s="1"/>
  <c r="I83" i="7"/>
  <c r="L82" i="7"/>
  <c r="J80" i="7"/>
  <c r="J81" i="7" s="1"/>
  <c r="I80" i="7"/>
  <c r="L79" i="7"/>
  <c r="J77" i="7"/>
  <c r="J79" i="7" s="1"/>
  <c r="I77" i="7"/>
  <c r="I78" i="7" s="1"/>
  <c r="L74" i="7"/>
  <c r="J74" i="7"/>
  <c r="J76" i="7" s="1"/>
  <c r="I74" i="7"/>
  <c r="J73" i="7"/>
  <c r="L72" i="7"/>
  <c r="J71" i="7"/>
  <c r="J72" i="7" s="1"/>
  <c r="I71" i="7"/>
  <c r="I72" i="7" s="1"/>
  <c r="I73" i="7" s="1"/>
  <c r="J68" i="7"/>
  <c r="J70" i="7" s="1"/>
  <c r="I68" i="7"/>
  <c r="I70" i="7" s="1"/>
  <c r="L66" i="7"/>
  <c r="J65" i="7"/>
  <c r="J66" i="7" s="1"/>
  <c r="I65" i="7"/>
  <c r="I66" i="7" s="1"/>
  <c r="L63" i="7"/>
  <c r="J62" i="7"/>
  <c r="J63" i="7" s="1"/>
  <c r="I62" i="7"/>
  <c r="I63" i="7" s="1"/>
  <c r="J59" i="7"/>
  <c r="J60" i="7" s="1"/>
  <c r="I59" i="7"/>
  <c r="I60" i="7" s="1"/>
  <c r="L58" i="7"/>
  <c r="L56" i="7"/>
  <c r="J56" i="7"/>
  <c r="J57" i="7" s="1"/>
  <c r="I56" i="7"/>
  <c r="I58" i="7" s="1"/>
  <c r="L53" i="7"/>
  <c r="J53" i="7"/>
  <c r="J55" i="7" s="1"/>
  <c r="I53" i="7"/>
  <c r="I54" i="7" s="1"/>
  <c r="L50" i="7"/>
  <c r="J50" i="7"/>
  <c r="J52" i="7" s="1"/>
  <c r="I50" i="7"/>
  <c r="I52" i="7" s="1"/>
  <c r="L48" i="7"/>
  <c r="J47" i="7"/>
  <c r="J49" i="7" s="1"/>
  <c r="I47" i="7"/>
  <c r="I48" i="7" s="1"/>
  <c r="I49" i="7" s="1"/>
  <c r="J44" i="7"/>
  <c r="J46" i="7" s="1"/>
  <c r="I44" i="7"/>
  <c r="I46" i="7" s="1"/>
  <c r="J41" i="7"/>
  <c r="J43" i="7" s="1"/>
  <c r="I41" i="7"/>
  <c r="I42" i="7" s="1"/>
  <c r="I43" i="7" s="1"/>
  <c r="J38" i="7"/>
  <c r="J39" i="7" s="1"/>
  <c r="I38" i="7"/>
  <c r="I39" i="7" s="1"/>
  <c r="J35" i="7"/>
  <c r="J36" i="7" s="1"/>
  <c r="I35" i="7"/>
  <c r="L32" i="7"/>
  <c r="J32" i="7"/>
  <c r="J33" i="7" s="1"/>
  <c r="I32" i="7"/>
  <c r="I33" i="7" s="1"/>
  <c r="L31" i="7"/>
  <c r="J29" i="7"/>
  <c r="J31" i="7" s="1"/>
  <c r="I29" i="7"/>
  <c r="I30" i="7" s="1"/>
  <c r="L26" i="7"/>
  <c r="J26" i="7"/>
  <c r="J28" i="7" s="1"/>
  <c r="I26" i="7"/>
  <c r="I28" i="7" s="1"/>
  <c r="J23" i="7"/>
  <c r="J25" i="7" s="1"/>
  <c r="I23" i="7"/>
  <c r="I24" i="7" s="1"/>
  <c r="L22" i="7"/>
  <c r="J22" i="7"/>
  <c r="I22" i="7"/>
  <c r="L21" i="7"/>
  <c r="J20" i="7"/>
  <c r="J21" i="7" s="1"/>
  <c r="I20" i="7"/>
  <c r="L92" i="7" s="1"/>
  <c r="L18" i="7"/>
  <c r="J17" i="7"/>
  <c r="J19" i="7" s="1"/>
  <c r="I17" i="7"/>
  <c r="I18" i="7" s="1"/>
  <c r="I16" i="7"/>
  <c r="J14" i="7"/>
  <c r="J15" i="7" s="1"/>
  <c r="I14" i="7"/>
  <c r="L76" i="7" s="1"/>
  <c r="J11" i="7"/>
  <c r="J12" i="7" s="1"/>
  <c r="I11" i="7"/>
  <c r="I12" i="7" s="1"/>
  <c r="J8" i="7"/>
  <c r="J9" i="7" s="1"/>
  <c r="I8" i="7"/>
  <c r="L7" i="7"/>
  <c r="L5" i="7"/>
  <c r="J5" i="7"/>
  <c r="J7" i="7" s="1"/>
  <c r="I5" i="7"/>
  <c r="I6" i="7" s="1"/>
  <c r="L2" i="7"/>
  <c r="J2" i="7"/>
  <c r="J4" i="7" s="1"/>
  <c r="I2" i="7"/>
  <c r="K78" i="7" s="1"/>
  <c r="J95" i="6"/>
  <c r="J97" i="6" s="1"/>
  <c r="I95" i="6"/>
  <c r="I96" i="6" s="1"/>
  <c r="I97" i="6" s="1"/>
  <c r="J92" i="6"/>
  <c r="J94" i="6" s="1"/>
  <c r="I92" i="6"/>
  <c r="I94" i="6" s="1"/>
  <c r="J89" i="6"/>
  <c r="J90" i="6" s="1"/>
  <c r="I89" i="6"/>
  <c r="I90" i="6" s="1"/>
  <c r="J86" i="6"/>
  <c r="J87" i="6" s="1"/>
  <c r="I86" i="6"/>
  <c r="I87" i="6" s="1"/>
  <c r="J83" i="6"/>
  <c r="I83" i="6"/>
  <c r="I84" i="6" s="1"/>
  <c r="I85" i="6" s="1"/>
  <c r="J80" i="6"/>
  <c r="J81" i="6" s="1"/>
  <c r="I80" i="6"/>
  <c r="I81" i="6" s="1"/>
  <c r="J77" i="6"/>
  <c r="I77" i="6"/>
  <c r="J74" i="6"/>
  <c r="J76" i="6" s="1"/>
  <c r="I74" i="6"/>
  <c r="J71" i="6"/>
  <c r="J73" i="6" s="1"/>
  <c r="I71" i="6"/>
  <c r="I72" i="6" s="1"/>
  <c r="I73" i="6" s="1"/>
  <c r="J68" i="6"/>
  <c r="J70" i="6" s="1"/>
  <c r="I68" i="6"/>
  <c r="I69" i="6" s="1"/>
  <c r="J65" i="6"/>
  <c r="J67" i="6" s="1"/>
  <c r="I65" i="6"/>
  <c r="I66" i="6" s="1"/>
  <c r="J62" i="6"/>
  <c r="J63" i="6" s="1"/>
  <c r="I62" i="6"/>
  <c r="I63" i="6" s="1"/>
  <c r="K59" i="6"/>
  <c r="J59" i="6"/>
  <c r="J60" i="6" s="1"/>
  <c r="I59" i="6"/>
  <c r="I60" i="6" s="1"/>
  <c r="I61" i="6" s="1"/>
  <c r="J56" i="6"/>
  <c r="J57" i="6" s="1"/>
  <c r="I56" i="6"/>
  <c r="I57" i="6" s="1"/>
  <c r="J53" i="6"/>
  <c r="I53" i="6"/>
  <c r="J50" i="6"/>
  <c r="J52" i="6" s="1"/>
  <c r="I50" i="6"/>
  <c r="J47" i="6"/>
  <c r="J49" i="6" s="1"/>
  <c r="I47" i="6"/>
  <c r="I48" i="6" s="1"/>
  <c r="I49" i="6" s="1"/>
  <c r="J44" i="6"/>
  <c r="J46" i="6" s="1"/>
  <c r="I44" i="6"/>
  <c r="I45" i="6" s="1"/>
  <c r="J41" i="6"/>
  <c r="J43" i="6" s="1"/>
  <c r="I41" i="6"/>
  <c r="I42" i="6" s="1"/>
  <c r="J38" i="6"/>
  <c r="J39" i="6" s="1"/>
  <c r="I38" i="6"/>
  <c r="J35" i="6"/>
  <c r="J36" i="6" s="1"/>
  <c r="I35" i="6"/>
  <c r="I36" i="6" s="1"/>
  <c r="I37" i="6" s="1"/>
  <c r="J32" i="6"/>
  <c r="J33" i="6" s="1"/>
  <c r="I32" i="6"/>
  <c r="I33" i="6" s="1"/>
  <c r="J29" i="6"/>
  <c r="I29" i="6"/>
  <c r="I30" i="6" s="1"/>
  <c r="J26" i="6"/>
  <c r="J28" i="6" s="1"/>
  <c r="I26" i="6"/>
  <c r="J23" i="6"/>
  <c r="J25" i="6" s="1"/>
  <c r="I23" i="6"/>
  <c r="I24" i="6" s="1"/>
  <c r="I25" i="6" s="1"/>
  <c r="J20" i="6"/>
  <c r="J22" i="6" s="1"/>
  <c r="I20" i="6"/>
  <c r="J17" i="6"/>
  <c r="J19" i="6" s="1"/>
  <c r="I17" i="6"/>
  <c r="I18" i="6" s="1"/>
  <c r="J14" i="6"/>
  <c r="J15" i="6" s="1"/>
  <c r="I14" i="6"/>
  <c r="L50" i="6" s="1"/>
  <c r="J11" i="6"/>
  <c r="J12" i="6" s="1"/>
  <c r="I11" i="6"/>
  <c r="I12" i="6" s="1"/>
  <c r="J8" i="6"/>
  <c r="J9" i="6" s="1"/>
  <c r="I8" i="6"/>
  <c r="I9" i="6" s="1"/>
  <c r="J5" i="6"/>
  <c r="I5" i="6"/>
  <c r="J2" i="6"/>
  <c r="J4" i="6" s="1"/>
  <c r="I2" i="6"/>
  <c r="K79" i="6" s="1"/>
  <c r="J97" i="5"/>
  <c r="L96" i="5"/>
  <c r="J96" i="5"/>
  <c r="K95" i="5"/>
  <c r="J95" i="5"/>
  <c r="I95" i="5"/>
  <c r="I96" i="5" s="1"/>
  <c r="I97" i="5" s="1"/>
  <c r="L93" i="5"/>
  <c r="I93" i="5"/>
  <c r="N93" i="5" s="1"/>
  <c r="J92" i="5"/>
  <c r="J94" i="5" s="1"/>
  <c r="I92" i="5"/>
  <c r="I94" i="5" s="1"/>
  <c r="J91" i="5"/>
  <c r="L90" i="5"/>
  <c r="I90" i="5"/>
  <c r="J89" i="5"/>
  <c r="J90" i="5" s="1"/>
  <c r="I89" i="5"/>
  <c r="L88" i="5"/>
  <c r="L87" i="5"/>
  <c r="J86" i="5"/>
  <c r="J87" i="5" s="1"/>
  <c r="I86" i="5"/>
  <c r="I87" i="5" s="1"/>
  <c r="L85" i="5"/>
  <c r="J85" i="5"/>
  <c r="L83" i="5"/>
  <c r="J83" i="5"/>
  <c r="J84" i="5" s="1"/>
  <c r="I83" i="5"/>
  <c r="I84" i="5" s="1"/>
  <c r="L82" i="5"/>
  <c r="I82" i="5"/>
  <c r="J80" i="5"/>
  <c r="J81" i="5" s="1"/>
  <c r="I80" i="5"/>
  <c r="L79" i="5"/>
  <c r="J77" i="5"/>
  <c r="J79" i="5" s="1"/>
  <c r="I77" i="5"/>
  <c r="I78" i="5" s="1"/>
  <c r="L74" i="5"/>
  <c r="J74" i="5"/>
  <c r="J75" i="5" s="1"/>
  <c r="I74" i="5"/>
  <c r="J73" i="5"/>
  <c r="L72" i="5"/>
  <c r="J72" i="5"/>
  <c r="I72" i="5"/>
  <c r="N72" i="5" s="1"/>
  <c r="L71" i="5"/>
  <c r="N71" i="5" s="1"/>
  <c r="K71" i="5"/>
  <c r="M71" i="5" s="1"/>
  <c r="J71" i="5"/>
  <c r="I71" i="5"/>
  <c r="L69" i="5"/>
  <c r="J68" i="5"/>
  <c r="J70" i="5" s="1"/>
  <c r="I68" i="5"/>
  <c r="I70" i="5" s="1"/>
  <c r="L66" i="5"/>
  <c r="I66" i="5"/>
  <c r="J65" i="5"/>
  <c r="I65" i="5"/>
  <c r="L64" i="5"/>
  <c r="J64" i="5"/>
  <c r="L63" i="5"/>
  <c r="J62" i="5"/>
  <c r="J63" i="5" s="1"/>
  <c r="I62" i="5"/>
  <c r="I63" i="5" s="1"/>
  <c r="L59" i="5"/>
  <c r="J59" i="5"/>
  <c r="J60" i="5" s="1"/>
  <c r="I59" i="5"/>
  <c r="I60" i="5" s="1"/>
  <c r="L58" i="5"/>
  <c r="J58" i="5"/>
  <c r="I58" i="5"/>
  <c r="L56" i="5"/>
  <c r="J56" i="5"/>
  <c r="J57" i="5" s="1"/>
  <c r="I56" i="5"/>
  <c r="N56" i="5" s="1"/>
  <c r="J53" i="5"/>
  <c r="J55" i="5" s="1"/>
  <c r="I53" i="5"/>
  <c r="I54" i="5" s="1"/>
  <c r="L50" i="5"/>
  <c r="J50" i="5"/>
  <c r="J51" i="5" s="1"/>
  <c r="I50" i="5"/>
  <c r="L48" i="5"/>
  <c r="I48" i="5"/>
  <c r="I49" i="5" s="1"/>
  <c r="L47" i="5"/>
  <c r="N47" i="5" s="1"/>
  <c r="K47" i="5"/>
  <c r="M47" i="5" s="1"/>
  <c r="J47" i="5"/>
  <c r="I47" i="5"/>
  <c r="L46" i="5"/>
  <c r="J46" i="5"/>
  <c r="L45" i="5"/>
  <c r="I45" i="5"/>
  <c r="N45" i="5" s="1"/>
  <c r="J44" i="5"/>
  <c r="J45" i="5" s="1"/>
  <c r="I44" i="5"/>
  <c r="I46" i="5" s="1"/>
  <c r="N46" i="5" s="1"/>
  <c r="J43" i="5"/>
  <c r="L42" i="5"/>
  <c r="J42" i="5"/>
  <c r="J41" i="5"/>
  <c r="I41" i="5"/>
  <c r="I42" i="5" s="1"/>
  <c r="L40" i="5"/>
  <c r="I40" i="5"/>
  <c r="L39" i="5"/>
  <c r="J38" i="5"/>
  <c r="J39" i="5" s="1"/>
  <c r="I38" i="5"/>
  <c r="I39" i="5" s="1"/>
  <c r="L37" i="5"/>
  <c r="J35" i="5"/>
  <c r="J36" i="5" s="1"/>
  <c r="I35" i="5"/>
  <c r="I36" i="5" s="1"/>
  <c r="L34" i="5"/>
  <c r="K34" i="5"/>
  <c r="J34" i="5"/>
  <c r="I34" i="5"/>
  <c r="L32" i="5"/>
  <c r="J32" i="5"/>
  <c r="J33" i="5" s="1"/>
  <c r="I32" i="5"/>
  <c r="I33" i="5" s="1"/>
  <c r="L31" i="5"/>
  <c r="J29" i="5"/>
  <c r="J31" i="5" s="1"/>
  <c r="I29" i="5"/>
  <c r="L26" i="5"/>
  <c r="J26" i="5"/>
  <c r="J28" i="5" s="1"/>
  <c r="I26" i="5"/>
  <c r="L24" i="5"/>
  <c r="L23" i="5"/>
  <c r="K23" i="5"/>
  <c r="J23" i="5"/>
  <c r="I23" i="5"/>
  <c r="I24" i="5" s="1"/>
  <c r="I25" i="5" s="1"/>
  <c r="L22" i="5"/>
  <c r="I22" i="5"/>
  <c r="N22" i="5" s="1"/>
  <c r="J20" i="5"/>
  <c r="J22" i="5" s="1"/>
  <c r="I20" i="5"/>
  <c r="L92" i="5" s="1"/>
  <c r="L18" i="5"/>
  <c r="I18" i="5"/>
  <c r="J17" i="5"/>
  <c r="J19" i="5" s="1"/>
  <c r="I17" i="5"/>
  <c r="L16" i="5"/>
  <c r="J16" i="5"/>
  <c r="I16" i="5"/>
  <c r="L15" i="5"/>
  <c r="J14" i="5"/>
  <c r="J15" i="5" s="1"/>
  <c r="I14" i="5"/>
  <c r="L76" i="5" s="1"/>
  <c r="L13" i="5"/>
  <c r="J13" i="5"/>
  <c r="L12" i="5"/>
  <c r="L11" i="5"/>
  <c r="J11" i="5"/>
  <c r="J12" i="5" s="1"/>
  <c r="I11" i="5"/>
  <c r="I12" i="5" s="1"/>
  <c r="I13" i="5" s="1"/>
  <c r="L10" i="5"/>
  <c r="K10" i="5"/>
  <c r="I10" i="5"/>
  <c r="L8" i="5"/>
  <c r="J8" i="5"/>
  <c r="I8" i="5"/>
  <c r="K22" i="5" s="1"/>
  <c r="L7" i="5"/>
  <c r="J5" i="5"/>
  <c r="J7" i="5" s="1"/>
  <c r="I5" i="5"/>
  <c r="I6" i="5" s="1"/>
  <c r="L2" i="5"/>
  <c r="J2" i="5"/>
  <c r="I2" i="5"/>
  <c r="K87" i="5" s="1"/>
  <c r="K93" i="2"/>
  <c r="K92" i="2"/>
  <c r="K90" i="2"/>
  <c r="K89" i="2"/>
  <c r="M89" i="2" s="1"/>
  <c r="K77" i="2"/>
  <c r="K76" i="2"/>
  <c r="K74" i="2"/>
  <c r="K73" i="2"/>
  <c r="K61" i="2"/>
  <c r="K60" i="2"/>
  <c r="K58" i="2"/>
  <c r="M58" i="2" s="1"/>
  <c r="K57" i="2"/>
  <c r="K47" i="2"/>
  <c r="K45" i="2"/>
  <c r="K44" i="2"/>
  <c r="K42" i="2"/>
  <c r="K41" i="2"/>
  <c r="K31" i="2"/>
  <c r="M31" i="2" s="1"/>
  <c r="K29" i="2"/>
  <c r="M29" i="2" s="1"/>
  <c r="K28" i="2"/>
  <c r="K26" i="2"/>
  <c r="M26" i="2" s="1"/>
  <c r="K25" i="2"/>
  <c r="M25" i="2" s="1"/>
  <c r="K13" i="2"/>
  <c r="K12" i="2"/>
  <c r="K10" i="2"/>
  <c r="K9" i="2"/>
  <c r="L89" i="2"/>
  <c r="L88" i="2"/>
  <c r="L73" i="2"/>
  <c r="L26" i="2"/>
  <c r="L25" i="2"/>
  <c r="L12" i="2"/>
  <c r="J74" i="2"/>
  <c r="J75" i="2" s="1"/>
  <c r="J8" i="2"/>
  <c r="J9" i="2" s="1"/>
  <c r="J11" i="2"/>
  <c r="J12" i="2" s="1"/>
  <c r="J14" i="2"/>
  <c r="J15" i="2" s="1"/>
  <c r="J17" i="2"/>
  <c r="J19" i="2" s="1"/>
  <c r="J20" i="2"/>
  <c r="J22" i="2" s="1"/>
  <c r="J21" i="2"/>
  <c r="J23" i="2"/>
  <c r="J24" i="2" s="1"/>
  <c r="J26" i="2"/>
  <c r="J27" i="2" s="1"/>
  <c r="J29" i="2"/>
  <c r="J30" i="2" s="1"/>
  <c r="J32" i="2"/>
  <c r="J34" i="2" s="1"/>
  <c r="J35" i="2"/>
  <c r="J36" i="2" s="1"/>
  <c r="J37" i="2"/>
  <c r="J38" i="2"/>
  <c r="J41" i="2"/>
  <c r="J42" i="2" s="1"/>
  <c r="J44" i="2"/>
  <c r="J45" i="2" s="1"/>
  <c r="J47" i="2"/>
  <c r="J48" i="2"/>
  <c r="J49" i="2"/>
  <c r="J50" i="2"/>
  <c r="J51" i="2" s="1"/>
  <c r="J53" i="2"/>
  <c r="J54" i="2"/>
  <c r="J55" i="2"/>
  <c r="J56" i="2"/>
  <c r="J58" i="2" s="1"/>
  <c r="J59" i="2"/>
  <c r="J61" i="2" s="1"/>
  <c r="J62" i="2"/>
  <c r="J65" i="2"/>
  <c r="J66" i="2" s="1"/>
  <c r="J68" i="2"/>
  <c r="J69" i="2" s="1"/>
  <c r="J70" i="2"/>
  <c r="J71" i="2"/>
  <c r="J72" i="2" s="1"/>
  <c r="J77" i="2"/>
  <c r="J78" i="2"/>
  <c r="J79" i="2"/>
  <c r="J80" i="2"/>
  <c r="J82" i="2" s="1"/>
  <c r="J81" i="2"/>
  <c r="J83" i="2"/>
  <c r="J84" i="2" s="1"/>
  <c r="J86" i="2"/>
  <c r="J88" i="2" s="1"/>
  <c r="J89" i="2"/>
  <c r="J90" i="2" s="1"/>
  <c r="J92" i="2"/>
  <c r="J94" i="2" s="1"/>
  <c r="J95" i="2"/>
  <c r="J96" i="2" s="1"/>
  <c r="J97" i="2"/>
  <c r="J5" i="2"/>
  <c r="J7" i="2" s="1"/>
  <c r="J2" i="2"/>
  <c r="J4" i="2" s="1"/>
  <c r="I8" i="2"/>
  <c r="I10" i="2" s="1"/>
  <c r="I11" i="2"/>
  <c r="I12" i="2"/>
  <c r="I13" i="2" s="1"/>
  <c r="I14" i="2"/>
  <c r="L28" i="2" s="1"/>
  <c r="N28" i="2" s="1"/>
  <c r="I17" i="2"/>
  <c r="I18" i="2" s="1"/>
  <c r="I19" i="2" s="1"/>
  <c r="I20" i="2"/>
  <c r="I21" i="2"/>
  <c r="I23" i="2"/>
  <c r="I24" i="2" s="1"/>
  <c r="I25" i="2" s="1"/>
  <c r="I26" i="2"/>
  <c r="I28" i="2" s="1"/>
  <c r="M28" i="2" s="1"/>
  <c r="I29" i="2"/>
  <c r="I30" i="2" s="1"/>
  <c r="I31" i="2" s="1"/>
  <c r="I32" i="2"/>
  <c r="I33" i="2" s="1"/>
  <c r="I35" i="2"/>
  <c r="I36" i="2"/>
  <c r="I37" i="2" s="1"/>
  <c r="I38" i="2"/>
  <c r="I40" i="2" s="1"/>
  <c r="I39" i="2"/>
  <c r="I41" i="2"/>
  <c r="I42" i="2" s="1"/>
  <c r="I43" i="2" s="1"/>
  <c r="I44" i="2"/>
  <c r="I45" i="2" s="1"/>
  <c r="M45" i="2" s="1"/>
  <c r="I47" i="2"/>
  <c r="I50" i="2"/>
  <c r="I51" i="2"/>
  <c r="I52" i="2"/>
  <c r="I53" i="2"/>
  <c r="I54" i="2"/>
  <c r="I56" i="2"/>
  <c r="I58" i="2" s="1"/>
  <c r="I59" i="2"/>
  <c r="I62" i="2"/>
  <c r="I63" i="2" s="1"/>
  <c r="I65" i="2"/>
  <c r="I66" i="2" s="1"/>
  <c r="I67" i="2" s="1"/>
  <c r="I68" i="2"/>
  <c r="I69" i="2"/>
  <c r="I71" i="2"/>
  <c r="I74" i="2"/>
  <c r="I77" i="2"/>
  <c r="I78" i="2" s="1"/>
  <c r="I79" i="2" s="1"/>
  <c r="I80" i="2"/>
  <c r="I82" i="2" s="1"/>
  <c r="I83" i="2"/>
  <c r="I84" i="2" s="1"/>
  <c r="I85" i="2" s="1"/>
  <c r="I86" i="2"/>
  <c r="I88" i="2" s="1"/>
  <c r="I89" i="2"/>
  <c r="I90" i="2" s="1"/>
  <c r="I91" i="2" s="1"/>
  <c r="I92" i="2"/>
  <c r="I93" i="2" s="1"/>
  <c r="I95" i="2"/>
  <c r="I96" i="2" s="1"/>
  <c r="I97" i="2" s="1"/>
  <c r="I5" i="2"/>
  <c r="I6" i="2" s="1"/>
  <c r="I7" i="2" s="1"/>
  <c r="I2" i="2"/>
  <c r="I4" i="2" s="1"/>
  <c r="J64" i="26" l="1"/>
  <c r="I64" i="26"/>
  <c r="N64" i="26" s="1"/>
  <c r="J34" i="26"/>
  <c r="N11" i="26"/>
  <c r="J85" i="26"/>
  <c r="L32" i="26"/>
  <c r="I45" i="26"/>
  <c r="L33" i="26"/>
  <c r="L70" i="26"/>
  <c r="N70" i="26" s="1"/>
  <c r="I34" i="26"/>
  <c r="N34" i="26" s="1"/>
  <c r="L56" i="26"/>
  <c r="L12" i="26"/>
  <c r="L23" i="26"/>
  <c r="N23" i="26" s="1"/>
  <c r="K34" i="26"/>
  <c r="M34" i="26" s="1"/>
  <c r="L47" i="26"/>
  <c r="N47" i="26" s="1"/>
  <c r="K71" i="26"/>
  <c r="M71" i="26" s="1"/>
  <c r="L90" i="26"/>
  <c r="N90" i="26" s="1"/>
  <c r="J24" i="26"/>
  <c r="J48" i="26"/>
  <c r="L14" i="26"/>
  <c r="N14" i="26" s="1"/>
  <c r="L24" i="26"/>
  <c r="J37" i="26"/>
  <c r="L48" i="26"/>
  <c r="J18" i="26"/>
  <c r="L4" i="26"/>
  <c r="J15" i="26"/>
  <c r="L63" i="26"/>
  <c r="N63" i="26" s="1"/>
  <c r="L20" i="26"/>
  <c r="N20" i="26" s="1"/>
  <c r="N26" i="26"/>
  <c r="L42" i="26"/>
  <c r="L49" i="26"/>
  <c r="N49" i="26" s="1"/>
  <c r="J58" i="26"/>
  <c r="L65" i="26"/>
  <c r="N65" i="26" s="1"/>
  <c r="J72" i="26"/>
  <c r="L82" i="26"/>
  <c r="L13" i="26"/>
  <c r="M50" i="26"/>
  <c r="L58" i="26"/>
  <c r="L72" i="26"/>
  <c r="I93" i="26"/>
  <c r="L25" i="26"/>
  <c r="N25" i="26" s="1"/>
  <c r="L34" i="26"/>
  <c r="J42" i="26"/>
  <c r="I58" i="26"/>
  <c r="I72" i="26"/>
  <c r="I73" i="26" s="1"/>
  <c r="L81" i="26"/>
  <c r="N81" i="26" s="1"/>
  <c r="I21" i="26"/>
  <c r="N21" i="26" s="1"/>
  <c r="J66" i="26"/>
  <c r="J93" i="26"/>
  <c r="L37" i="26"/>
  <c r="L73" i="26"/>
  <c r="I42" i="26"/>
  <c r="L8" i="26"/>
  <c r="N8" i="26" s="1"/>
  <c r="J21" i="26"/>
  <c r="L9" i="26"/>
  <c r="L21" i="26"/>
  <c r="J45" i="26"/>
  <c r="J61" i="26"/>
  <c r="L94" i="26"/>
  <c r="N94" i="26" s="1"/>
  <c r="J90" i="26"/>
  <c r="I10" i="26"/>
  <c r="N10" i="26" s="1"/>
  <c r="I16" i="26"/>
  <c r="I22" i="26"/>
  <c r="M22" i="26" s="1"/>
  <c r="L29" i="26"/>
  <c r="N29" i="26" s="1"/>
  <c r="L45" i="26"/>
  <c r="K61" i="26"/>
  <c r="J13" i="26"/>
  <c r="J10" i="26"/>
  <c r="L22" i="26"/>
  <c r="L30" i="26"/>
  <c r="L38" i="26"/>
  <c r="N38" i="26" s="1"/>
  <c r="L61" i="26"/>
  <c r="I69" i="26"/>
  <c r="L74" i="26"/>
  <c r="N74" i="26" s="1"/>
  <c r="L86" i="26"/>
  <c r="N86" i="26" s="1"/>
  <c r="L80" i="26"/>
  <c r="N80" i="26" s="1"/>
  <c r="K10" i="26"/>
  <c r="L16" i="26"/>
  <c r="L31" i="26"/>
  <c r="L39" i="26"/>
  <c r="N39" i="26" s="1"/>
  <c r="L46" i="26"/>
  <c r="N46" i="26" s="1"/>
  <c r="L53" i="26"/>
  <c r="N53" i="26" s="1"/>
  <c r="J69" i="26"/>
  <c r="K95" i="26"/>
  <c r="M95" i="26" s="1"/>
  <c r="L71" i="26"/>
  <c r="N71" i="26" s="1"/>
  <c r="L10" i="26"/>
  <c r="N17" i="26"/>
  <c r="I40" i="26"/>
  <c r="N40" i="26" s="1"/>
  <c r="L69" i="26"/>
  <c r="N69" i="26" s="1"/>
  <c r="J87" i="26"/>
  <c r="L95" i="26"/>
  <c r="N95" i="26" s="1"/>
  <c r="L2" i="26"/>
  <c r="N2" i="26" s="1"/>
  <c r="K23" i="26"/>
  <c r="M23" i="26" s="1"/>
  <c r="J40" i="26"/>
  <c r="L54" i="26"/>
  <c r="N54" i="26" s="1"/>
  <c r="L62" i="26"/>
  <c r="N62" i="26" s="1"/>
  <c r="L77" i="26"/>
  <c r="N77" i="26" s="1"/>
  <c r="L87" i="26"/>
  <c r="N87" i="26" s="1"/>
  <c r="J97" i="26"/>
  <c r="I7" i="26"/>
  <c r="N6" i="26"/>
  <c r="N57" i="26"/>
  <c r="N36" i="26"/>
  <c r="M36" i="26"/>
  <c r="I37" i="26"/>
  <c r="M60" i="26"/>
  <c r="N60" i="26"/>
  <c r="I61" i="26"/>
  <c r="I31" i="26"/>
  <c r="N30" i="26"/>
  <c r="I85" i="26"/>
  <c r="I97" i="26"/>
  <c r="I79" i="26"/>
  <c r="N78" i="26"/>
  <c r="N91" i="26"/>
  <c r="N33" i="26"/>
  <c r="N55" i="26"/>
  <c r="N12" i="26"/>
  <c r="I13" i="26"/>
  <c r="M12" i="26"/>
  <c r="K58" i="26"/>
  <c r="M58" i="26" s="1"/>
  <c r="K66" i="26"/>
  <c r="M66" i="26" s="1"/>
  <c r="K74" i="26"/>
  <c r="M74" i="26" s="1"/>
  <c r="K82" i="26"/>
  <c r="K90" i="26"/>
  <c r="K85" i="26"/>
  <c r="I88" i="26"/>
  <c r="M90" i="26"/>
  <c r="K93" i="26"/>
  <c r="L85" i="26"/>
  <c r="L93" i="26"/>
  <c r="K87" i="26"/>
  <c r="M87" i="26" s="1"/>
  <c r="K26" i="26"/>
  <c r="M26" i="26" s="1"/>
  <c r="N50" i="26"/>
  <c r="I3" i="26"/>
  <c r="K8" i="26"/>
  <c r="K16" i="26"/>
  <c r="I19" i="26"/>
  <c r="K24" i="26"/>
  <c r="M24" i="26" s="1"/>
  <c r="I27" i="26"/>
  <c r="K32" i="26"/>
  <c r="M32" i="26" s="1"/>
  <c r="K40" i="26"/>
  <c r="I43" i="26"/>
  <c r="K48" i="26"/>
  <c r="M48" i="26" s="1"/>
  <c r="I51" i="26"/>
  <c r="K56" i="26"/>
  <c r="M56" i="26" s="1"/>
  <c r="K64" i="26"/>
  <c r="M64" i="26" s="1"/>
  <c r="I67" i="26"/>
  <c r="K72" i="26"/>
  <c r="I75" i="26"/>
  <c r="K80" i="26"/>
  <c r="M80" i="26" s="1"/>
  <c r="K88" i="26"/>
  <c r="K96" i="26"/>
  <c r="M96" i="26" s="1"/>
  <c r="K31" i="26"/>
  <c r="K53" i="26"/>
  <c r="M53" i="26" s="1"/>
  <c r="N66" i="26"/>
  <c r="J3" i="26"/>
  <c r="N5" i="26"/>
  <c r="J27" i="26"/>
  <c r="J51" i="26"/>
  <c r="J75" i="26"/>
  <c r="L88" i="26"/>
  <c r="L96" i="26"/>
  <c r="N96" i="26" s="1"/>
  <c r="K15" i="26"/>
  <c r="K63" i="26"/>
  <c r="M63" i="26" s="1"/>
  <c r="I82" i="26"/>
  <c r="K3" i="26"/>
  <c r="M8" i="26"/>
  <c r="K11" i="26"/>
  <c r="M11" i="26" s="1"/>
  <c r="K19" i="26"/>
  <c r="K27" i="26"/>
  <c r="K35" i="26"/>
  <c r="M35" i="26" s="1"/>
  <c r="K43" i="26"/>
  <c r="K51" i="26"/>
  <c r="K59" i="26"/>
  <c r="M59" i="26" s="1"/>
  <c r="K67" i="26"/>
  <c r="K75" i="26"/>
  <c r="K83" i="26"/>
  <c r="M83" i="26" s="1"/>
  <c r="K91" i="26"/>
  <c r="M91" i="26" s="1"/>
  <c r="K55" i="26"/>
  <c r="M55" i="26" s="1"/>
  <c r="L3" i="26"/>
  <c r="J6" i="26"/>
  <c r="L19" i="26"/>
  <c r="N24" i="26"/>
  <c r="L27" i="26"/>
  <c r="J30" i="26"/>
  <c r="N32" i="26"/>
  <c r="L35" i="26"/>
  <c r="N35" i="26" s="1"/>
  <c r="L43" i="26"/>
  <c r="N48" i="26"/>
  <c r="L51" i="26"/>
  <c r="J54" i="26"/>
  <c r="N56" i="26"/>
  <c r="L59" i="26"/>
  <c r="N59" i="26" s="1"/>
  <c r="L67" i="26"/>
  <c r="L75" i="26"/>
  <c r="J78" i="26"/>
  <c r="L83" i="26"/>
  <c r="N83" i="26" s="1"/>
  <c r="L91" i="26"/>
  <c r="K42" i="26"/>
  <c r="K13" i="26"/>
  <c r="K21" i="26"/>
  <c r="K45" i="26"/>
  <c r="M45" i="26" s="1"/>
  <c r="K77" i="26"/>
  <c r="M77" i="26" s="1"/>
  <c r="K6" i="26"/>
  <c r="M6" i="26" s="1"/>
  <c r="I9" i="26"/>
  <c r="K14" i="26"/>
  <c r="K22" i="26"/>
  <c r="K30" i="26"/>
  <c r="M30" i="26" s="1"/>
  <c r="K38" i="26"/>
  <c r="M38" i="26" s="1"/>
  <c r="K46" i="26"/>
  <c r="M46" i="26" s="1"/>
  <c r="K54" i="26"/>
  <c r="M54" i="26" s="1"/>
  <c r="K62" i="26"/>
  <c r="M62" i="26" s="1"/>
  <c r="K70" i="26"/>
  <c r="M70" i="26" s="1"/>
  <c r="K78" i="26"/>
  <c r="M78" i="26" s="1"/>
  <c r="K86" i="26"/>
  <c r="M86" i="26" s="1"/>
  <c r="K94" i="26"/>
  <c r="M94" i="26" s="1"/>
  <c r="K5" i="26"/>
  <c r="M5" i="26" s="1"/>
  <c r="K29" i="26"/>
  <c r="M29" i="26" s="1"/>
  <c r="J81" i="26"/>
  <c r="K79" i="26"/>
  <c r="I4" i="26"/>
  <c r="K9" i="26"/>
  <c r="M14" i="26"/>
  <c r="K17" i="26"/>
  <c r="M17" i="26" s="1"/>
  <c r="K25" i="26"/>
  <c r="M25" i="26" s="1"/>
  <c r="I28" i="26"/>
  <c r="K33" i="26"/>
  <c r="M33" i="26" s="1"/>
  <c r="K41" i="26"/>
  <c r="M41" i="26" s="1"/>
  <c r="K49" i="26"/>
  <c r="M49" i="26" s="1"/>
  <c r="I52" i="26"/>
  <c r="K57" i="26"/>
  <c r="M57" i="26" s="1"/>
  <c r="K65" i="26"/>
  <c r="K73" i="26"/>
  <c r="I76" i="26"/>
  <c r="K81" i="26"/>
  <c r="M81" i="26" s="1"/>
  <c r="K89" i="26"/>
  <c r="K97" i="26"/>
  <c r="L89" i="26"/>
  <c r="N89" i="26" s="1"/>
  <c r="L97" i="26"/>
  <c r="K2" i="26"/>
  <c r="M2" i="26" s="1"/>
  <c r="K69" i="26"/>
  <c r="K4" i="26"/>
  <c r="K12" i="26"/>
  <c r="I15" i="26"/>
  <c r="K20" i="26"/>
  <c r="M20" i="26" s="1"/>
  <c r="K28" i="26"/>
  <c r="K36" i="26"/>
  <c r="K44" i="26"/>
  <c r="M44" i="26" s="1"/>
  <c r="K52" i="26"/>
  <c r="K60" i="26"/>
  <c r="M65" i="26"/>
  <c r="K68" i="26"/>
  <c r="M68" i="26" s="1"/>
  <c r="K76" i="26"/>
  <c r="K84" i="26"/>
  <c r="M84" i="26" s="1"/>
  <c r="M89" i="26"/>
  <c r="K92" i="26"/>
  <c r="M92" i="26" s="1"/>
  <c r="K39" i="26"/>
  <c r="M39" i="26" s="1"/>
  <c r="K18" i="26"/>
  <c r="M18" i="26" s="1"/>
  <c r="L28" i="26"/>
  <c r="L36" i="26"/>
  <c r="L44" i="26"/>
  <c r="N44" i="26" s="1"/>
  <c r="L52" i="26"/>
  <c r="L60" i="26"/>
  <c r="L68" i="26"/>
  <c r="N68" i="26" s="1"/>
  <c r="L84" i="26"/>
  <c r="N84" i="26" s="1"/>
  <c r="J73" i="24"/>
  <c r="J48" i="24"/>
  <c r="I88" i="24"/>
  <c r="N88" i="24" s="1"/>
  <c r="J40" i="24"/>
  <c r="I64" i="24"/>
  <c r="N64" i="24" s="1"/>
  <c r="L10" i="24"/>
  <c r="I21" i="24"/>
  <c r="N21" i="24" s="1"/>
  <c r="K31" i="24"/>
  <c r="J67" i="24"/>
  <c r="L2" i="24"/>
  <c r="L22" i="24"/>
  <c r="L33" i="24"/>
  <c r="L44" i="24"/>
  <c r="N44" i="24" s="1"/>
  <c r="L82" i="24"/>
  <c r="L93" i="24"/>
  <c r="N93" i="24" s="1"/>
  <c r="L3" i="24"/>
  <c r="K15" i="24"/>
  <c r="L45" i="24"/>
  <c r="L58" i="24"/>
  <c r="L69" i="24"/>
  <c r="L32" i="24"/>
  <c r="L15" i="24"/>
  <c r="L46" i="24"/>
  <c r="L70" i="24"/>
  <c r="N45" i="24"/>
  <c r="N69" i="24"/>
  <c r="I16" i="24"/>
  <c r="N16" i="24" s="1"/>
  <c r="L23" i="24"/>
  <c r="N23" i="24" s="1"/>
  <c r="L35" i="24"/>
  <c r="L83" i="24"/>
  <c r="N83" i="24" s="1"/>
  <c r="J43" i="24"/>
  <c r="L12" i="24"/>
  <c r="N12" i="24" s="1"/>
  <c r="I22" i="24"/>
  <c r="N22" i="24" s="1"/>
  <c r="L5" i="24"/>
  <c r="L16" i="24"/>
  <c r="L36" i="24"/>
  <c r="L59" i="24"/>
  <c r="L85" i="24"/>
  <c r="J72" i="25"/>
  <c r="I40" i="25"/>
  <c r="J40" i="25"/>
  <c r="J34" i="25"/>
  <c r="K63" i="25"/>
  <c r="J22" i="25"/>
  <c r="L47" i="25"/>
  <c r="I64" i="25"/>
  <c r="L21" i="25"/>
  <c r="J37" i="25"/>
  <c r="L22" i="25"/>
  <c r="J64" i="25"/>
  <c r="K34" i="25"/>
  <c r="I10" i="25"/>
  <c r="L93" i="25"/>
  <c r="N93" i="25" s="1"/>
  <c r="L11" i="25"/>
  <c r="L39" i="25"/>
  <c r="K71" i="25"/>
  <c r="M71" i="25" s="1"/>
  <c r="L8" i="25"/>
  <c r="N8" i="25" s="1"/>
  <c r="L12" i="25"/>
  <c r="N12" i="25" s="1"/>
  <c r="L45" i="25"/>
  <c r="N45" i="25" s="1"/>
  <c r="L59" i="25"/>
  <c r="L20" i="25"/>
  <c r="L13" i="25"/>
  <c r="K23" i="25"/>
  <c r="L82" i="25"/>
  <c r="L66" i="25"/>
  <c r="L15" i="25"/>
  <c r="J42" i="25"/>
  <c r="I58" i="25"/>
  <c r="M58" i="25" s="1"/>
  <c r="L83" i="25"/>
  <c r="L9" i="25"/>
  <c r="J16" i="25"/>
  <c r="J58" i="25"/>
  <c r="I69" i="25"/>
  <c r="M69" i="25" s="1"/>
  <c r="J85" i="25"/>
  <c r="L58" i="25"/>
  <c r="L7" i="25"/>
  <c r="I16" i="25"/>
  <c r="I34" i="25"/>
  <c r="N34" i="25" s="1"/>
  <c r="J48" i="25"/>
  <c r="L74" i="25"/>
  <c r="L85" i="25"/>
  <c r="I94" i="25"/>
  <c r="J10" i="25"/>
  <c r="M23" i="25"/>
  <c r="L42" i="25"/>
  <c r="N42" i="25" s="1"/>
  <c r="J61" i="25"/>
  <c r="J69" i="25"/>
  <c r="L94" i="25"/>
  <c r="K10" i="25"/>
  <c r="L23" i="25"/>
  <c r="N23" i="25" s="1"/>
  <c r="L34" i="25"/>
  <c r="L61" i="25"/>
  <c r="L69" i="25"/>
  <c r="L77" i="25"/>
  <c r="L87" i="25"/>
  <c r="N87" i="25" s="1"/>
  <c r="L10" i="25"/>
  <c r="J18" i="25"/>
  <c r="L50" i="25"/>
  <c r="N50" i="25" s="1"/>
  <c r="K79" i="25"/>
  <c r="I88" i="25"/>
  <c r="L18" i="25"/>
  <c r="N18" i="25" s="1"/>
  <c r="J24" i="25"/>
  <c r="L79" i="25"/>
  <c r="J88" i="25"/>
  <c r="K95" i="25"/>
  <c r="M95" i="25" s="1"/>
  <c r="J94" i="25"/>
  <c r="N92" i="25"/>
  <c r="L35" i="25"/>
  <c r="L70" i="25"/>
  <c r="N70" i="25" s="1"/>
  <c r="L95" i="25"/>
  <c r="N95" i="25" s="1"/>
  <c r="L2" i="25"/>
  <c r="L53" i="25"/>
  <c r="L3" i="25"/>
  <c r="J12" i="25"/>
  <c r="L37" i="25"/>
  <c r="N46" i="25"/>
  <c r="L55" i="25"/>
  <c r="I82" i="25"/>
  <c r="N82" i="25" s="1"/>
  <c r="L63" i="25"/>
  <c r="N63" i="25" s="1"/>
  <c r="N20" i="25"/>
  <c r="L26" i="25"/>
  <c r="J82" i="25"/>
  <c r="J90" i="25"/>
  <c r="N47" i="25"/>
  <c r="I21" i="25"/>
  <c r="N21" i="25" s="1"/>
  <c r="L46" i="25"/>
  <c r="L71" i="25"/>
  <c r="N71" i="25" s="1"/>
  <c r="K82" i="25"/>
  <c r="L90" i="25"/>
  <c r="L29" i="25"/>
  <c r="N29" i="25" s="1"/>
  <c r="N66" i="25"/>
  <c r="I22" i="25"/>
  <c r="N22" i="25" s="1"/>
  <c r="L31" i="25"/>
  <c r="K47" i="25"/>
  <c r="M47" i="25" s="1"/>
  <c r="K58" i="25"/>
  <c r="J66" i="25"/>
  <c r="J10" i="24"/>
  <c r="J45" i="24"/>
  <c r="J93" i="24"/>
  <c r="K10" i="24"/>
  <c r="I70" i="24"/>
  <c r="N70" i="24" s="1"/>
  <c r="I94" i="24"/>
  <c r="M94" i="24" s="1"/>
  <c r="J16" i="24"/>
  <c r="K23" i="24"/>
  <c r="M23" i="24" s="1"/>
  <c r="I40" i="24"/>
  <c r="N40" i="24" s="1"/>
  <c r="I46" i="24"/>
  <c r="J70" i="24"/>
  <c r="K79" i="24"/>
  <c r="J18" i="24"/>
  <c r="J85" i="24"/>
  <c r="I10" i="24"/>
  <c r="J64" i="24"/>
  <c r="J88" i="24"/>
  <c r="J37" i="24"/>
  <c r="J24" i="24"/>
  <c r="I34" i="24"/>
  <c r="K95" i="24"/>
  <c r="M95" i="24" s="1"/>
  <c r="N92" i="24"/>
  <c r="L24" i="24"/>
  <c r="N24" i="24" s="1"/>
  <c r="J34" i="24"/>
  <c r="L56" i="24"/>
  <c r="N56" i="24" s="1"/>
  <c r="K71" i="24"/>
  <c r="M71" i="24" s="1"/>
  <c r="L80" i="24"/>
  <c r="N80" i="24" s="1"/>
  <c r="L95" i="24"/>
  <c r="N95" i="24" s="1"/>
  <c r="J13" i="24"/>
  <c r="K34" i="24"/>
  <c r="K47" i="24"/>
  <c r="M47" i="24" s="1"/>
  <c r="I58" i="24"/>
  <c r="N58" i="24" s="1"/>
  <c r="L71" i="24"/>
  <c r="N71" i="24" s="1"/>
  <c r="I82" i="24"/>
  <c r="J61" i="24"/>
  <c r="L13" i="24"/>
  <c r="L20" i="24"/>
  <c r="N20" i="24" s="1"/>
  <c r="L25" i="24"/>
  <c r="N25" i="24" s="1"/>
  <c r="L34" i="24"/>
  <c r="N34" i="24" s="1"/>
  <c r="L47" i="24"/>
  <c r="N47" i="24" s="1"/>
  <c r="J58" i="24"/>
  <c r="J82" i="24"/>
  <c r="J96" i="24"/>
  <c r="L42" i="24"/>
  <c r="N42" i="24" s="1"/>
  <c r="K58" i="24"/>
  <c r="K82" i="24"/>
  <c r="L96" i="24"/>
  <c r="I31" i="24"/>
  <c r="I55" i="24"/>
  <c r="N63" i="24"/>
  <c r="N87" i="24"/>
  <c r="N33" i="24"/>
  <c r="M74" i="24"/>
  <c r="N39" i="24"/>
  <c r="I13" i="24"/>
  <c r="I61" i="24"/>
  <c r="I85" i="24"/>
  <c r="I79" i="24"/>
  <c r="I7" i="24"/>
  <c r="M26" i="24"/>
  <c r="N36" i="24"/>
  <c r="I37" i="24"/>
  <c r="N2" i="24"/>
  <c r="N18" i="24"/>
  <c r="N26" i="24"/>
  <c r="N50" i="24"/>
  <c r="N66" i="24"/>
  <c r="N74" i="24"/>
  <c r="N90" i="24"/>
  <c r="I3" i="24"/>
  <c r="K8" i="24"/>
  <c r="M8" i="24" s="1"/>
  <c r="K16" i="24"/>
  <c r="M16" i="24" s="1"/>
  <c r="I19" i="24"/>
  <c r="K24" i="24"/>
  <c r="M24" i="24" s="1"/>
  <c r="I27" i="24"/>
  <c r="K32" i="24"/>
  <c r="M32" i="24" s="1"/>
  <c r="K40" i="24"/>
  <c r="I43" i="24"/>
  <c r="K48" i="24"/>
  <c r="M48" i="24" s="1"/>
  <c r="I51" i="24"/>
  <c r="K56" i="24"/>
  <c r="M56" i="24" s="1"/>
  <c r="K64" i="24"/>
  <c r="M64" i="24" s="1"/>
  <c r="I67" i="24"/>
  <c r="K72" i="24"/>
  <c r="M72" i="24" s="1"/>
  <c r="I75" i="24"/>
  <c r="M77" i="24"/>
  <c r="K80" i="24"/>
  <c r="M80" i="24" s="1"/>
  <c r="K88" i="24"/>
  <c r="M88" i="24" s="1"/>
  <c r="I91" i="24"/>
  <c r="M93" i="24"/>
  <c r="K96" i="24"/>
  <c r="M96" i="24" s="1"/>
  <c r="J3" i="24"/>
  <c r="N5" i="24"/>
  <c r="J27" i="24"/>
  <c r="N29" i="24"/>
  <c r="J51" i="24"/>
  <c r="N53" i="24"/>
  <c r="J75" i="24"/>
  <c r="N77" i="24"/>
  <c r="K3" i="24"/>
  <c r="K11" i="24"/>
  <c r="M11" i="24" s="1"/>
  <c r="K19" i="24"/>
  <c r="K27" i="24"/>
  <c r="K35" i="24"/>
  <c r="M35" i="24" s="1"/>
  <c r="K43" i="24"/>
  <c r="K51" i="24"/>
  <c r="K59" i="24"/>
  <c r="M59" i="24" s="1"/>
  <c r="K67" i="24"/>
  <c r="K75" i="24"/>
  <c r="K83" i="24"/>
  <c r="M83" i="24" s="1"/>
  <c r="K91" i="24"/>
  <c r="K74" i="24"/>
  <c r="J6" i="24"/>
  <c r="N8" i="24"/>
  <c r="L19" i="24"/>
  <c r="L27" i="24"/>
  <c r="J30" i="24"/>
  <c r="N32" i="24"/>
  <c r="L43" i="24"/>
  <c r="N48" i="24"/>
  <c r="L51" i="24"/>
  <c r="J54" i="24"/>
  <c r="L67" i="24"/>
  <c r="N72" i="24"/>
  <c r="L75" i="24"/>
  <c r="J78" i="24"/>
  <c r="L91" i="24"/>
  <c r="N96" i="24"/>
  <c r="K6" i="24"/>
  <c r="M6" i="24" s="1"/>
  <c r="I9" i="24"/>
  <c r="K14" i="24"/>
  <c r="M14" i="24" s="1"/>
  <c r="K22" i="24"/>
  <c r="M22" i="24" s="1"/>
  <c r="K30" i="24"/>
  <c r="M30" i="24" s="1"/>
  <c r="K38" i="24"/>
  <c r="M38" i="24" s="1"/>
  <c r="K46" i="24"/>
  <c r="K54" i="24"/>
  <c r="M54" i="24" s="1"/>
  <c r="K62" i="24"/>
  <c r="M62" i="24" s="1"/>
  <c r="K70" i="24"/>
  <c r="K78" i="24"/>
  <c r="M78" i="24" s="1"/>
  <c r="K86" i="24"/>
  <c r="M86" i="24" s="1"/>
  <c r="K94" i="24"/>
  <c r="K61" i="24"/>
  <c r="L6" i="24"/>
  <c r="N6" i="24" s="1"/>
  <c r="N11" i="24"/>
  <c r="L14" i="24"/>
  <c r="N14" i="24" s="1"/>
  <c r="L30" i="24"/>
  <c r="N30" i="24" s="1"/>
  <c r="N35" i="24"/>
  <c r="L38" i="24"/>
  <c r="N38" i="24" s="1"/>
  <c r="L54" i="24"/>
  <c r="N54" i="24" s="1"/>
  <c r="N59" i="24"/>
  <c r="L62" i="24"/>
  <c r="N62" i="24" s="1"/>
  <c r="L78" i="24"/>
  <c r="N78" i="24" s="1"/>
  <c r="L86" i="24"/>
  <c r="L94" i="24"/>
  <c r="K18" i="24"/>
  <c r="M18" i="24" s="1"/>
  <c r="M2" i="24"/>
  <c r="K29" i="24"/>
  <c r="M29" i="24" s="1"/>
  <c r="K77" i="24"/>
  <c r="K85" i="24"/>
  <c r="I4" i="24"/>
  <c r="K9" i="24"/>
  <c r="K17" i="24"/>
  <c r="M17" i="24" s="1"/>
  <c r="K25" i="24"/>
  <c r="M25" i="24" s="1"/>
  <c r="I28" i="24"/>
  <c r="K33" i="24"/>
  <c r="M33" i="24" s="1"/>
  <c r="K41" i="24"/>
  <c r="M41" i="24" s="1"/>
  <c r="K49" i="24"/>
  <c r="M49" i="24" s="1"/>
  <c r="I52" i="24"/>
  <c r="K57" i="24"/>
  <c r="M57" i="24" s="1"/>
  <c r="K65" i="24"/>
  <c r="M65" i="24" s="1"/>
  <c r="K73" i="24"/>
  <c r="M73" i="24" s="1"/>
  <c r="I76" i="24"/>
  <c r="K81" i="24"/>
  <c r="M81" i="24" s="1"/>
  <c r="K89" i="24"/>
  <c r="M89" i="24" s="1"/>
  <c r="K97" i="24"/>
  <c r="M97" i="24" s="1"/>
  <c r="K7" i="24"/>
  <c r="K39" i="24"/>
  <c r="M39" i="24" s="1"/>
  <c r="K63" i="24"/>
  <c r="M63" i="24" s="1"/>
  <c r="K5" i="24"/>
  <c r="M5" i="24" s="1"/>
  <c r="K21" i="24"/>
  <c r="K45" i="24"/>
  <c r="M45" i="24" s="1"/>
  <c r="K69" i="24"/>
  <c r="M69" i="24" s="1"/>
  <c r="L17" i="24"/>
  <c r="N17" i="24" s="1"/>
  <c r="L41" i="24"/>
  <c r="N41" i="24" s="1"/>
  <c r="L49" i="24"/>
  <c r="N49" i="24" s="1"/>
  <c r="L57" i="24"/>
  <c r="N57" i="24" s="1"/>
  <c r="L65" i="24"/>
  <c r="N65" i="24" s="1"/>
  <c r="L73" i="24"/>
  <c r="N73" i="24" s="1"/>
  <c r="L81" i="24"/>
  <c r="N81" i="24" s="1"/>
  <c r="N86" i="24"/>
  <c r="L89" i="24"/>
  <c r="N89" i="24" s="1"/>
  <c r="L97" i="24"/>
  <c r="N97" i="24" s="1"/>
  <c r="K55" i="24"/>
  <c r="K87" i="24"/>
  <c r="M87" i="24" s="1"/>
  <c r="K2" i="24"/>
  <c r="K42" i="24"/>
  <c r="M42" i="24" s="1"/>
  <c r="K50" i="24"/>
  <c r="M50" i="24" s="1"/>
  <c r="K66" i="24"/>
  <c r="M66" i="24" s="1"/>
  <c r="K90" i="24"/>
  <c r="M90" i="24" s="1"/>
  <c r="K13" i="24"/>
  <c r="K53" i="24"/>
  <c r="M53" i="24" s="1"/>
  <c r="K4" i="24"/>
  <c r="K12" i="24"/>
  <c r="M12" i="24" s="1"/>
  <c r="I15" i="24"/>
  <c r="K20" i="24"/>
  <c r="M20" i="24" s="1"/>
  <c r="K28" i="24"/>
  <c r="K36" i="24"/>
  <c r="M36" i="24" s="1"/>
  <c r="K44" i="24"/>
  <c r="M44" i="24" s="1"/>
  <c r="K52" i="24"/>
  <c r="K60" i="24"/>
  <c r="M60" i="24" s="1"/>
  <c r="K68" i="24"/>
  <c r="M68" i="24" s="1"/>
  <c r="K76" i="24"/>
  <c r="K84" i="24"/>
  <c r="M84" i="24" s="1"/>
  <c r="K92" i="24"/>
  <c r="M92" i="24" s="1"/>
  <c r="K37" i="24"/>
  <c r="L4" i="24"/>
  <c r="L28" i="24"/>
  <c r="L52" i="24"/>
  <c r="L60" i="24"/>
  <c r="N60" i="24" s="1"/>
  <c r="L68" i="24"/>
  <c r="N68" i="24" s="1"/>
  <c r="L84" i="24"/>
  <c r="N84" i="24" s="1"/>
  <c r="I85" i="25"/>
  <c r="N76" i="25"/>
  <c r="I61" i="25"/>
  <c r="I79" i="25"/>
  <c r="N78" i="25"/>
  <c r="I31" i="25"/>
  <c r="I37" i="25"/>
  <c r="M63" i="25"/>
  <c r="I13" i="25"/>
  <c r="I55" i="25"/>
  <c r="N73" i="25"/>
  <c r="M93" i="25"/>
  <c r="N16" i="25"/>
  <c r="I7" i="25"/>
  <c r="N39" i="25"/>
  <c r="K7" i="25"/>
  <c r="K39" i="25"/>
  <c r="M39" i="25" s="1"/>
  <c r="K15" i="25"/>
  <c r="K55" i="25"/>
  <c r="K18" i="25"/>
  <c r="M18" i="25" s="1"/>
  <c r="K66" i="25"/>
  <c r="M66" i="25" s="1"/>
  <c r="K13" i="25"/>
  <c r="M34" i="25"/>
  <c r="K77" i="25"/>
  <c r="M77" i="25" s="1"/>
  <c r="N74" i="25"/>
  <c r="I3" i="25"/>
  <c r="K8" i="25"/>
  <c r="M8" i="25" s="1"/>
  <c r="K16" i="25"/>
  <c r="M16" i="25" s="1"/>
  <c r="I19" i="25"/>
  <c r="K24" i="25"/>
  <c r="M24" i="25" s="1"/>
  <c r="I27" i="25"/>
  <c r="K32" i="25"/>
  <c r="M32" i="25" s="1"/>
  <c r="K40" i="25"/>
  <c r="I43" i="25"/>
  <c r="K48" i="25"/>
  <c r="M48" i="25" s="1"/>
  <c r="I51" i="25"/>
  <c r="M53" i="25"/>
  <c r="K56" i="25"/>
  <c r="M56" i="25" s="1"/>
  <c r="K64" i="25"/>
  <c r="M64" i="25" s="1"/>
  <c r="I67" i="25"/>
  <c r="K72" i="25"/>
  <c r="M72" i="25" s="1"/>
  <c r="I75" i="25"/>
  <c r="K80" i="25"/>
  <c r="M80" i="25" s="1"/>
  <c r="K96" i="25"/>
  <c r="M96" i="25" s="1"/>
  <c r="J3" i="25"/>
  <c r="N5" i="25"/>
  <c r="L16" i="25"/>
  <c r="L24" i="25"/>
  <c r="J27" i="25"/>
  <c r="L32" i="25"/>
  <c r="N32" i="25" s="1"/>
  <c r="L40" i="25"/>
  <c r="N40" i="25" s="1"/>
  <c r="L48" i="25"/>
  <c r="N48" i="25" s="1"/>
  <c r="J51" i="25"/>
  <c r="N53" i="25"/>
  <c r="L56" i="25"/>
  <c r="N56" i="25" s="1"/>
  <c r="L64" i="25"/>
  <c r="N64" i="25" s="1"/>
  <c r="L72" i="25"/>
  <c r="N72" i="25" s="1"/>
  <c r="J75" i="25"/>
  <c r="N77" i="25"/>
  <c r="L80" i="25"/>
  <c r="N80" i="25" s="1"/>
  <c r="L88" i="25"/>
  <c r="L96" i="25"/>
  <c r="K31" i="25"/>
  <c r="K87" i="25"/>
  <c r="M87" i="25" s="1"/>
  <c r="K3" i="25"/>
  <c r="K11" i="25"/>
  <c r="M11" i="25" s="1"/>
  <c r="K19" i="25"/>
  <c r="K27" i="25"/>
  <c r="K35" i="25"/>
  <c r="M35" i="25" s="1"/>
  <c r="M40" i="25"/>
  <c r="K43" i="25"/>
  <c r="K51" i="25"/>
  <c r="K59" i="25"/>
  <c r="M59" i="25" s="1"/>
  <c r="K67" i="25"/>
  <c r="K75" i="25"/>
  <c r="K83" i="25"/>
  <c r="M83" i="25" s="1"/>
  <c r="K91" i="25"/>
  <c r="M91" i="25" s="1"/>
  <c r="K93" i="25"/>
  <c r="N2" i="25"/>
  <c r="J6" i="25"/>
  <c r="L19" i="25"/>
  <c r="N24" i="25"/>
  <c r="L27" i="25"/>
  <c r="J30" i="25"/>
  <c r="L43" i="25"/>
  <c r="L51" i="25"/>
  <c r="J54" i="25"/>
  <c r="L67" i="25"/>
  <c r="L75" i="25"/>
  <c r="J78" i="25"/>
  <c r="L91" i="25"/>
  <c r="N91" i="25" s="1"/>
  <c r="N96" i="25"/>
  <c r="K50" i="25"/>
  <c r="M50" i="25" s="1"/>
  <c r="N90" i="25"/>
  <c r="K6" i="25"/>
  <c r="M6" i="25" s="1"/>
  <c r="I9" i="25"/>
  <c r="K14" i="25"/>
  <c r="M14" i="25" s="1"/>
  <c r="K22" i="25"/>
  <c r="K30" i="25"/>
  <c r="M30" i="25" s="1"/>
  <c r="K38" i="25"/>
  <c r="M38" i="25" s="1"/>
  <c r="K46" i="25"/>
  <c r="K54" i="25"/>
  <c r="M54" i="25" s="1"/>
  <c r="K62" i="25"/>
  <c r="M62" i="25" s="1"/>
  <c r="K70" i="25"/>
  <c r="M70" i="25" s="1"/>
  <c r="K78" i="25"/>
  <c r="M78" i="25" s="1"/>
  <c r="K86" i="25"/>
  <c r="M86" i="25" s="1"/>
  <c r="K94" i="25"/>
  <c r="K2" i="25"/>
  <c r="M2" i="25" s="1"/>
  <c r="K26" i="25"/>
  <c r="M26" i="25" s="1"/>
  <c r="K42" i="25"/>
  <c r="M42" i="25" s="1"/>
  <c r="K74" i="25"/>
  <c r="K90" i="25"/>
  <c r="M90" i="25" s="1"/>
  <c r="K21" i="25"/>
  <c r="N26" i="25"/>
  <c r="L6" i="25"/>
  <c r="N6" i="25" s="1"/>
  <c r="N11" i="25"/>
  <c r="L14" i="25"/>
  <c r="L30" i="25"/>
  <c r="N30" i="25" s="1"/>
  <c r="N35" i="25"/>
  <c r="L38" i="25"/>
  <c r="L54" i="25"/>
  <c r="N54" i="25" s="1"/>
  <c r="N59" i="25"/>
  <c r="L62" i="25"/>
  <c r="N62" i="25" s="1"/>
  <c r="L78" i="25"/>
  <c r="N83" i="25"/>
  <c r="L86" i="25"/>
  <c r="N86" i="25" s="1"/>
  <c r="M74" i="25"/>
  <c r="K88" i="25"/>
  <c r="I4" i="25"/>
  <c r="K9" i="25"/>
  <c r="K17" i="25"/>
  <c r="M17" i="25" s="1"/>
  <c r="K25" i="25"/>
  <c r="M25" i="25" s="1"/>
  <c r="K33" i="25"/>
  <c r="M33" i="25" s="1"/>
  <c r="K41" i="25"/>
  <c r="M41" i="25" s="1"/>
  <c r="M46" i="25"/>
  <c r="K49" i="25"/>
  <c r="M49" i="25" s="1"/>
  <c r="I52" i="25"/>
  <c r="K57" i="25"/>
  <c r="M57" i="25" s="1"/>
  <c r="K65" i="25"/>
  <c r="M65" i="25" s="1"/>
  <c r="K73" i="25"/>
  <c r="M73" i="25" s="1"/>
  <c r="K81" i="25"/>
  <c r="M81" i="25" s="1"/>
  <c r="K89" i="25"/>
  <c r="M89" i="25" s="1"/>
  <c r="K97" i="25"/>
  <c r="M97" i="25" s="1"/>
  <c r="K29" i="25"/>
  <c r="M29" i="25" s="1"/>
  <c r="N14" i="25"/>
  <c r="L17" i="25"/>
  <c r="N17" i="25" s="1"/>
  <c r="L25" i="25"/>
  <c r="N25" i="25" s="1"/>
  <c r="L33" i="25"/>
  <c r="N33" i="25" s="1"/>
  <c r="N38" i="25"/>
  <c r="L41" i="25"/>
  <c r="N41" i="25" s="1"/>
  <c r="L49" i="25"/>
  <c r="N49" i="25" s="1"/>
  <c r="L57" i="25"/>
  <c r="N57" i="25" s="1"/>
  <c r="L65" i="25"/>
  <c r="N65" i="25" s="1"/>
  <c r="L73" i="25"/>
  <c r="L81" i="25"/>
  <c r="N81" i="25" s="1"/>
  <c r="L89" i="25"/>
  <c r="N89" i="25" s="1"/>
  <c r="L97" i="25"/>
  <c r="N97" i="25" s="1"/>
  <c r="K5" i="25"/>
  <c r="M5" i="25" s="1"/>
  <c r="K37" i="25"/>
  <c r="K85" i="25"/>
  <c r="K4" i="25"/>
  <c r="K12" i="25"/>
  <c r="M12" i="25" s="1"/>
  <c r="I15" i="25"/>
  <c r="K20" i="25"/>
  <c r="M20" i="25" s="1"/>
  <c r="K28" i="25"/>
  <c r="M28" i="25" s="1"/>
  <c r="K36" i="25"/>
  <c r="M36" i="25" s="1"/>
  <c r="K44" i="25"/>
  <c r="M44" i="25" s="1"/>
  <c r="K52" i="25"/>
  <c r="K60" i="25"/>
  <c r="M60" i="25" s="1"/>
  <c r="K68" i="25"/>
  <c r="M68" i="25" s="1"/>
  <c r="K76" i="25"/>
  <c r="M76" i="25" s="1"/>
  <c r="K84" i="25"/>
  <c r="M84" i="25" s="1"/>
  <c r="K92" i="25"/>
  <c r="M92" i="25" s="1"/>
  <c r="K45" i="25"/>
  <c r="M45" i="25" s="1"/>
  <c r="K61" i="25"/>
  <c r="L4" i="25"/>
  <c r="L28" i="25"/>
  <c r="N28" i="25" s="1"/>
  <c r="L36" i="25"/>
  <c r="N36" i="25" s="1"/>
  <c r="L44" i="25"/>
  <c r="N44" i="25" s="1"/>
  <c r="L52" i="25"/>
  <c r="L60" i="25"/>
  <c r="N60" i="25" s="1"/>
  <c r="L68" i="25"/>
  <c r="N68" i="25" s="1"/>
  <c r="L84" i="25"/>
  <c r="N84" i="25" s="1"/>
  <c r="J81" i="21"/>
  <c r="M92" i="19"/>
  <c r="I94" i="19"/>
  <c r="J24" i="19"/>
  <c r="M42" i="19"/>
  <c r="I40" i="20"/>
  <c r="J39" i="20"/>
  <c r="M92" i="16"/>
  <c r="K10" i="16"/>
  <c r="I93" i="14"/>
  <c r="N93" i="14" s="1"/>
  <c r="J72" i="13"/>
  <c r="J48" i="12"/>
  <c r="L2" i="12"/>
  <c r="L66" i="12"/>
  <c r="K58" i="12"/>
  <c r="K34" i="12"/>
  <c r="K66" i="12"/>
  <c r="L39" i="6"/>
  <c r="L2" i="6"/>
  <c r="I88" i="7"/>
  <c r="N92" i="9"/>
  <c r="I94" i="9"/>
  <c r="K45" i="9"/>
  <c r="L10" i="10"/>
  <c r="I70" i="10"/>
  <c r="L85" i="10"/>
  <c r="L70" i="10"/>
  <c r="L22" i="10"/>
  <c r="L11" i="10"/>
  <c r="L88" i="10"/>
  <c r="L23" i="10"/>
  <c r="L42" i="10"/>
  <c r="L56" i="10"/>
  <c r="L71" i="10"/>
  <c r="L80" i="10"/>
  <c r="N80" i="10" s="1"/>
  <c r="N93" i="10"/>
  <c r="J16" i="10"/>
  <c r="L16" i="10"/>
  <c r="N16" i="10" s="1"/>
  <c r="L29" i="10"/>
  <c r="I46" i="10"/>
  <c r="L93" i="10"/>
  <c r="L69" i="10"/>
  <c r="N69" i="10" s="1"/>
  <c r="L2" i="10"/>
  <c r="L31" i="10"/>
  <c r="L63" i="10"/>
  <c r="L3" i="10"/>
  <c r="L64" i="10"/>
  <c r="L79" i="10"/>
  <c r="L18" i="10"/>
  <c r="N18" i="10" s="1"/>
  <c r="L47" i="10"/>
  <c r="N47" i="10" s="1"/>
  <c r="L19" i="10"/>
  <c r="L32" i="10"/>
  <c r="N32" i="10" s="1"/>
  <c r="N25" i="2"/>
  <c r="I40" i="23"/>
  <c r="J82" i="23"/>
  <c r="J72" i="23"/>
  <c r="I34" i="23"/>
  <c r="J19" i="23"/>
  <c r="J24" i="23"/>
  <c r="L34" i="23"/>
  <c r="J43" i="23"/>
  <c r="L48" i="23"/>
  <c r="J85" i="23"/>
  <c r="L93" i="23"/>
  <c r="N93" i="23" s="1"/>
  <c r="M23" i="23"/>
  <c r="J67" i="23"/>
  <c r="N92" i="23"/>
  <c r="L24" i="23"/>
  <c r="L49" i="23"/>
  <c r="N49" i="23" s="1"/>
  <c r="I69" i="23"/>
  <c r="N69" i="23" s="1"/>
  <c r="L85" i="23"/>
  <c r="I94" i="23"/>
  <c r="N94" i="23" s="1"/>
  <c r="L25" i="23"/>
  <c r="L59" i="23"/>
  <c r="J69" i="23"/>
  <c r="J94" i="23"/>
  <c r="N34" i="23"/>
  <c r="L20" i="23"/>
  <c r="L35" i="23"/>
  <c r="L44" i="23"/>
  <c r="N44" i="23" s="1"/>
  <c r="J61" i="23"/>
  <c r="L69" i="23"/>
  <c r="K79" i="23"/>
  <c r="N47" i="23"/>
  <c r="J48" i="23"/>
  <c r="J13" i="23"/>
  <c r="N20" i="23"/>
  <c r="L36" i="23"/>
  <c r="N36" i="23" s="1"/>
  <c r="L61" i="23"/>
  <c r="M47" i="23"/>
  <c r="L13" i="23"/>
  <c r="I21" i="23"/>
  <c r="N21" i="23" s="1"/>
  <c r="L26" i="23"/>
  <c r="J37" i="23"/>
  <c r="I45" i="23"/>
  <c r="N45" i="23" s="1"/>
  <c r="I88" i="23"/>
  <c r="K95" i="23"/>
  <c r="M95" i="23" s="1"/>
  <c r="K7" i="23"/>
  <c r="J21" i="23"/>
  <c r="L37" i="23"/>
  <c r="J45" i="23"/>
  <c r="L95" i="23"/>
  <c r="N95" i="23" s="1"/>
  <c r="J34" i="23"/>
  <c r="L21" i="23"/>
  <c r="L45" i="23"/>
  <c r="L55" i="23"/>
  <c r="L63" i="23"/>
  <c r="N63" i="23" s="1"/>
  <c r="L80" i="23"/>
  <c r="L15" i="23"/>
  <c r="I22" i="23"/>
  <c r="N22" i="23" s="1"/>
  <c r="L31" i="23"/>
  <c r="I64" i="23"/>
  <c r="K71" i="23"/>
  <c r="M71" i="23" s="1"/>
  <c r="L81" i="23"/>
  <c r="N81" i="23" s="1"/>
  <c r="J96" i="23"/>
  <c r="N23" i="23"/>
  <c r="I16" i="23"/>
  <c r="N16" i="23" s="1"/>
  <c r="L39" i="23"/>
  <c r="N39" i="23" s="1"/>
  <c r="L71" i="23"/>
  <c r="N71" i="23" s="1"/>
  <c r="I82" i="23"/>
  <c r="N82" i="23" s="1"/>
  <c r="L96" i="23"/>
  <c r="N76" i="23"/>
  <c r="N25" i="23"/>
  <c r="I13" i="23"/>
  <c r="N12" i="23"/>
  <c r="M60" i="23"/>
  <c r="I61" i="23"/>
  <c r="N60" i="23"/>
  <c r="I7" i="23"/>
  <c r="I85" i="23"/>
  <c r="N87" i="23"/>
  <c r="M87" i="23"/>
  <c r="I55" i="23"/>
  <c r="I31" i="23"/>
  <c r="N17" i="23"/>
  <c r="M39" i="23"/>
  <c r="N73" i="23"/>
  <c r="I37" i="23"/>
  <c r="I79" i="23"/>
  <c r="N57" i="23"/>
  <c r="N33" i="23"/>
  <c r="K5" i="23"/>
  <c r="M10" i="23"/>
  <c r="K13" i="23"/>
  <c r="K21" i="23"/>
  <c r="M21" i="23" s="1"/>
  <c r="K29" i="23"/>
  <c r="M29" i="23" s="1"/>
  <c r="M34" i="23"/>
  <c r="K37" i="23"/>
  <c r="M42" i="23"/>
  <c r="K45" i="23"/>
  <c r="K53" i="23"/>
  <c r="M53" i="23" s="1"/>
  <c r="M58" i="23"/>
  <c r="K61" i="23"/>
  <c r="K69" i="23"/>
  <c r="K77" i="23"/>
  <c r="M82" i="23"/>
  <c r="K85" i="23"/>
  <c r="K93" i="23"/>
  <c r="M93" i="23" s="1"/>
  <c r="N2" i="23"/>
  <c r="L5" i="23"/>
  <c r="N5" i="23" s="1"/>
  <c r="J16" i="23"/>
  <c r="N18" i="23"/>
  <c r="N26" i="23"/>
  <c r="L29" i="23"/>
  <c r="J40" i="23"/>
  <c r="N42" i="23"/>
  <c r="N50" i="23"/>
  <c r="L53" i="23"/>
  <c r="J64" i="23"/>
  <c r="N66" i="23"/>
  <c r="N74" i="23"/>
  <c r="L77" i="23"/>
  <c r="N77" i="23" s="1"/>
  <c r="J88" i="23"/>
  <c r="N90" i="23"/>
  <c r="I3" i="23"/>
  <c r="M5" i="23"/>
  <c r="K8" i="23"/>
  <c r="M8" i="23" s="1"/>
  <c r="K16" i="23"/>
  <c r="K24" i="23"/>
  <c r="M24" i="23" s="1"/>
  <c r="I27" i="23"/>
  <c r="K32" i="23"/>
  <c r="M32" i="23" s="1"/>
  <c r="K40" i="23"/>
  <c r="M40" i="23" s="1"/>
  <c r="K48" i="23"/>
  <c r="M48" i="23" s="1"/>
  <c r="I51" i="23"/>
  <c r="K56" i="23"/>
  <c r="M56" i="23" s="1"/>
  <c r="K64" i="23"/>
  <c r="K72" i="23"/>
  <c r="M72" i="23" s="1"/>
  <c r="I75" i="23"/>
  <c r="M77" i="23"/>
  <c r="K80" i="23"/>
  <c r="M80" i="23" s="1"/>
  <c r="K88" i="23"/>
  <c r="K96" i="23"/>
  <c r="M96" i="23" s="1"/>
  <c r="J3" i="23"/>
  <c r="J27" i="23"/>
  <c r="N29" i="23"/>
  <c r="L40" i="23"/>
  <c r="N40" i="23" s="1"/>
  <c r="J51" i="23"/>
  <c r="N53" i="23"/>
  <c r="L64" i="23"/>
  <c r="J75" i="23"/>
  <c r="L88" i="23"/>
  <c r="K3" i="23"/>
  <c r="K11" i="23"/>
  <c r="M11" i="23" s="1"/>
  <c r="K19" i="23"/>
  <c r="M19" i="23" s="1"/>
  <c r="K27" i="23"/>
  <c r="K35" i="23"/>
  <c r="M35" i="23" s="1"/>
  <c r="K43" i="23"/>
  <c r="M43" i="23" s="1"/>
  <c r="K51" i="23"/>
  <c r="K59" i="23"/>
  <c r="M59" i="23" s="1"/>
  <c r="K67" i="23"/>
  <c r="M67" i="23" s="1"/>
  <c r="K75" i="23"/>
  <c r="K83" i="23"/>
  <c r="M83" i="23" s="1"/>
  <c r="K91" i="23"/>
  <c r="M91" i="23" s="1"/>
  <c r="K74" i="23"/>
  <c r="M74" i="23" s="1"/>
  <c r="L67" i="23"/>
  <c r="N67" i="23" s="1"/>
  <c r="N72" i="23"/>
  <c r="L91" i="23"/>
  <c r="N91" i="23" s="1"/>
  <c r="N96" i="23"/>
  <c r="K6" i="23"/>
  <c r="M6" i="23" s="1"/>
  <c r="K22" i="23"/>
  <c r="K46" i="23"/>
  <c r="M46" i="23" s="1"/>
  <c r="K15" i="23"/>
  <c r="K39" i="23"/>
  <c r="K18" i="23"/>
  <c r="M18" i="23" s="1"/>
  <c r="K26" i="23"/>
  <c r="M26" i="23" s="1"/>
  <c r="N8" i="23"/>
  <c r="N80" i="23"/>
  <c r="L6" i="23"/>
  <c r="N6" i="23" s="1"/>
  <c r="N11" i="23"/>
  <c r="L14" i="23"/>
  <c r="N14" i="23" s="1"/>
  <c r="L30" i="23"/>
  <c r="N30" i="23" s="1"/>
  <c r="N35" i="23"/>
  <c r="L38" i="23"/>
  <c r="N38" i="23" s="1"/>
  <c r="L46" i="23"/>
  <c r="N46" i="23" s="1"/>
  <c r="L54" i="23"/>
  <c r="N54" i="23" s="1"/>
  <c r="N59" i="23"/>
  <c r="L62" i="23"/>
  <c r="N62" i="23" s="1"/>
  <c r="L70" i="23"/>
  <c r="N70" i="23" s="1"/>
  <c r="L78" i="23"/>
  <c r="N78" i="23" s="1"/>
  <c r="N83" i="23"/>
  <c r="L86" i="23"/>
  <c r="N86" i="23" s="1"/>
  <c r="L94" i="23"/>
  <c r="K55" i="23"/>
  <c r="K50" i="23"/>
  <c r="M50" i="23" s="1"/>
  <c r="J6" i="23"/>
  <c r="J78" i="23"/>
  <c r="I9" i="23"/>
  <c r="K94" i="23"/>
  <c r="I4" i="23"/>
  <c r="K9" i="23"/>
  <c r="K17" i="23"/>
  <c r="M17" i="23" s="1"/>
  <c r="K25" i="23"/>
  <c r="M25" i="23" s="1"/>
  <c r="K33" i="23"/>
  <c r="M33" i="23" s="1"/>
  <c r="K41" i="23"/>
  <c r="M41" i="23" s="1"/>
  <c r="K49" i="23"/>
  <c r="M49" i="23" s="1"/>
  <c r="K57" i="23"/>
  <c r="M57" i="23" s="1"/>
  <c r="K65" i="23"/>
  <c r="M65" i="23" s="1"/>
  <c r="M70" i="23"/>
  <c r="K73" i="23"/>
  <c r="M73" i="23" s="1"/>
  <c r="K81" i="23"/>
  <c r="M81" i="23" s="1"/>
  <c r="M86" i="23"/>
  <c r="K89" i="23"/>
  <c r="M89" i="23" s="1"/>
  <c r="K97" i="23"/>
  <c r="M97" i="23" s="1"/>
  <c r="K31" i="23"/>
  <c r="L75" i="23"/>
  <c r="L17" i="23"/>
  <c r="L41" i="23"/>
  <c r="N41" i="23" s="1"/>
  <c r="L65" i="23"/>
  <c r="N65" i="23" s="1"/>
  <c r="L89" i="23"/>
  <c r="N89" i="23" s="1"/>
  <c r="L97" i="23"/>
  <c r="N97" i="23" s="1"/>
  <c r="K87" i="23"/>
  <c r="K66" i="23"/>
  <c r="M66" i="23" s="1"/>
  <c r="L3" i="23"/>
  <c r="K4" i="23"/>
  <c r="K12" i="23"/>
  <c r="M12" i="23" s="1"/>
  <c r="I15" i="23"/>
  <c r="K20" i="23"/>
  <c r="M20" i="23" s="1"/>
  <c r="K28" i="23"/>
  <c r="M28" i="23" s="1"/>
  <c r="K36" i="23"/>
  <c r="M36" i="23" s="1"/>
  <c r="K44" i="23"/>
  <c r="M44" i="23" s="1"/>
  <c r="K52" i="23"/>
  <c r="M52" i="23" s="1"/>
  <c r="K60" i="23"/>
  <c r="K68" i="23"/>
  <c r="M68" i="23" s="1"/>
  <c r="K76" i="23"/>
  <c r="M76" i="23" s="1"/>
  <c r="K84" i="23"/>
  <c r="M84" i="23" s="1"/>
  <c r="K92" i="23"/>
  <c r="M92" i="23" s="1"/>
  <c r="K63" i="23"/>
  <c r="M63" i="23" s="1"/>
  <c r="K2" i="23"/>
  <c r="M2" i="23" s="1"/>
  <c r="K42" i="23"/>
  <c r="K90" i="23"/>
  <c r="M90" i="23" s="1"/>
  <c r="L19" i="23"/>
  <c r="N19" i="23" s="1"/>
  <c r="N24" i="23"/>
  <c r="L27" i="23"/>
  <c r="J30" i="23"/>
  <c r="N32" i="23"/>
  <c r="L43" i="23"/>
  <c r="N43" i="23" s="1"/>
  <c r="N48" i="23"/>
  <c r="L51" i="23"/>
  <c r="J54" i="23"/>
  <c r="N56" i="23"/>
  <c r="K14" i="23"/>
  <c r="M14" i="23" s="1"/>
  <c r="K30" i="23"/>
  <c r="M30" i="23" s="1"/>
  <c r="K38" i="23"/>
  <c r="M38" i="23" s="1"/>
  <c r="K54" i="23"/>
  <c r="M54" i="23" s="1"/>
  <c r="K62" i="23"/>
  <c r="M62" i="23" s="1"/>
  <c r="K78" i="23"/>
  <c r="M78" i="23" s="1"/>
  <c r="L4" i="23"/>
  <c r="L28" i="23"/>
  <c r="N28" i="23" s="1"/>
  <c r="L52" i="23"/>
  <c r="N52" i="23" s="1"/>
  <c r="L60" i="23"/>
  <c r="L68" i="23"/>
  <c r="N68" i="23" s="1"/>
  <c r="L84" i="23"/>
  <c r="N84" i="23" s="1"/>
  <c r="L87" i="22"/>
  <c r="L18" i="22"/>
  <c r="L50" i="22"/>
  <c r="L2" i="22"/>
  <c r="L74" i="22"/>
  <c r="L29" i="22"/>
  <c r="N29" i="22" s="1"/>
  <c r="L39" i="22"/>
  <c r="L77" i="22"/>
  <c r="J67" i="22"/>
  <c r="J49" i="22"/>
  <c r="J42" i="22"/>
  <c r="J25" i="22"/>
  <c r="I10" i="22"/>
  <c r="K10" i="22"/>
  <c r="K71" i="22"/>
  <c r="M71" i="22" s="1"/>
  <c r="J10" i="22"/>
  <c r="K95" i="22"/>
  <c r="M95" i="22" s="1"/>
  <c r="I97" i="22"/>
  <c r="J85" i="22"/>
  <c r="J61" i="22"/>
  <c r="L11" i="22"/>
  <c r="L37" i="22"/>
  <c r="J45" i="22"/>
  <c r="I70" i="22"/>
  <c r="M70" i="22" s="1"/>
  <c r="K79" i="22"/>
  <c r="J94" i="22"/>
  <c r="L3" i="22"/>
  <c r="J13" i="22"/>
  <c r="I21" i="22"/>
  <c r="N21" i="22" s="1"/>
  <c r="L45" i="22"/>
  <c r="N45" i="22" s="1"/>
  <c r="L53" i="22"/>
  <c r="N53" i="22" s="1"/>
  <c r="L63" i="22"/>
  <c r="N63" i="22" s="1"/>
  <c r="J70" i="22"/>
  <c r="L79" i="22"/>
  <c r="I88" i="22"/>
  <c r="L13" i="22"/>
  <c r="J21" i="22"/>
  <c r="I46" i="22"/>
  <c r="N46" i="22" s="1"/>
  <c r="L55" i="22"/>
  <c r="I64" i="22"/>
  <c r="M64" i="22" s="1"/>
  <c r="J88" i="22"/>
  <c r="I93" i="22"/>
  <c r="N93" i="22" s="1"/>
  <c r="J64" i="22"/>
  <c r="L88" i="22"/>
  <c r="J19" i="22"/>
  <c r="N92" i="22"/>
  <c r="L21" i="22"/>
  <c r="L7" i="22"/>
  <c r="L15" i="22"/>
  <c r="J40" i="22"/>
  <c r="L56" i="22"/>
  <c r="L71" i="22"/>
  <c r="N71" i="22" s="1"/>
  <c r="I82" i="22"/>
  <c r="L80" i="22"/>
  <c r="I16" i="22"/>
  <c r="L40" i="22"/>
  <c r="K47" i="22"/>
  <c r="M47" i="22" s="1"/>
  <c r="I58" i="22"/>
  <c r="J82" i="22"/>
  <c r="J96" i="22"/>
  <c r="J37" i="22"/>
  <c r="J16" i="22"/>
  <c r="L32" i="22"/>
  <c r="L47" i="22"/>
  <c r="N47" i="22" s="1"/>
  <c r="J58" i="22"/>
  <c r="J72" i="22"/>
  <c r="K82" i="22"/>
  <c r="J90" i="22"/>
  <c r="L96" i="22"/>
  <c r="N96" i="22" s="1"/>
  <c r="L69" i="22"/>
  <c r="N69" i="22" s="1"/>
  <c r="L64" i="22"/>
  <c r="L8" i="22"/>
  <c r="L16" i="22"/>
  <c r="K23" i="22"/>
  <c r="M23" i="22" s="1"/>
  <c r="I34" i="22"/>
  <c r="M34" i="22" s="1"/>
  <c r="K58" i="22"/>
  <c r="L72" i="22"/>
  <c r="N72" i="22" s="1"/>
  <c r="L82" i="22"/>
  <c r="L90" i="22"/>
  <c r="N90" i="22" s="1"/>
  <c r="L5" i="22"/>
  <c r="N5" i="22" s="1"/>
  <c r="I22" i="22"/>
  <c r="L31" i="22"/>
  <c r="I40" i="22"/>
  <c r="L95" i="22"/>
  <c r="N95" i="22" s="1"/>
  <c r="L9" i="22"/>
  <c r="L23" i="22"/>
  <c r="N23" i="22" s="1"/>
  <c r="J34" i="22"/>
  <c r="L58" i="22"/>
  <c r="L66" i="22"/>
  <c r="N66" i="22" s="1"/>
  <c r="I79" i="22"/>
  <c r="I31" i="22"/>
  <c r="M30" i="22"/>
  <c r="N39" i="22"/>
  <c r="I7" i="22"/>
  <c r="I37" i="22"/>
  <c r="I55" i="22"/>
  <c r="I61" i="22"/>
  <c r="I13" i="22"/>
  <c r="M66" i="22"/>
  <c r="N76" i="22"/>
  <c r="N87" i="22"/>
  <c r="I85" i="22"/>
  <c r="M74" i="22"/>
  <c r="N26" i="22"/>
  <c r="N42" i="22"/>
  <c r="N50" i="22"/>
  <c r="I3" i="22"/>
  <c r="K8" i="22"/>
  <c r="K16" i="22"/>
  <c r="I19" i="22"/>
  <c r="K24" i="22"/>
  <c r="M24" i="22" s="1"/>
  <c r="I27" i="22"/>
  <c r="K32" i="22"/>
  <c r="M32" i="22" s="1"/>
  <c r="K40" i="22"/>
  <c r="M40" i="22" s="1"/>
  <c r="I43" i="22"/>
  <c r="K48" i="22"/>
  <c r="M48" i="22" s="1"/>
  <c r="I51" i="22"/>
  <c r="K56" i="22"/>
  <c r="M56" i="22" s="1"/>
  <c r="K64" i="22"/>
  <c r="I67" i="22"/>
  <c r="K72" i="22"/>
  <c r="M72" i="22" s="1"/>
  <c r="I75" i="22"/>
  <c r="K80" i="22"/>
  <c r="M80" i="22" s="1"/>
  <c r="K88" i="22"/>
  <c r="I91" i="22"/>
  <c r="K96" i="22"/>
  <c r="M96" i="22" s="1"/>
  <c r="J3" i="22"/>
  <c r="J27" i="22"/>
  <c r="J51" i="22"/>
  <c r="J75" i="22"/>
  <c r="N77" i="22"/>
  <c r="N2" i="22"/>
  <c r="N10" i="22"/>
  <c r="N74" i="22"/>
  <c r="K3" i="22"/>
  <c r="M8" i="22"/>
  <c r="K11" i="22"/>
  <c r="M11" i="22" s="1"/>
  <c r="M16" i="22"/>
  <c r="K19" i="22"/>
  <c r="K27" i="22"/>
  <c r="K35" i="22"/>
  <c r="M35" i="22" s="1"/>
  <c r="K43" i="22"/>
  <c r="K51" i="22"/>
  <c r="K59" i="22"/>
  <c r="M59" i="22" s="1"/>
  <c r="K67" i="22"/>
  <c r="K75" i="22"/>
  <c r="K83" i="22"/>
  <c r="M83" i="22" s="1"/>
  <c r="K91" i="22"/>
  <c r="K74" i="22"/>
  <c r="K77" i="22"/>
  <c r="M77" i="22" s="1"/>
  <c r="N18" i="22"/>
  <c r="J6" i="22"/>
  <c r="N8" i="22"/>
  <c r="L19" i="22"/>
  <c r="N24" i="22"/>
  <c r="L27" i="22"/>
  <c r="J30" i="22"/>
  <c r="N32" i="22"/>
  <c r="L43" i="22"/>
  <c r="N48" i="22"/>
  <c r="L51" i="22"/>
  <c r="J54" i="22"/>
  <c r="N56" i="22"/>
  <c r="L67" i="22"/>
  <c r="L75" i="22"/>
  <c r="J78" i="22"/>
  <c r="N80" i="22"/>
  <c r="L91" i="22"/>
  <c r="K7" i="22"/>
  <c r="M2" i="22"/>
  <c r="K5" i="22"/>
  <c r="M5" i="22" s="1"/>
  <c r="K13" i="22"/>
  <c r="K21" i="22"/>
  <c r="K6" i="22"/>
  <c r="M6" i="22" s="1"/>
  <c r="K46" i="22"/>
  <c r="M46" i="22" s="1"/>
  <c r="K70" i="22"/>
  <c r="K78" i="22"/>
  <c r="M78" i="22" s="1"/>
  <c r="K86" i="22"/>
  <c r="M86" i="22" s="1"/>
  <c r="L6" i="22"/>
  <c r="N6" i="22" s="1"/>
  <c r="N11" i="22"/>
  <c r="L14" i="22"/>
  <c r="N14" i="22" s="1"/>
  <c r="L22" i="22"/>
  <c r="N22" i="22" s="1"/>
  <c r="L30" i="22"/>
  <c r="N30" i="22" s="1"/>
  <c r="N35" i="22"/>
  <c r="L38" i="22"/>
  <c r="N38" i="22" s="1"/>
  <c r="L46" i="22"/>
  <c r="L54" i="22"/>
  <c r="N54" i="22" s="1"/>
  <c r="N59" i="22"/>
  <c r="L62" i="22"/>
  <c r="L70" i="22"/>
  <c r="L78" i="22"/>
  <c r="N78" i="22" s="1"/>
  <c r="N83" i="22"/>
  <c r="L86" i="22"/>
  <c r="L94" i="22"/>
  <c r="N94" i="22" s="1"/>
  <c r="K63" i="22"/>
  <c r="M63" i="22" s="1"/>
  <c r="K26" i="22"/>
  <c r="M26" i="22" s="1"/>
  <c r="I9" i="22"/>
  <c r="K14" i="22"/>
  <c r="M14" i="22" s="1"/>
  <c r="K22" i="22"/>
  <c r="M22" i="22" s="1"/>
  <c r="I4" i="22"/>
  <c r="K9" i="22"/>
  <c r="K17" i="22"/>
  <c r="M17" i="22" s="1"/>
  <c r="K25" i="22"/>
  <c r="M25" i="22" s="1"/>
  <c r="I28" i="22"/>
  <c r="K33" i="22"/>
  <c r="M33" i="22" s="1"/>
  <c r="K41" i="22"/>
  <c r="M41" i="22" s="1"/>
  <c r="K49" i="22"/>
  <c r="M49" i="22" s="1"/>
  <c r="K57" i="22"/>
  <c r="M57" i="22" s="1"/>
  <c r="K65" i="22"/>
  <c r="M65" i="22" s="1"/>
  <c r="K73" i="22"/>
  <c r="M73" i="22" s="1"/>
  <c r="K81" i="22"/>
  <c r="M81" i="22" s="1"/>
  <c r="K89" i="22"/>
  <c r="M89" i="22" s="1"/>
  <c r="K97" i="22"/>
  <c r="M97" i="22" s="1"/>
  <c r="K55" i="22"/>
  <c r="K87" i="22"/>
  <c r="M87" i="22" s="1"/>
  <c r="K2" i="22"/>
  <c r="K18" i="22"/>
  <c r="M18" i="22" s="1"/>
  <c r="K50" i="22"/>
  <c r="M50" i="22" s="1"/>
  <c r="K66" i="22"/>
  <c r="K90" i="22"/>
  <c r="M90" i="22" s="1"/>
  <c r="K62" i="22"/>
  <c r="M62" i="22" s="1"/>
  <c r="L17" i="22"/>
  <c r="N17" i="22" s="1"/>
  <c r="L25" i="22"/>
  <c r="N25" i="22" s="1"/>
  <c r="L33" i="22"/>
  <c r="N33" i="22" s="1"/>
  <c r="L41" i="22"/>
  <c r="N41" i="22" s="1"/>
  <c r="L49" i="22"/>
  <c r="N49" i="22" s="1"/>
  <c r="L57" i="22"/>
  <c r="N57" i="22" s="1"/>
  <c r="N62" i="22"/>
  <c r="L65" i="22"/>
  <c r="N65" i="22" s="1"/>
  <c r="L73" i="22"/>
  <c r="N73" i="22" s="1"/>
  <c r="L81" i="22"/>
  <c r="N81" i="22" s="1"/>
  <c r="N86" i="22"/>
  <c r="L89" i="22"/>
  <c r="N89" i="22" s="1"/>
  <c r="L97" i="22"/>
  <c r="N97" i="22" s="1"/>
  <c r="K15" i="22"/>
  <c r="K39" i="22"/>
  <c r="M39" i="22" s="1"/>
  <c r="K29" i="22"/>
  <c r="M29" i="22" s="1"/>
  <c r="K93" i="22"/>
  <c r="K38" i="22"/>
  <c r="M38" i="22" s="1"/>
  <c r="K54" i="22"/>
  <c r="M54" i="22" s="1"/>
  <c r="K94" i="22"/>
  <c r="M94" i="22" s="1"/>
  <c r="K4" i="22"/>
  <c r="K12" i="22"/>
  <c r="M12" i="22" s="1"/>
  <c r="I15" i="22"/>
  <c r="K20" i="22"/>
  <c r="M20" i="22" s="1"/>
  <c r="K28" i="22"/>
  <c r="K36" i="22"/>
  <c r="M36" i="22" s="1"/>
  <c r="K44" i="22"/>
  <c r="M44" i="22" s="1"/>
  <c r="K52" i="22"/>
  <c r="M52" i="22" s="1"/>
  <c r="K60" i="22"/>
  <c r="M60" i="22" s="1"/>
  <c r="K68" i="22"/>
  <c r="M68" i="22" s="1"/>
  <c r="K76" i="22"/>
  <c r="M76" i="22" s="1"/>
  <c r="K84" i="22"/>
  <c r="M84" i="22" s="1"/>
  <c r="K92" i="22"/>
  <c r="M92" i="22" s="1"/>
  <c r="K31" i="22"/>
  <c r="K42" i="22"/>
  <c r="M42" i="22" s="1"/>
  <c r="K37" i="22"/>
  <c r="K45" i="22"/>
  <c r="M45" i="22" s="1"/>
  <c r="K53" i="22"/>
  <c r="M53" i="22" s="1"/>
  <c r="K61" i="22"/>
  <c r="K69" i="22"/>
  <c r="M69" i="22" s="1"/>
  <c r="L4" i="22"/>
  <c r="L12" i="22"/>
  <c r="N12" i="22" s="1"/>
  <c r="L20" i="22"/>
  <c r="N20" i="22" s="1"/>
  <c r="L28" i="22"/>
  <c r="L36" i="22"/>
  <c r="N36" i="22" s="1"/>
  <c r="L44" i="22"/>
  <c r="N44" i="22" s="1"/>
  <c r="L52" i="22"/>
  <c r="N52" i="22" s="1"/>
  <c r="L60" i="22"/>
  <c r="N60" i="22" s="1"/>
  <c r="L68" i="22"/>
  <c r="N68" i="22" s="1"/>
  <c r="L84" i="22"/>
  <c r="N84" i="22" s="1"/>
  <c r="J33" i="21"/>
  <c r="J30" i="21"/>
  <c r="J18" i="21"/>
  <c r="K26" i="21"/>
  <c r="M26" i="21" s="1"/>
  <c r="K86" i="21"/>
  <c r="N8" i="21"/>
  <c r="J9" i="21"/>
  <c r="K16" i="21"/>
  <c r="K27" i="21"/>
  <c r="K2" i="21"/>
  <c r="M2" i="21" s="1"/>
  <c r="N83" i="21"/>
  <c r="I3" i="21"/>
  <c r="M27" i="21"/>
  <c r="M86" i="21"/>
  <c r="K3" i="21"/>
  <c r="K10" i="21"/>
  <c r="K28" i="21"/>
  <c r="M28" i="21" s="1"/>
  <c r="J42" i="21"/>
  <c r="N23" i="21"/>
  <c r="K42" i="21"/>
  <c r="K54" i="21"/>
  <c r="K62" i="21"/>
  <c r="M62" i="21" s="1"/>
  <c r="I70" i="21"/>
  <c r="N70" i="21" s="1"/>
  <c r="K76" i="21"/>
  <c r="M76" i="21" s="1"/>
  <c r="J36" i="21"/>
  <c r="I87" i="21"/>
  <c r="K74" i="21"/>
  <c r="J60" i="21"/>
  <c r="J54" i="21"/>
  <c r="K43" i="21"/>
  <c r="J49" i="21"/>
  <c r="J24" i="21"/>
  <c r="K30" i="21"/>
  <c r="M30" i="21" s="1"/>
  <c r="K64" i="21"/>
  <c r="J78" i="21"/>
  <c r="K5" i="21"/>
  <c r="K19" i="21"/>
  <c r="N24" i="21"/>
  <c r="K38" i="21"/>
  <c r="M38" i="21" s="1"/>
  <c r="N56" i="21"/>
  <c r="L64" i="21"/>
  <c r="N64" i="21" s="1"/>
  <c r="L71" i="21"/>
  <c r="N71" i="21" s="1"/>
  <c r="K78" i="21"/>
  <c r="M16" i="21"/>
  <c r="K52" i="21"/>
  <c r="M52" i="21" s="1"/>
  <c r="M74" i="21"/>
  <c r="I48" i="21"/>
  <c r="J6" i="21"/>
  <c r="L19" i="21"/>
  <c r="I45" i="21"/>
  <c r="K50" i="21"/>
  <c r="M50" i="21" s="1"/>
  <c r="J57" i="21"/>
  <c r="I75" i="21"/>
  <c r="N75" i="21" s="1"/>
  <c r="K4" i="21"/>
  <c r="K29" i="21"/>
  <c r="K6" i="21"/>
  <c r="M6" i="21" s="1"/>
  <c r="L25" i="21"/>
  <c r="L39" i="21"/>
  <c r="N39" i="21" s="1"/>
  <c r="L45" i="21"/>
  <c r="I51" i="21"/>
  <c r="L57" i="21"/>
  <c r="N57" i="21" s="1"/>
  <c r="L72" i="21"/>
  <c r="N72" i="21" s="1"/>
  <c r="K34" i="21"/>
  <c r="K53" i="21"/>
  <c r="K18" i="21"/>
  <c r="I24" i="21"/>
  <c r="I25" i="21" s="1"/>
  <c r="I64" i="21"/>
  <c r="K77" i="21"/>
  <c r="M77" i="21" s="1"/>
  <c r="L7" i="21"/>
  <c r="K14" i="21"/>
  <c r="L32" i="21"/>
  <c r="N32" i="21" s="1"/>
  <c r="I40" i="21"/>
  <c r="K51" i="21"/>
  <c r="L65" i="21"/>
  <c r="N65" i="21" s="1"/>
  <c r="J73" i="21"/>
  <c r="L80" i="21"/>
  <c r="N80" i="21" s="1"/>
  <c r="I31" i="21"/>
  <c r="I37" i="21"/>
  <c r="I85" i="21"/>
  <c r="I79" i="21"/>
  <c r="M78" i="21"/>
  <c r="I13" i="21"/>
  <c r="N12" i="21"/>
  <c r="N25" i="21"/>
  <c r="N94" i="21"/>
  <c r="N76" i="21"/>
  <c r="I55" i="21"/>
  <c r="M54" i="21"/>
  <c r="I7" i="21"/>
  <c r="N33" i="21"/>
  <c r="N73" i="21"/>
  <c r="M73" i="21"/>
  <c r="I61" i="21"/>
  <c r="I97" i="21"/>
  <c r="N96" i="21"/>
  <c r="N87" i="21"/>
  <c r="N28" i="21"/>
  <c r="J28" i="21"/>
  <c r="J52" i="21"/>
  <c r="K7" i="21"/>
  <c r="I10" i="21"/>
  <c r="K15" i="21"/>
  <c r="M15" i="21" s="1"/>
  <c r="I18" i="21"/>
  <c r="K23" i="21"/>
  <c r="M23" i="21" s="1"/>
  <c r="K31" i="21"/>
  <c r="I34" i="21"/>
  <c r="K39" i="21"/>
  <c r="M39" i="21" s="1"/>
  <c r="I42" i="21"/>
  <c r="K47" i="21"/>
  <c r="M47" i="21" s="1"/>
  <c r="K55" i="21"/>
  <c r="I58" i="21"/>
  <c r="K63" i="21"/>
  <c r="M63" i="21" s="1"/>
  <c r="I66" i="21"/>
  <c r="K71" i="21"/>
  <c r="M71" i="21" s="1"/>
  <c r="K79" i="21"/>
  <c r="I82" i="21"/>
  <c r="K87" i="21"/>
  <c r="I90" i="21"/>
  <c r="M92" i="21"/>
  <c r="K95" i="21"/>
  <c r="M95" i="21" s="1"/>
  <c r="L79" i="21"/>
  <c r="L87" i="21"/>
  <c r="J90" i="21"/>
  <c r="N92" i="21"/>
  <c r="L95" i="21"/>
  <c r="N95" i="21" s="1"/>
  <c r="K82" i="21"/>
  <c r="M87" i="21"/>
  <c r="K90" i="21"/>
  <c r="I93" i="21"/>
  <c r="K58" i="21"/>
  <c r="L2" i="21"/>
  <c r="J13" i="21"/>
  <c r="L18" i="21"/>
  <c r="J21" i="21"/>
  <c r="L26" i="21"/>
  <c r="L42" i="21"/>
  <c r="J45" i="21"/>
  <c r="L50" i="21"/>
  <c r="N50" i="21" s="1"/>
  <c r="L66" i="21"/>
  <c r="J69" i="21"/>
  <c r="L74" i="21"/>
  <c r="N74" i="21" s="1"/>
  <c r="L82" i="21"/>
  <c r="J85" i="21"/>
  <c r="L90" i="21"/>
  <c r="J93" i="21"/>
  <c r="K85" i="21"/>
  <c r="I88" i="21"/>
  <c r="K93" i="21"/>
  <c r="N2" i="21"/>
  <c r="L5" i="21"/>
  <c r="N5" i="21" s="1"/>
  <c r="J16" i="21"/>
  <c r="N26" i="21"/>
  <c r="L29" i="21"/>
  <c r="N29" i="21" s="1"/>
  <c r="J40" i="21"/>
  <c r="L53" i="21"/>
  <c r="N53" i="21" s="1"/>
  <c r="L61" i="21"/>
  <c r="J64" i="21"/>
  <c r="L69" i="21"/>
  <c r="N69" i="21" s="1"/>
  <c r="L77" i="21"/>
  <c r="N77" i="21" s="1"/>
  <c r="L85" i="21"/>
  <c r="J88" i="21"/>
  <c r="L93" i="21"/>
  <c r="J96" i="21"/>
  <c r="K13" i="21"/>
  <c r="K21" i="21"/>
  <c r="M21" i="21" s="1"/>
  <c r="K37" i="21"/>
  <c r="K45" i="21"/>
  <c r="M45" i="21" s="1"/>
  <c r="K61" i="21"/>
  <c r="K69" i="21"/>
  <c r="M69" i="21" s="1"/>
  <c r="M5" i="21"/>
  <c r="K8" i="21"/>
  <c r="M8" i="21" s="1"/>
  <c r="K24" i="21"/>
  <c r="M29" i="21"/>
  <c r="K32" i="21"/>
  <c r="M32" i="21" s="1"/>
  <c r="K48" i="21"/>
  <c r="M48" i="21" s="1"/>
  <c r="M53" i="21"/>
  <c r="K56" i="21"/>
  <c r="M56" i="21" s="1"/>
  <c r="K72" i="21"/>
  <c r="M72" i="21" s="1"/>
  <c r="K80" i="21"/>
  <c r="M80" i="21" s="1"/>
  <c r="K88" i="21"/>
  <c r="K96" i="21"/>
  <c r="M96" i="21" s="1"/>
  <c r="L88" i="21"/>
  <c r="L96" i="21"/>
  <c r="J3" i="21"/>
  <c r="J75" i="21"/>
  <c r="K11" i="21"/>
  <c r="M11" i="21" s="1"/>
  <c r="K35" i="21"/>
  <c r="M35" i="21" s="1"/>
  <c r="K59" i="21"/>
  <c r="M59" i="21" s="1"/>
  <c r="K67" i="21"/>
  <c r="K75" i="21"/>
  <c r="K83" i="21"/>
  <c r="M83" i="21" s="1"/>
  <c r="K91" i="21"/>
  <c r="L91" i="21"/>
  <c r="I9" i="21"/>
  <c r="K22" i="21"/>
  <c r="M22" i="21" s="1"/>
  <c r="K46" i="21"/>
  <c r="M46" i="21" s="1"/>
  <c r="K70" i="21"/>
  <c r="I81" i="21"/>
  <c r="K94" i="21"/>
  <c r="M94" i="21" s="1"/>
  <c r="L6" i="21"/>
  <c r="N6" i="21" s="1"/>
  <c r="N11" i="21"/>
  <c r="L14" i="21"/>
  <c r="N14" i="21" s="1"/>
  <c r="L30" i="21"/>
  <c r="N30" i="21" s="1"/>
  <c r="N35" i="21"/>
  <c r="L38" i="21"/>
  <c r="N38" i="21" s="1"/>
  <c r="L54" i="21"/>
  <c r="N54" i="21" s="1"/>
  <c r="N59" i="21"/>
  <c r="L62" i="21"/>
  <c r="N62" i="21" s="1"/>
  <c r="L78" i="21"/>
  <c r="N78" i="21" s="1"/>
  <c r="L86" i="21"/>
  <c r="N86" i="21" s="1"/>
  <c r="L94" i="21"/>
  <c r="I4" i="21"/>
  <c r="K9" i="21"/>
  <c r="M14" i="21"/>
  <c r="K17" i="21"/>
  <c r="M17" i="21" s="1"/>
  <c r="K25" i="21"/>
  <c r="M25" i="21" s="1"/>
  <c r="K33" i="21"/>
  <c r="M33" i="21" s="1"/>
  <c r="K41" i="21"/>
  <c r="M41" i="21" s="1"/>
  <c r="K49" i="21"/>
  <c r="K57" i="21"/>
  <c r="M57" i="21" s="1"/>
  <c r="K65" i="21"/>
  <c r="K73" i="21"/>
  <c r="K81" i="21"/>
  <c r="K97" i="21"/>
  <c r="L97" i="21"/>
  <c r="K12" i="21"/>
  <c r="M12" i="21" s="1"/>
  <c r="K20" i="21"/>
  <c r="M20" i="21" s="1"/>
  <c r="K36" i="21"/>
  <c r="M36" i="21" s="1"/>
  <c r="K44" i="21"/>
  <c r="M44" i="21" s="1"/>
  <c r="K60" i="21"/>
  <c r="M60" i="21" s="1"/>
  <c r="M65" i="21"/>
  <c r="K68" i="21"/>
  <c r="M68" i="21" s="1"/>
  <c r="K84" i="21"/>
  <c r="M84" i="21" s="1"/>
  <c r="M89" i="21"/>
  <c r="L4" i="21"/>
  <c r="L28" i="21"/>
  <c r="L36" i="21"/>
  <c r="N36" i="21" s="1"/>
  <c r="L44" i="21"/>
  <c r="N44" i="21" s="1"/>
  <c r="L52" i="21"/>
  <c r="N52" i="21" s="1"/>
  <c r="L60" i="21"/>
  <c r="N60" i="21" s="1"/>
  <c r="L68" i="21"/>
  <c r="N68" i="21" s="1"/>
  <c r="L84" i="21"/>
  <c r="N84" i="21" s="1"/>
  <c r="I64" i="2"/>
  <c r="J60" i="2"/>
  <c r="I69" i="19"/>
  <c r="N69" i="19" s="1"/>
  <c r="I58" i="19"/>
  <c r="J42" i="19"/>
  <c r="I40" i="19"/>
  <c r="J34" i="19"/>
  <c r="K93" i="19"/>
  <c r="K82" i="19"/>
  <c r="J10" i="19"/>
  <c r="K23" i="19"/>
  <c r="M23" i="19" s="1"/>
  <c r="N71" i="20"/>
  <c r="J58" i="20"/>
  <c r="J7" i="20"/>
  <c r="J19" i="19"/>
  <c r="I88" i="19"/>
  <c r="L2" i="19"/>
  <c r="L12" i="19"/>
  <c r="L20" i="19"/>
  <c r="L26" i="19"/>
  <c r="L37" i="19"/>
  <c r="L45" i="19"/>
  <c r="L55" i="19"/>
  <c r="I64" i="19"/>
  <c r="I82" i="19"/>
  <c r="M82" i="19" s="1"/>
  <c r="L95" i="19"/>
  <c r="N95" i="19" s="1"/>
  <c r="N26" i="19"/>
  <c r="I45" i="19"/>
  <c r="N45" i="19" s="1"/>
  <c r="L11" i="19"/>
  <c r="N11" i="19" s="1"/>
  <c r="J37" i="19"/>
  <c r="J45" i="19"/>
  <c r="L80" i="19"/>
  <c r="K95" i="19"/>
  <c r="M95" i="19" s="1"/>
  <c r="L3" i="19"/>
  <c r="J13" i="19"/>
  <c r="N20" i="19"/>
  <c r="J64" i="19"/>
  <c r="K71" i="19"/>
  <c r="M71" i="19" s="1"/>
  <c r="J82" i="19"/>
  <c r="L96" i="19"/>
  <c r="N96" i="19" s="1"/>
  <c r="J61" i="19"/>
  <c r="J69" i="19"/>
  <c r="L35" i="19"/>
  <c r="N35" i="19" s="1"/>
  <c r="I21" i="19"/>
  <c r="N21" i="19" s="1"/>
  <c r="L71" i="19"/>
  <c r="N71" i="19" s="1"/>
  <c r="L5" i="19"/>
  <c r="N5" i="19" s="1"/>
  <c r="L21" i="19"/>
  <c r="L31" i="19"/>
  <c r="J72" i="19"/>
  <c r="L13" i="19"/>
  <c r="J21" i="19"/>
  <c r="L29" i="19"/>
  <c r="L39" i="19"/>
  <c r="L56" i="19"/>
  <c r="L82" i="19"/>
  <c r="L90" i="19"/>
  <c r="N90" i="19" s="1"/>
  <c r="L7" i="19"/>
  <c r="L15" i="19"/>
  <c r="I22" i="19"/>
  <c r="J40" i="19"/>
  <c r="K47" i="19"/>
  <c r="M47" i="19" s="1"/>
  <c r="J58" i="19"/>
  <c r="J66" i="19"/>
  <c r="L72" i="19"/>
  <c r="J94" i="19"/>
  <c r="J88" i="19"/>
  <c r="L47" i="19"/>
  <c r="N47" i="19" s="1"/>
  <c r="K58" i="19"/>
  <c r="M58" i="19" s="1"/>
  <c r="L83" i="19"/>
  <c r="J16" i="19"/>
  <c r="L32" i="19"/>
  <c r="N32" i="19" s="1"/>
  <c r="L58" i="19"/>
  <c r="N58" i="19" s="1"/>
  <c r="J85" i="19"/>
  <c r="N74" i="19"/>
  <c r="L8" i="19"/>
  <c r="N8" i="19" s="1"/>
  <c r="I34" i="19"/>
  <c r="N34" i="19" s="1"/>
  <c r="J48" i="19"/>
  <c r="L74" i="19"/>
  <c r="K85" i="19"/>
  <c r="L85" i="20"/>
  <c r="I93" i="20"/>
  <c r="M93" i="20" s="1"/>
  <c r="I10" i="20"/>
  <c r="J18" i="20"/>
  <c r="J43" i="20"/>
  <c r="J61" i="20"/>
  <c r="N68" i="20"/>
  <c r="J93" i="20"/>
  <c r="K61" i="20"/>
  <c r="I69" i="20"/>
  <c r="N69" i="20" s="1"/>
  <c r="J79" i="20"/>
  <c r="L93" i="20"/>
  <c r="L61" i="20"/>
  <c r="J69" i="20"/>
  <c r="K79" i="20"/>
  <c r="I34" i="20"/>
  <c r="N34" i="20" s="1"/>
  <c r="L44" i="20"/>
  <c r="N44" i="20" s="1"/>
  <c r="L69" i="20"/>
  <c r="N92" i="20"/>
  <c r="J13" i="20"/>
  <c r="L28" i="20"/>
  <c r="J37" i="20"/>
  <c r="I45" i="20"/>
  <c r="J55" i="20"/>
  <c r="I88" i="20"/>
  <c r="N88" i="20" s="1"/>
  <c r="K58" i="20"/>
  <c r="M58" i="20" s="1"/>
  <c r="K47" i="20"/>
  <c r="M47" i="20" s="1"/>
  <c r="J10" i="20"/>
  <c r="K23" i="20"/>
  <c r="M23" i="20" s="1"/>
  <c r="J34" i="20"/>
  <c r="K34" i="20"/>
  <c r="L36" i="20"/>
  <c r="L13" i="20"/>
  <c r="L20" i="20"/>
  <c r="N20" i="20" s="1"/>
  <c r="L37" i="20"/>
  <c r="J45" i="20"/>
  <c r="L55" i="20"/>
  <c r="J63" i="20"/>
  <c r="J66" i="20"/>
  <c r="K10" i="20"/>
  <c r="I21" i="20"/>
  <c r="N21" i="20" s="1"/>
  <c r="L45" i="20"/>
  <c r="L63" i="20"/>
  <c r="N63" i="20" s="1"/>
  <c r="I82" i="20"/>
  <c r="M82" i="20" s="1"/>
  <c r="K95" i="20"/>
  <c r="M95" i="20" s="1"/>
  <c r="N47" i="20"/>
  <c r="N23" i="20"/>
  <c r="J85" i="20"/>
  <c r="J31" i="20"/>
  <c r="I64" i="20"/>
  <c r="J82" i="20"/>
  <c r="L95" i="20"/>
  <c r="N95" i="20" s="1"/>
  <c r="L21" i="20"/>
  <c r="K71" i="20"/>
  <c r="M71" i="20" s="1"/>
  <c r="K82" i="20"/>
  <c r="N52" i="20"/>
  <c r="M18" i="20"/>
  <c r="M25" i="20"/>
  <c r="N25" i="20"/>
  <c r="I79" i="20"/>
  <c r="N78" i="20"/>
  <c r="M78" i="20"/>
  <c r="I55" i="20"/>
  <c r="M76" i="20"/>
  <c r="N76" i="20"/>
  <c r="I61" i="20"/>
  <c r="N60" i="20"/>
  <c r="I7" i="20"/>
  <c r="N70" i="20"/>
  <c r="I31" i="20"/>
  <c r="I85" i="20"/>
  <c r="N84" i="20"/>
  <c r="N87" i="20"/>
  <c r="M87" i="20"/>
  <c r="N15" i="20"/>
  <c r="M15" i="20"/>
  <c r="N39" i="20"/>
  <c r="M89" i="20"/>
  <c r="N36" i="20"/>
  <c r="I37" i="20"/>
  <c r="N46" i="20"/>
  <c r="N64" i="20"/>
  <c r="I13" i="20"/>
  <c r="M12" i="20"/>
  <c r="N12" i="20"/>
  <c r="N28" i="20"/>
  <c r="M28" i="20"/>
  <c r="N97" i="20"/>
  <c r="N10" i="20"/>
  <c r="N18" i="20"/>
  <c r="N58" i="20"/>
  <c r="N66" i="20"/>
  <c r="J72" i="20"/>
  <c r="N74" i="20"/>
  <c r="N90" i="20"/>
  <c r="J96" i="20"/>
  <c r="K13" i="20"/>
  <c r="K29" i="20"/>
  <c r="M29" i="20" s="1"/>
  <c r="K45" i="20"/>
  <c r="K53" i="20"/>
  <c r="M53" i="20" s="1"/>
  <c r="K93" i="20"/>
  <c r="J24" i="20"/>
  <c r="L29" i="20"/>
  <c r="N42" i="20"/>
  <c r="I3" i="20"/>
  <c r="K8" i="20"/>
  <c r="M8" i="20" s="1"/>
  <c r="K16" i="20"/>
  <c r="M16" i="20" s="1"/>
  <c r="I19" i="20"/>
  <c r="K24" i="20"/>
  <c r="M24" i="20" s="1"/>
  <c r="I27" i="20"/>
  <c r="K32" i="20"/>
  <c r="M32" i="20" s="1"/>
  <c r="K40" i="20"/>
  <c r="M40" i="20" s="1"/>
  <c r="I43" i="20"/>
  <c r="K48" i="20"/>
  <c r="M48" i="20" s="1"/>
  <c r="I51" i="20"/>
  <c r="K56" i="20"/>
  <c r="M56" i="20" s="1"/>
  <c r="K64" i="20"/>
  <c r="I67" i="20"/>
  <c r="K72" i="20"/>
  <c r="M72" i="20" s="1"/>
  <c r="I75" i="20"/>
  <c r="M77" i="20"/>
  <c r="K80" i="20"/>
  <c r="M80" i="20" s="1"/>
  <c r="K88" i="20"/>
  <c r="M88" i="20" s="1"/>
  <c r="I91" i="20"/>
  <c r="K96" i="20"/>
  <c r="M96" i="20" s="1"/>
  <c r="K31" i="20"/>
  <c r="K21" i="20"/>
  <c r="M21" i="20" s="1"/>
  <c r="K37" i="20"/>
  <c r="K85" i="20"/>
  <c r="N2" i="20"/>
  <c r="N26" i="20"/>
  <c r="J48" i="20"/>
  <c r="N50" i="20"/>
  <c r="L53" i="20"/>
  <c r="N53" i="20" s="1"/>
  <c r="L77" i="20"/>
  <c r="N77" i="20" s="1"/>
  <c r="J3" i="20"/>
  <c r="N5" i="20"/>
  <c r="L16" i="20"/>
  <c r="N16" i="20" s="1"/>
  <c r="J27" i="20"/>
  <c r="N29" i="20"/>
  <c r="L40" i="20"/>
  <c r="N40" i="20" s="1"/>
  <c r="L48" i="20"/>
  <c r="N48" i="20" s="1"/>
  <c r="J51" i="20"/>
  <c r="L56" i="20"/>
  <c r="N56" i="20" s="1"/>
  <c r="L64" i="20"/>
  <c r="L72" i="20"/>
  <c r="J75" i="20"/>
  <c r="L80" i="20"/>
  <c r="L88" i="20"/>
  <c r="L96" i="20"/>
  <c r="N96" i="20" s="1"/>
  <c r="K3" i="20"/>
  <c r="K11" i="20"/>
  <c r="M11" i="20" s="1"/>
  <c r="K19" i="20"/>
  <c r="K27" i="20"/>
  <c r="K35" i="20"/>
  <c r="M35" i="20" s="1"/>
  <c r="K43" i="20"/>
  <c r="K51" i="20"/>
  <c r="K59" i="20"/>
  <c r="M59" i="20" s="1"/>
  <c r="K67" i="20"/>
  <c r="K75" i="20"/>
  <c r="K83" i="20"/>
  <c r="M83" i="20" s="1"/>
  <c r="K91" i="20"/>
  <c r="L19" i="20"/>
  <c r="N24" i="20"/>
  <c r="L43" i="20"/>
  <c r="L67" i="20"/>
  <c r="N72" i="20"/>
  <c r="L75" i="20"/>
  <c r="N80" i="20"/>
  <c r="L91" i="20"/>
  <c r="K6" i="20"/>
  <c r="M6" i="20" s="1"/>
  <c r="I9" i="20"/>
  <c r="K14" i="20"/>
  <c r="M14" i="20" s="1"/>
  <c r="K22" i="20"/>
  <c r="M22" i="20" s="1"/>
  <c r="K30" i="20"/>
  <c r="M30" i="20" s="1"/>
  <c r="I33" i="20"/>
  <c r="K38" i="20"/>
  <c r="M38" i="20" s="1"/>
  <c r="K46" i="20"/>
  <c r="M46" i="20" s="1"/>
  <c r="K54" i="20"/>
  <c r="M54" i="20" s="1"/>
  <c r="I57" i="20"/>
  <c r="K62" i="20"/>
  <c r="M62" i="20" s="1"/>
  <c r="K70" i="20"/>
  <c r="M70" i="20" s="1"/>
  <c r="K78" i="20"/>
  <c r="K86" i="20"/>
  <c r="M86" i="20" s="1"/>
  <c r="K94" i="20"/>
  <c r="M94" i="20" s="1"/>
  <c r="K39" i="20"/>
  <c r="M39" i="20" s="1"/>
  <c r="K55" i="20"/>
  <c r="K87" i="20"/>
  <c r="K18" i="20"/>
  <c r="K42" i="20"/>
  <c r="M42" i="20" s="1"/>
  <c r="K50" i="20"/>
  <c r="M50" i="20" s="1"/>
  <c r="K66" i="20"/>
  <c r="M66" i="20" s="1"/>
  <c r="K5" i="20"/>
  <c r="M5" i="20" s="1"/>
  <c r="N8" i="20"/>
  <c r="L27" i="20"/>
  <c r="L6" i="20"/>
  <c r="N6" i="20" s="1"/>
  <c r="N11" i="20"/>
  <c r="L14" i="20"/>
  <c r="N14" i="20" s="1"/>
  <c r="L22" i="20"/>
  <c r="N22" i="20" s="1"/>
  <c r="L30" i="20"/>
  <c r="N30" i="20" s="1"/>
  <c r="N35" i="20"/>
  <c r="L38" i="20"/>
  <c r="N38" i="20" s="1"/>
  <c r="L46" i="20"/>
  <c r="L54" i="20"/>
  <c r="N54" i="20" s="1"/>
  <c r="N59" i="20"/>
  <c r="L62" i="20"/>
  <c r="L70" i="20"/>
  <c r="L78" i="20"/>
  <c r="N83" i="20"/>
  <c r="L86" i="20"/>
  <c r="N86" i="20" s="1"/>
  <c r="L94" i="20"/>
  <c r="N94" i="20" s="1"/>
  <c r="K63" i="20"/>
  <c r="M63" i="20" s="1"/>
  <c r="K2" i="20"/>
  <c r="M2" i="20" s="1"/>
  <c r="K26" i="20"/>
  <c r="M26" i="20" s="1"/>
  <c r="K74" i="20"/>
  <c r="M74" i="20" s="1"/>
  <c r="L51" i="20"/>
  <c r="I4" i="20"/>
  <c r="K9" i="20"/>
  <c r="K17" i="20"/>
  <c r="M17" i="20" s="1"/>
  <c r="K25" i="20"/>
  <c r="K33" i="20"/>
  <c r="K41" i="20"/>
  <c r="M41" i="20" s="1"/>
  <c r="K49" i="20"/>
  <c r="M49" i="20" s="1"/>
  <c r="K57" i="20"/>
  <c r="K65" i="20"/>
  <c r="M65" i="20" s="1"/>
  <c r="K73" i="20"/>
  <c r="M73" i="20" s="1"/>
  <c r="K81" i="20"/>
  <c r="M81" i="20" s="1"/>
  <c r="K89" i="20"/>
  <c r="K97" i="20"/>
  <c r="M97" i="20" s="1"/>
  <c r="K7" i="20"/>
  <c r="K77" i="20"/>
  <c r="L9" i="20"/>
  <c r="L17" i="20"/>
  <c r="N17" i="20" s="1"/>
  <c r="L25" i="20"/>
  <c r="L33" i="20"/>
  <c r="L41" i="20"/>
  <c r="N41" i="20" s="1"/>
  <c r="L49" i="20"/>
  <c r="N49" i="20" s="1"/>
  <c r="L57" i="20"/>
  <c r="N62" i="20"/>
  <c r="L65" i="20"/>
  <c r="N65" i="20" s="1"/>
  <c r="L73" i="20"/>
  <c r="N73" i="20" s="1"/>
  <c r="L81" i="20"/>
  <c r="N81" i="20" s="1"/>
  <c r="L89" i="20"/>
  <c r="N89" i="20" s="1"/>
  <c r="K90" i="20"/>
  <c r="M90" i="20" s="1"/>
  <c r="K69" i="20"/>
  <c r="K4" i="20"/>
  <c r="K12" i="20"/>
  <c r="K20" i="20"/>
  <c r="M20" i="20" s="1"/>
  <c r="K28" i="20"/>
  <c r="K36" i="20"/>
  <c r="M36" i="20" s="1"/>
  <c r="K44" i="20"/>
  <c r="M44" i="20" s="1"/>
  <c r="K52" i="20"/>
  <c r="M52" i="20" s="1"/>
  <c r="K60" i="20"/>
  <c r="M60" i="20" s="1"/>
  <c r="K68" i="20"/>
  <c r="M68" i="20" s="1"/>
  <c r="K84" i="20"/>
  <c r="M84" i="20" s="1"/>
  <c r="N87" i="19"/>
  <c r="N25" i="19"/>
  <c r="N94" i="19"/>
  <c r="I37" i="19"/>
  <c r="N49" i="19"/>
  <c r="N12" i="19"/>
  <c r="I13" i="19"/>
  <c r="I55" i="19"/>
  <c r="N63" i="19"/>
  <c r="I61" i="19"/>
  <c r="N89" i="19"/>
  <c r="I31" i="19"/>
  <c r="N39" i="19"/>
  <c r="M57" i="19"/>
  <c r="I79" i="19"/>
  <c r="I7" i="19"/>
  <c r="I85" i="19"/>
  <c r="I3" i="19"/>
  <c r="K8" i="19"/>
  <c r="M8" i="19" s="1"/>
  <c r="K16" i="19"/>
  <c r="M16" i="19" s="1"/>
  <c r="I19" i="19"/>
  <c r="K24" i="19"/>
  <c r="M24" i="19" s="1"/>
  <c r="I27" i="19"/>
  <c r="K32" i="19"/>
  <c r="M32" i="19" s="1"/>
  <c r="K40" i="19"/>
  <c r="M40" i="19" s="1"/>
  <c r="I43" i="19"/>
  <c r="K48" i="19"/>
  <c r="M48" i="19" s="1"/>
  <c r="I51" i="19"/>
  <c r="K56" i="19"/>
  <c r="M56" i="19" s="1"/>
  <c r="K64" i="19"/>
  <c r="I67" i="19"/>
  <c r="M69" i="19"/>
  <c r="K72" i="19"/>
  <c r="M72" i="19" s="1"/>
  <c r="I75" i="19"/>
  <c r="K80" i="19"/>
  <c r="M80" i="19" s="1"/>
  <c r="K88" i="19"/>
  <c r="I91" i="19"/>
  <c r="M93" i="19"/>
  <c r="K96" i="19"/>
  <c r="M96" i="19" s="1"/>
  <c r="K87" i="19"/>
  <c r="M87" i="19" s="1"/>
  <c r="N50" i="19"/>
  <c r="J3" i="19"/>
  <c r="L16" i="19"/>
  <c r="N16" i="19" s="1"/>
  <c r="J27" i="19"/>
  <c r="N29" i="19"/>
  <c r="L40" i="19"/>
  <c r="N40" i="19" s="1"/>
  <c r="J51" i="19"/>
  <c r="N53" i="19"/>
  <c r="L64" i="19"/>
  <c r="N64" i="19" s="1"/>
  <c r="J75" i="19"/>
  <c r="N77" i="19"/>
  <c r="L88" i="19"/>
  <c r="N42" i="19"/>
  <c r="K3" i="19"/>
  <c r="K11" i="19"/>
  <c r="M11" i="19" s="1"/>
  <c r="K19" i="19"/>
  <c r="K27" i="19"/>
  <c r="K35" i="19"/>
  <c r="M35" i="19" s="1"/>
  <c r="K43" i="19"/>
  <c r="K51" i="19"/>
  <c r="K59" i="19"/>
  <c r="M59" i="19" s="1"/>
  <c r="K67" i="19"/>
  <c r="K75" i="19"/>
  <c r="K83" i="19"/>
  <c r="M83" i="19" s="1"/>
  <c r="K91" i="19"/>
  <c r="J6" i="19"/>
  <c r="L19" i="19"/>
  <c r="N24" i="19"/>
  <c r="L27" i="19"/>
  <c r="J30" i="19"/>
  <c r="L43" i="19"/>
  <c r="N48" i="19"/>
  <c r="L51" i="19"/>
  <c r="J54" i="19"/>
  <c r="N56" i="19"/>
  <c r="L67" i="19"/>
  <c r="N72" i="19"/>
  <c r="L75" i="19"/>
  <c r="J78" i="19"/>
  <c r="N80" i="19"/>
  <c r="L91" i="19"/>
  <c r="K6" i="19"/>
  <c r="M6" i="19" s="1"/>
  <c r="I9" i="19"/>
  <c r="K14" i="19"/>
  <c r="M14" i="19" s="1"/>
  <c r="K22" i="19"/>
  <c r="K30" i="19"/>
  <c r="M30" i="19" s="1"/>
  <c r="K38" i="19"/>
  <c r="M38" i="19" s="1"/>
  <c r="K46" i="19"/>
  <c r="M46" i="19" s="1"/>
  <c r="K54" i="19"/>
  <c r="M54" i="19" s="1"/>
  <c r="K62" i="19"/>
  <c r="M62" i="19" s="1"/>
  <c r="K70" i="19"/>
  <c r="M70" i="19" s="1"/>
  <c r="K78" i="19"/>
  <c r="M78" i="19" s="1"/>
  <c r="K86" i="19"/>
  <c r="M86" i="19" s="1"/>
  <c r="K94" i="19"/>
  <c r="M94" i="19" s="1"/>
  <c r="L6" i="19"/>
  <c r="N6" i="19" s="1"/>
  <c r="L14" i="19"/>
  <c r="N14" i="19" s="1"/>
  <c r="L22" i="19"/>
  <c r="L30" i="19"/>
  <c r="N30" i="19" s="1"/>
  <c r="L38" i="19"/>
  <c r="L46" i="19"/>
  <c r="N46" i="19" s="1"/>
  <c r="L54" i="19"/>
  <c r="N54" i="19" s="1"/>
  <c r="N59" i="19"/>
  <c r="L62" i="19"/>
  <c r="N62" i="19" s="1"/>
  <c r="L70" i="19"/>
  <c r="N70" i="19" s="1"/>
  <c r="L78" i="19"/>
  <c r="N78" i="19" s="1"/>
  <c r="N83" i="19"/>
  <c r="L86" i="19"/>
  <c r="L94" i="19"/>
  <c r="K39" i="19"/>
  <c r="M39" i="19" s="1"/>
  <c r="K18" i="19"/>
  <c r="K50" i="19"/>
  <c r="M50" i="19" s="1"/>
  <c r="K5" i="19"/>
  <c r="M5" i="19" s="1"/>
  <c r="M10" i="19"/>
  <c r="K13" i="19"/>
  <c r="M18" i="19"/>
  <c r="K21" i="19"/>
  <c r="K29" i="19"/>
  <c r="M29" i="19" s="1"/>
  <c r="K37" i="19"/>
  <c r="K45" i="19"/>
  <c r="K53" i="19"/>
  <c r="M53" i="19" s="1"/>
  <c r="K61" i="19"/>
  <c r="K69" i="19"/>
  <c r="N2" i="19"/>
  <c r="I4" i="19"/>
  <c r="K9" i="19"/>
  <c r="K17" i="19"/>
  <c r="M17" i="19" s="1"/>
  <c r="K25" i="19"/>
  <c r="M25" i="19" s="1"/>
  <c r="I28" i="19"/>
  <c r="K33" i="19"/>
  <c r="M33" i="19" s="1"/>
  <c r="K41" i="19"/>
  <c r="M41" i="19" s="1"/>
  <c r="K49" i="19"/>
  <c r="M49" i="19" s="1"/>
  <c r="K57" i="19"/>
  <c r="K65" i="19"/>
  <c r="M65" i="19" s="1"/>
  <c r="K73" i="19"/>
  <c r="M73" i="19" s="1"/>
  <c r="I76" i="19"/>
  <c r="K81" i="19"/>
  <c r="M81" i="19" s="1"/>
  <c r="K89" i="19"/>
  <c r="M89" i="19" s="1"/>
  <c r="K97" i="19"/>
  <c r="M97" i="19" s="1"/>
  <c r="K31" i="19"/>
  <c r="K26" i="19"/>
  <c r="M26" i="19" s="1"/>
  <c r="L9" i="19"/>
  <c r="L17" i="19"/>
  <c r="N17" i="19" s="1"/>
  <c r="L25" i="19"/>
  <c r="L33" i="19"/>
  <c r="N33" i="19" s="1"/>
  <c r="N38" i="19"/>
  <c r="L41" i="19"/>
  <c r="N41" i="19" s="1"/>
  <c r="L49" i="19"/>
  <c r="L57" i="19"/>
  <c r="N57" i="19" s="1"/>
  <c r="L65" i="19"/>
  <c r="N65" i="19" s="1"/>
  <c r="L73" i="19"/>
  <c r="N73" i="19" s="1"/>
  <c r="L81" i="19"/>
  <c r="N81" i="19" s="1"/>
  <c r="N86" i="19"/>
  <c r="L89" i="19"/>
  <c r="L97" i="19"/>
  <c r="N97" i="19" s="1"/>
  <c r="K7" i="19"/>
  <c r="K15" i="19"/>
  <c r="K55" i="19"/>
  <c r="K63" i="19"/>
  <c r="M63" i="19" s="1"/>
  <c r="K79" i="19"/>
  <c r="K2" i="19"/>
  <c r="M2" i="19" s="1"/>
  <c r="K66" i="19"/>
  <c r="M66" i="19" s="1"/>
  <c r="K74" i="19"/>
  <c r="M74" i="19" s="1"/>
  <c r="K90" i="19"/>
  <c r="M90" i="19" s="1"/>
  <c r="K77" i="19"/>
  <c r="M77" i="19" s="1"/>
  <c r="K4" i="19"/>
  <c r="K12" i="19"/>
  <c r="M12" i="19" s="1"/>
  <c r="I15" i="19"/>
  <c r="K20" i="19"/>
  <c r="M20" i="19" s="1"/>
  <c r="K28" i="19"/>
  <c r="K36" i="19"/>
  <c r="M36" i="19" s="1"/>
  <c r="K44" i="19"/>
  <c r="M44" i="19" s="1"/>
  <c r="K52" i="19"/>
  <c r="M52" i="19" s="1"/>
  <c r="K60" i="19"/>
  <c r="M60" i="19" s="1"/>
  <c r="K68" i="19"/>
  <c r="M68" i="19" s="1"/>
  <c r="K76" i="19"/>
  <c r="K84" i="19"/>
  <c r="M84" i="19" s="1"/>
  <c r="L4" i="19"/>
  <c r="L28" i="19"/>
  <c r="L36" i="19"/>
  <c r="N36" i="19" s="1"/>
  <c r="L44" i="19"/>
  <c r="N44" i="19" s="1"/>
  <c r="L52" i="19"/>
  <c r="N52" i="19" s="1"/>
  <c r="L60" i="19"/>
  <c r="N60" i="19" s="1"/>
  <c r="L68" i="19"/>
  <c r="N68" i="19" s="1"/>
  <c r="L84" i="19"/>
  <c r="N84" i="19" s="1"/>
  <c r="N91" i="2"/>
  <c r="J48" i="5"/>
  <c r="J49" i="5"/>
  <c r="N93" i="2"/>
  <c r="I22" i="2"/>
  <c r="L71" i="2"/>
  <c r="L24" i="2"/>
  <c r="N24" i="2" s="1"/>
  <c r="L8" i="2"/>
  <c r="N8" i="2" s="1"/>
  <c r="L70" i="2"/>
  <c r="L23" i="2"/>
  <c r="N23" i="2" s="1"/>
  <c r="L83" i="2"/>
  <c r="N83" i="2" s="1"/>
  <c r="L97" i="2"/>
  <c r="N97" i="2" s="1"/>
  <c r="L81" i="2"/>
  <c r="L49" i="2"/>
  <c r="L33" i="2"/>
  <c r="L85" i="2"/>
  <c r="N85" i="2" s="1"/>
  <c r="L69" i="2"/>
  <c r="N69" i="2" s="1"/>
  <c r="L37" i="2"/>
  <c r="L22" i="2"/>
  <c r="L35" i="2"/>
  <c r="N35" i="2" s="1"/>
  <c r="L20" i="2"/>
  <c r="L84" i="2"/>
  <c r="N84" i="2" s="1"/>
  <c r="L68" i="2"/>
  <c r="N68" i="2" s="1"/>
  <c r="L36" i="2"/>
  <c r="N36" i="2" s="1"/>
  <c r="L21" i="2"/>
  <c r="N21" i="2" s="1"/>
  <c r="L94" i="2"/>
  <c r="L46" i="2"/>
  <c r="L82" i="2"/>
  <c r="N82" i="2" s="1"/>
  <c r="L34" i="2"/>
  <c r="L92" i="2"/>
  <c r="L60" i="2"/>
  <c r="L44" i="2"/>
  <c r="L13" i="2"/>
  <c r="N13" i="2" s="1"/>
  <c r="L59" i="2"/>
  <c r="L96" i="2"/>
  <c r="N96" i="2" s="1"/>
  <c r="L80" i="2"/>
  <c r="L48" i="2"/>
  <c r="L32" i="2"/>
  <c r="L95" i="2"/>
  <c r="N95" i="2" s="1"/>
  <c r="L47" i="2"/>
  <c r="N47" i="2" s="1"/>
  <c r="N20" i="2"/>
  <c r="L93" i="2"/>
  <c r="L61" i="2"/>
  <c r="L45" i="2"/>
  <c r="N45" i="2" s="1"/>
  <c r="L58" i="2"/>
  <c r="N58" i="2" s="1"/>
  <c r="L11" i="2"/>
  <c r="N11" i="2" s="1"/>
  <c r="N88" i="2"/>
  <c r="N51" i="2"/>
  <c r="I15" i="2"/>
  <c r="L87" i="2"/>
  <c r="L55" i="2"/>
  <c r="L39" i="2"/>
  <c r="L4" i="2"/>
  <c r="L86" i="2"/>
  <c r="L54" i="2"/>
  <c r="N54" i="2" s="1"/>
  <c r="L38" i="2"/>
  <c r="N38" i="2" s="1"/>
  <c r="L7" i="2"/>
  <c r="N7" i="2" s="1"/>
  <c r="L51" i="2"/>
  <c r="L65" i="2"/>
  <c r="L18" i="2"/>
  <c r="N18" i="2" s="1"/>
  <c r="L2" i="2"/>
  <c r="N2" i="2" s="1"/>
  <c r="L62" i="2"/>
  <c r="N62" i="2" s="1"/>
  <c r="L53" i="2"/>
  <c r="N53" i="2" s="1"/>
  <c r="L6" i="2"/>
  <c r="N6" i="2" s="1"/>
  <c r="L67" i="2"/>
  <c r="L52" i="2"/>
  <c r="N52" i="2" s="1"/>
  <c r="L5" i="2"/>
  <c r="N5" i="2" s="1"/>
  <c r="L15" i="2"/>
  <c r="L66" i="2"/>
  <c r="L50" i="2"/>
  <c r="N50" i="2" s="1"/>
  <c r="L19" i="2"/>
  <c r="N19" i="2" s="1"/>
  <c r="L3" i="2"/>
  <c r="L76" i="2"/>
  <c r="L29" i="2"/>
  <c r="N29" i="2" s="1"/>
  <c r="L91" i="2"/>
  <c r="L43" i="2"/>
  <c r="N43" i="2" s="1"/>
  <c r="L64" i="2"/>
  <c r="N64" i="2" s="1"/>
  <c r="L17" i="2"/>
  <c r="N17" i="2" s="1"/>
  <c r="L78" i="2"/>
  <c r="N78" i="2" s="1"/>
  <c r="L31" i="2"/>
  <c r="N31" i="2" s="1"/>
  <c r="L79" i="2"/>
  <c r="L63" i="2"/>
  <c r="N63" i="2" s="1"/>
  <c r="L16" i="2"/>
  <c r="L77" i="2"/>
  <c r="N77" i="2" s="1"/>
  <c r="L30" i="2"/>
  <c r="N30" i="2" s="1"/>
  <c r="L14" i="2"/>
  <c r="N14" i="2" s="1"/>
  <c r="L75" i="2"/>
  <c r="L90" i="2"/>
  <c r="N90" i="2" s="1"/>
  <c r="L74" i="2"/>
  <c r="L42" i="2"/>
  <c r="L27" i="2"/>
  <c r="J9" i="5"/>
  <c r="J10" i="5"/>
  <c r="J40" i="2"/>
  <c r="J39" i="2"/>
  <c r="I72" i="2"/>
  <c r="N71" i="2"/>
  <c r="L92" i="6"/>
  <c r="L82" i="6"/>
  <c r="L10" i="6"/>
  <c r="L45" i="6"/>
  <c r="I48" i="2"/>
  <c r="M47" i="2"/>
  <c r="M11" i="2"/>
  <c r="L41" i="2"/>
  <c r="J67" i="5"/>
  <c r="J66" i="5"/>
  <c r="N79" i="2"/>
  <c r="M10" i="2"/>
  <c r="I75" i="2"/>
  <c r="M74" i="2"/>
  <c r="N74" i="2"/>
  <c r="J63" i="2"/>
  <c r="J64" i="2"/>
  <c r="N37" i="2"/>
  <c r="L40" i="2"/>
  <c r="N40" i="2" s="1"/>
  <c r="L57" i="2"/>
  <c r="J25" i="5"/>
  <c r="J24" i="5"/>
  <c r="N67" i="2"/>
  <c r="N33" i="2"/>
  <c r="L56" i="2"/>
  <c r="L9" i="2"/>
  <c r="N59" i="2"/>
  <c r="J85" i="2"/>
  <c r="L10" i="2"/>
  <c r="N10" i="2" s="1"/>
  <c r="L72" i="2"/>
  <c r="L66" i="8"/>
  <c r="L47" i="9"/>
  <c r="N47" i="9" s="1"/>
  <c r="N24" i="13"/>
  <c r="J58" i="13"/>
  <c r="M92" i="14"/>
  <c r="J22" i="14"/>
  <c r="L40" i="14"/>
  <c r="L55" i="14"/>
  <c r="L33" i="16"/>
  <c r="L26" i="15"/>
  <c r="I70" i="2"/>
  <c r="N26" i="2"/>
  <c r="N39" i="2"/>
  <c r="K11" i="2"/>
  <c r="K27" i="2"/>
  <c r="K43" i="2"/>
  <c r="M43" i="2" s="1"/>
  <c r="K59" i="2"/>
  <c r="M59" i="2" s="1"/>
  <c r="K75" i="2"/>
  <c r="K91" i="2"/>
  <c r="M91" i="2" s="1"/>
  <c r="M23" i="5"/>
  <c r="K58" i="5"/>
  <c r="K83" i="6"/>
  <c r="M83" i="6" s="1"/>
  <c r="N22" i="7"/>
  <c r="J48" i="8"/>
  <c r="L90" i="8"/>
  <c r="J69" i="10"/>
  <c r="N32" i="11"/>
  <c r="L53" i="11"/>
  <c r="L67" i="11"/>
  <c r="K87" i="12"/>
  <c r="L10" i="13"/>
  <c r="J90" i="14"/>
  <c r="L63" i="15"/>
  <c r="J82" i="15"/>
  <c r="N23" i="5"/>
  <c r="J91" i="8"/>
  <c r="L55" i="11"/>
  <c r="K18" i="12"/>
  <c r="M18" i="12" s="1"/>
  <c r="N45" i="14"/>
  <c r="I64" i="15"/>
  <c r="K82" i="15"/>
  <c r="L20" i="16"/>
  <c r="L37" i="16"/>
  <c r="L71" i="16"/>
  <c r="N71" i="16" s="1"/>
  <c r="J91" i="17"/>
  <c r="J66" i="9"/>
  <c r="N70" i="10"/>
  <c r="L29" i="15"/>
  <c r="L22" i="16"/>
  <c r="J34" i="17"/>
  <c r="J40" i="18"/>
  <c r="K14" i="2"/>
  <c r="M14" i="2" s="1"/>
  <c r="K30" i="2"/>
  <c r="M30" i="2" s="1"/>
  <c r="K46" i="2"/>
  <c r="K62" i="2"/>
  <c r="M62" i="2" s="1"/>
  <c r="K78" i="2"/>
  <c r="M78" i="2" s="1"/>
  <c r="K94" i="2"/>
  <c r="J18" i="5"/>
  <c r="J93" i="5"/>
  <c r="L87" i="6"/>
  <c r="N87" i="6" s="1"/>
  <c r="L8" i="7"/>
  <c r="N8" i="7" s="1"/>
  <c r="L39" i="7"/>
  <c r="K82" i="7"/>
  <c r="L50" i="8"/>
  <c r="L66" i="9"/>
  <c r="L85" i="9"/>
  <c r="L2" i="11"/>
  <c r="N2" i="11" s="1"/>
  <c r="L33" i="11"/>
  <c r="L45" i="11"/>
  <c r="N45" i="11" s="1"/>
  <c r="L68" i="11"/>
  <c r="L85" i="11"/>
  <c r="K2" i="12"/>
  <c r="M2" i="12" s="1"/>
  <c r="J91" i="12"/>
  <c r="N63" i="13"/>
  <c r="L74" i="13"/>
  <c r="J45" i="14"/>
  <c r="L79" i="14"/>
  <c r="L31" i="15"/>
  <c r="J72" i="16"/>
  <c r="L58" i="16"/>
  <c r="L72" i="16"/>
  <c r="N93" i="16"/>
  <c r="L55" i="17"/>
  <c r="J94" i="17"/>
  <c r="J52" i="2"/>
  <c r="M93" i="2"/>
  <c r="M77" i="2"/>
  <c r="M12" i="2"/>
  <c r="N56" i="2"/>
  <c r="K16" i="2"/>
  <c r="K32" i="2"/>
  <c r="M32" i="2" s="1"/>
  <c r="K48" i="2"/>
  <c r="K64" i="2"/>
  <c r="M64" i="2" s="1"/>
  <c r="K80" i="2"/>
  <c r="M80" i="2" s="1"/>
  <c r="K96" i="2"/>
  <c r="M96" i="2" s="1"/>
  <c r="L35" i="5"/>
  <c r="J61" i="5"/>
  <c r="I69" i="5"/>
  <c r="N69" i="5" s="1"/>
  <c r="J40" i="7"/>
  <c r="L95" i="7"/>
  <c r="N95" i="7" s="1"/>
  <c r="J18" i="8"/>
  <c r="L74" i="8"/>
  <c r="L50" i="9"/>
  <c r="L45" i="10"/>
  <c r="N45" i="10" s="1"/>
  <c r="J3" i="12"/>
  <c r="K42" i="12"/>
  <c r="M42" i="12" s="1"/>
  <c r="L48" i="13"/>
  <c r="N48" i="13" s="1"/>
  <c r="L93" i="13"/>
  <c r="L63" i="14"/>
  <c r="I16" i="15"/>
  <c r="K95" i="2"/>
  <c r="M95" i="2" s="1"/>
  <c r="I40" i="7"/>
  <c r="M92" i="2"/>
  <c r="M44" i="2"/>
  <c r="N80" i="2"/>
  <c r="K2" i="2"/>
  <c r="M2" i="2" s="1"/>
  <c r="K17" i="2"/>
  <c r="M17" i="2" s="1"/>
  <c r="K33" i="2"/>
  <c r="M33" i="2" s="1"/>
  <c r="K49" i="2"/>
  <c r="K65" i="2"/>
  <c r="M65" i="2" s="1"/>
  <c r="K81" i="2"/>
  <c r="K97" i="2"/>
  <c r="M97" i="2" s="1"/>
  <c r="N92" i="5"/>
  <c r="J37" i="5"/>
  <c r="L61" i="5"/>
  <c r="J69" i="5"/>
  <c r="L71" i="7"/>
  <c r="L18" i="8"/>
  <c r="I88" i="11"/>
  <c r="L42" i="12"/>
  <c r="N42" i="12" s="1"/>
  <c r="J58" i="12"/>
  <c r="K74" i="12"/>
  <c r="L79" i="13"/>
  <c r="I16" i="14"/>
  <c r="L31" i="14"/>
  <c r="L64" i="14"/>
  <c r="L80" i="14"/>
  <c r="N90" i="15"/>
  <c r="L10" i="16"/>
  <c r="L23" i="16"/>
  <c r="L92" i="16"/>
  <c r="J46" i="10"/>
  <c r="K87" i="10"/>
  <c r="M87" i="10" s="1"/>
  <c r="J43" i="12"/>
  <c r="L32" i="13"/>
  <c r="J16" i="14"/>
  <c r="J82" i="14"/>
  <c r="L59" i="16"/>
  <c r="L93" i="16"/>
  <c r="K82" i="2"/>
  <c r="M82" i="2" s="1"/>
  <c r="I88" i="5"/>
  <c r="N88" i="5" s="1"/>
  <c r="I60" i="2"/>
  <c r="M90" i="2"/>
  <c r="M42" i="2"/>
  <c r="N42" i="2"/>
  <c r="K3" i="2"/>
  <c r="K19" i="2"/>
  <c r="M19" i="2" s="1"/>
  <c r="K35" i="2"/>
  <c r="M35" i="2" s="1"/>
  <c r="K51" i="2"/>
  <c r="M51" i="2" s="1"/>
  <c r="K67" i="2"/>
  <c r="M67" i="2" s="1"/>
  <c r="K83" i="2"/>
  <c r="M83" i="2" s="1"/>
  <c r="I21" i="5"/>
  <c r="N80" i="5"/>
  <c r="J88" i="5"/>
  <c r="L15" i="7"/>
  <c r="L42" i="7"/>
  <c r="L85" i="7"/>
  <c r="L23" i="9"/>
  <c r="L42" i="9"/>
  <c r="L8" i="10"/>
  <c r="N8" i="10" s="1"/>
  <c r="J22" i="10"/>
  <c r="L34" i="10"/>
  <c r="L46" i="10"/>
  <c r="N46" i="10" s="1"/>
  <c r="L87" i="10"/>
  <c r="L10" i="11"/>
  <c r="L59" i="11"/>
  <c r="K7" i="12"/>
  <c r="K26" i="12"/>
  <c r="L18" i="13"/>
  <c r="L34" i="13"/>
  <c r="L50" i="13"/>
  <c r="L66" i="13"/>
  <c r="N66" i="13" s="1"/>
  <c r="L16" i="14"/>
  <c r="L82" i="14"/>
  <c r="L53" i="15"/>
  <c r="L60" i="16"/>
  <c r="L39" i="11"/>
  <c r="N47" i="11"/>
  <c r="L74" i="11"/>
  <c r="N74" i="11" s="1"/>
  <c r="K79" i="12"/>
  <c r="L55" i="15"/>
  <c r="L90" i="15"/>
  <c r="L11" i="16"/>
  <c r="L44" i="16"/>
  <c r="N4" i="2"/>
  <c r="K79" i="2"/>
  <c r="M79" i="2" s="1"/>
  <c r="K84" i="2"/>
  <c r="M84" i="2" s="1"/>
  <c r="J21" i="5"/>
  <c r="M95" i="5"/>
  <c r="L2" i="8"/>
  <c r="L72" i="9"/>
  <c r="N72" i="9" s="1"/>
  <c r="J67" i="2"/>
  <c r="J16" i="2"/>
  <c r="M56" i="2"/>
  <c r="M23" i="2"/>
  <c r="N66" i="2"/>
  <c r="N89" i="2"/>
  <c r="K5" i="2"/>
  <c r="M5" i="2" s="1"/>
  <c r="K21" i="2"/>
  <c r="M21" i="2" s="1"/>
  <c r="K37" i="2"/>
  <c r="M37" i="2" s="1"/>
  <c r="K53" i="2"/>
  <c r="M53" i="2" s="1"/>
  <c r="K69" i="2"/>
  <c r="M69" i="2" s="1"/>
  <c r="K85" i="2"/>
  <c r="M85" i="2" s="1"/>
  <c r="L21" i="5"/>
  <c r="K39" i="5"/>
  <c r="L55" i="5"/>
  <c r="I64" i="5"/>
  <c r="L80" i="5"/>
  <c r="L95" i="5"/>
  <c r="N95" i="5" s="1"/>
  <c r="L29" i="7"/>
  <c r="N29" i="7" s="1"/>
  <c r="L42" i="8"/>
  <c r="M47" i="9"/>
  <c r="K58" i="9"/>
  <c r="I40" i="11"/>
  <c r="J61" i="11"/>
  <c r="L75" i="11"/>
  <c r="J91" i="11"/>
  <c r="L2" i="15"/>
  <c r="N2" i="15" s="1"/>
  <c r="L39" i="15"/>
  <c r="L13" i="16"/>
  <c r="L45" i="16"/>
  <c r="N45" i="16" s="1"/>
  <c r="L95" i="16"/>
  <c r="M41" i="2"/>
  <c r="K4" i="2"/>
  <c r="M4" i="2" s="1"/>
  <c r="K20" i="2"/>
  <c r="M20" i="2" s="1"/>
  <c r="K68" i="2"/>
  <c r="M68" i="2" s="1"/>
  <c r="I81" i="2"/>
  <c r="I55" i="2"/>
  <c r="I27" i="2"/>
  <c r="M27" i="2" s="1"/>
  <c r="J91" i="2"/>
  <c r="N65" i="2"/>
  <c r="N32" i="2"/>
  <c r="K6" i="2"/>
  <c r="M6" i="2" s="1"/>
  <c r="K22" i="2"/>
  <c r="K38" i="2"/>
  <c r="M38" i="2" s="1"/>
  <c r="K54" i="2"/>
  <c r="M54" i="2" s="1"/>
  <c r="K70" i="2"/>
  <c r="K86" i="2"/>
  <c r="K58" i="6"/>
  <c r="L58" i="9"/>
  <c r="L93" i="9"/>
  <c r="L40" i="11"/>
  <c r="L91" i="11"/>
  <c r="K31" i="12"/>
  <c r="L83" i="13"/>
  <c r="N92" i="14"/>
  <c r="I70" i="14"/>
  <c r="L74" i="15"/>
  <c r="N32" i="16"/>
  <c r="L80" i="16"/>
  <c r="N80" i="16" s="1"/>
  <c r="M13" i="2"/>
  <c r="K15" i="2"/>
  <c r="K63" i="2"/>
  <c r="M63" i="2" s="1"/>
  <c r="N92" i="2"/>
  <c r="N41" i="2"/>
  <c r="K18" i="2"/>
  <c r="M18" i="2" s="1"/>
  <c r="K34" i="2"/>
  <c r="K50" i="2"/>
  <c r="M50" i="2" s="1"/>
  <c r="K66" i="2"/>
  <c r="M66" i="2" s="1"/>
  <c r="K52" i="2"/>
  <c r="M52" i="2" s="1"/>
  <c r="K7" i="2"/>
  <c r="M7" i="2" s="1"/>
  <c r="K23" i="2"/>
  <c r="K39" i="2"/>
  <c r="M39" i="2" s="1"/>
  <c r="K55" i="2"/>
  <c r="K71" i="2"/>
  <c r="M71" i="2" s="1"/>
  <c r="K87" i="2"/>
  <c r="J82" i="5"/>
  <c r="L7" i="8"/>
  <c r="L81" i="16"/>
  <c r="J72" i="18"/>
  <c r="K36" i="2"/>
  <c r="M36" i="2" s="1"/>
  <c r="M86" i="2"/>
  <c r="N86" i="2"/>
  <c r="N12" i="2"/>
  <c r="N44" i="2"/>
  <c r="K8" i="2"/>
  <c r="M8" i="2" s="1"/>
  <c r="K24" i="2"/>
  <c r="M24" i="2" s="1"/>
  <c r="K40" i="2"/>
  <c r="M40" i="2" s="1"/>
  <c r="K56" i="2"/>
  <c r="K72" i="2"/>
  <c r="K88" i="2"/>
  <c r="M88" i="2" s="1"/>
  <c r="J40" i="5"/>
  <c r="K82" i="5"/>
  <c r="L18" i="6"/>
  <c r="N18" i="6" s="1"/>
  <c r="L40" i="6"/>
  <c r="L47" i="7"/>
  <c r="J24" i="8"/>
  <c r="L10" i="9"/>
  <c r="L24" i="10"/>
  <c r="N24" i="10" s="1"/>
  <c r="L39" i="10"/>
  <c r="N39" i="10" s="1"/>
  <c r="L66" i="10"/>
  <c r="N66" i="10" s="1"/>
  <c r="L77" i="10"/>
  <c r="N77" i="10" s="1"/>
  <c r="L13" i="11"/>
  <c r="L51" i="11"/>
  <c r="L79" i="11"/>
  <c r="N8" i="13"/>
  <c r="L23" i="13"/>
  <c r="N23" i="13" s="1"/>
  <c r="N87" i="13"/>
  <c r="L7" i="14"/>
  <c r="L39" i="14"/>
  <c r="L87" i="14"/>
  <c r="L5" i="15"/>
  <c r="L32" i="16"/>
  <c r="L49" i="16"/>
  <c r="K82" i="16"/>
  <c r="J45" i="17"/>
  <c r="J88" i="18"/>
  <c r="I58" i="18"/>
  <c r="N58" i="18" s="1"/>
  <c r="J49" i="18"/>
  <c r="J45" i="18"/>
  <c r="L7" i="18"/>
  <c r="L74" i="18"/>
  <c r="L5" i="18"/>
  <c r="N5" i="18" s="1"/>
  <c r="I16" i="18"/>
  <c r="L2" i="18"/>
  <c r="N2" i="18" s="1"/>
  <c r="L18" i="18"/>
  <c r="L15" i="18"/>
  <c r="L3" i="18"/>
  <c r="L85" i="18"/>
  <c r="L34" i="18"/>
  <c r="L82" i="18"/>
  <c r="L58" i="18"/>
  <c r="L45" i="18"/>
  <c r="L83" i="18"/>
  <c r="N83" i="18" s="1"/>
  <c r="L47" i="18"/>
  <c r="N47" i="18" s="1"/>
  <c r="L87" i="18"/>
  <c r="N87" i="18" s="1"/>
  <c r="L63" i="18"/>
  <c r="N63" i="18" s="1"/>
  <c r="K47" i="18"/>
  <c r="M47" i="18" s="1"/>
  <c r="K7" i="18"/>
  <c r="L70" i="18"/>
  <c r="N18" i="18"/>
  <c r="L32" i="18"/>
  <c r="N32" i="18" s="1"/>
  <c r="L22" i="18"/>
  <c r="L48" i="18"/>
  <c r="L59" i="18"/>
  <c r="N59" i="18" s="1"/>
  <c r="J37" i="18"/>
  <c r="L8" i="18"/>
  <c r="N8" i="18" s="1"/>
  <c r="L23" i="18"/>
  <c r="N23" i="18" s="1"/>
  <c r="L10" i="18"/>
  <c r="L50" i="18"/>
  <c r="N50" i="18" s="1"/>
  <c r="L42" i="18"/>
  <c r="N42" i="18" s="1"/>
  <c r="L77" i="18"/>
  <c r="N77" i="18" s="1"/>
  <c r="L72" i="18"/>
  <c r="N72" i="18" s="1"/>
  <c r="L26" i="18"/>
  <c r="N26" i="18" s="1"/>
  <c r="L79" i="18"/>
  <c r="L93" i="18"/>
  <c r="N93" i="18" s="1"/>
  <c r="L53" i="18"/>
  <c r="N53" i="18" s="1"/>
  <c r="L66" i="18"/>
  <c r="N66" i="18" s="1"/>
  <c r="J34" i="18"/>
  <c r="J10" i="18"/>
  <c r="J24" i="18"/>
  <c r="J69" i="18"/>
  <c r="J94" i="18"/>
  <c r="K10" i="18"/>
  <c r="J18" i="18"/>
  <c r="L24" i="18"/>
  <c r="N24" i="18" s="1"/>
  <c r="J61" i="18"/>
  <c r="L69" i="18"/>
  <c r="N69" i="18" s="1"/>
  <c r="L94" i="18"/>
  <c r="I45" i="18"/>
  <c r="N45" i="18" s="1"/>
  <c r="L61" i="18"/>
  <c r="I70" i="18"/>
  <c r="N92" i="18"/>
  <c r="L35" i="18"/>
  <c r="I88" i="18"/>
  <c r="K95" i="18"/>
  <c r="M95" i="18" s="1"/>
  <c r="J85" i="18"/>
  <c r="L11" i="18"/>
  <c r="N11" i="18" s="1"/>
  <c r="I21" i="18"/>
  <c r="L37" i="18"/>
  <c r="L95" i="18"/>
  <c r="N95" i="18" s="1"/>
  <c r="K23" i="18"/>
  <c r="M23" i="18" s="1"/>
  <c r="J42" i="18"/>
  <c r="I10" i="18"/>
  <c r="K34" i="18"/>
  <c r="I94" i="18"/>
  <c r="J13" i="18"/>
  <c r="J21" i="18"/>
  <c r="L55" i="18"/>
  <c r="I64" i="18"/>
  <c r="L80" i="18"/>
  <c r="J16" i="18"/>
  <c r="I34" i="18"/>
  <c r="K13" i="18"/>
  <c r="L21" i="18"/>
  <c r="L46" i="18"/>
  <c r="N46" i="18" s="1"/>
  <c r="J64" i="18"/>
  <c r="K71" i="18"/>
  <c r="M71" i="18" s="1"/>
  <c r="I82" i="18"/>
  <c r="J96" i="18"/>
  <c r="K58" i="18"/>
  <c r="M58" i="18" s="1"/>
  <c r="L13" i="18"/>
  <c r="I22" i="18"/>
  <c r="L29" i="18"/>
  <c r="L39" i="18"/>
  <c r="L71" i="18"/>
  <c r="N71" i="18" s="1"/>
  <c r="J82" i="18"/>
  <c r="J90" i="18"/>
  <c r="L96" i="18"/>
  <c r="N96" i="18" s="1"/>
  <c r="L31" i="18"/>
  <c r="I40" i="18"/>
  <c r="L56" i="18"/>
  <c r="N56" i="18" s="1"/>
  <c r="K82" i="18"/>
  <c r="L90" i="18"/>
  <c r="N90" i="18" s="1"/>
  <c r="I37" i="18"/>
  <c r="I13" i="18"/>
  <c r="I55" i="18"/>
  <c r="I31" i="18"/>
  <c r="I85" i="18"/>
  <c r="N39" i="18"/>
  <c r="I7" i="18"/>
  <c r="I61" i="18"/>
  <c r="I79" i="18"/>
  <c r="N76" i="18"/>
  <c r="K15" i="18"/>
  <c r="K2" i="18"/>
  <c r="M2" i="18" s="1"/>
  <c r="K29" i="18"/>
  <c r="M29" i="18" s="1"/>
  <c r="K45" i="18"/>
  <c r="N74" i="18"/>
  <c r="I3" i="18"/>
  <c r="K8" i="18"/>
  <c r="M8" i="18" s="1"/>
  <c r="K16" i="18"/>
  <c r="M16" i="18" s="1"/>
  <c r="I19" i="18"/>
  <c r="K24" i="18"/>
  <c r="M24" i="18" s="1"/>
  <c r="I27" i="18"/>
  <c r="K32" i="18"/>
  <c r="M32" i="18" s="1"/>
  <c r="K40" i="18"/>
  <c r="I43" i="18"/>
  <c r="K48" i="18"/>
  <c r="M48" i="18" s="1"/>
  <c r="I51" i="18"/>
  <c r="M53" i="18"/>
  <c r="K56" i="18"/>
  <c r="M56" i="18" s="1"/>
  <c r="K64" i="18"/>
  <c r="I67" i="18"/>
  <c r="K72" i="18"/>
  <c r="M72" i="18" s="1"/>
  <c r="I75" i="18"/>
  <c r="K80" i="18"/>
  <c r="M80" i="18" s="1"/>
  <c r="K88" i="18"/>
  <c r="I91" i="18"/>
  <c r="K96" i="18"/>
  <c r="M96" i="18" s="1"/>
  <c r="J3" i="18"/>
  <c r="L16" i="18"/>
  <c r="J27" i="18"/>
  <c r="N29" i="18"/>
  <c r="L40" i="18"/>
  <c r="J51" i="18"/>
  <c r="L64" i="18"/>
  <c r="N64" i="18" s="1"/>
  <c r="J75" i="18"/>
  <c r="L88" i="18"/>
  <c r="K74" i="18"/>
  <c r="M74" i="18" s="1"/>
  <c r="K3" i="18"/>
  <c r="K11" i="18"/>
  <c r="M11" i="18" s="1"/>
  <c r="K19" i="18"/>
  <c r="K27" i="18"/>
  <c r="K35" i="18"/>
  <c r="M35" i="18" s="1"/>
  <c r="K43" i="18"/>
  <c r="K51" i="18"/>
  <c r="K59" i="18"/>
  <c r="M59" i="18" s="1"/>
  <c r="K67" i="18"/>
  <c r="K75" i="18"/>
  <c r="K83" i="18"/>
  <c r="M83" i="18" s="1"/>
  <c r="K91" i="18"/>
  <c r="K66" i="18"/>
  <c r="M66" i="18" s="1"/>
  <c r="J6" i="18"/>
  <c r="L19" i="18"/>
  <c r="L27" i="18"/>
  <c r="J30" i="18"/>
  <c r="L43" i="18"/>
  <c r="N48" i="18"/>
  <c r="L51" i="18"/>
  <c r="J54" i="18"/>
  <c r="L67" i="18"/>
  <c r="L75" i="18"/>
  <c r="J78" i="18"/>
  <c r="N80" i="18"/>
  <c r="L91" i="18"/>
  <c r="K77" i="18"/>
  <c r="M77" i="18" s="1"/>
  <c r="K6" i="18"/>
  <c r="M6" i="18" s="1"/>
  <c r="I9" i="18"/>
  <c r="K14" i="18"/>
  <c r="M14" i="18" s="1"/>
  <c r="K22" i="18"/>
  <c r="K30" i="18"/>
  <c r="M30" i="18" s="1"/>
  <c r="K38" i="18"/>
  <c r="M38" i="18" s="1"/>
  <c r="K46" i="18"/>
  <c r="M46" i="18" s="1"/>
  <c r="K54" i="18"/>
  <c r="M54" i="18" s="1"/>
  <c r="K62" i="18"/>
  <c r="M62" i="18" s="1"/>
  <c r="K70" i="18"/>
  <c r="K78" i="18"/>
  <c r="M78" i="18" s="1"/>
  <c r="K86" i="18"/>
  <c r="M86" i="18" s="1"/>
  <c r="K94" i="18"/>
  <c r="L6" i="18"/>
  <c r="N6" i="18" s="1"/>
  <c r="L14" i="18"/>
  <c r="N14" i="18" s="1"/>
  <c r="L30" i="18"/>
  <c r="N30" i="18" s="1"/>
  <c r="N35" i="18"/>
  <c r="L38" i="18"/>
  <c r="N38" i="18" s="1"/>
  <c r="L54" i="18"/>
  <c r="N54" i="18" s="1"/>
  <c r="L62" i="18"/>
  <c r="N62" i="18" s="1"/>
  <c r="L78" i="18"/>
  <c r="N78" i="18" s="1"/>
  <c r="L86" i="18"/>
  <c r="N86" i="18" s="1"/>
  <c r="K18" i="18"/>
  <c r="M18" i="18" s="1"/>
  <c r="K42" i="18"/>
  <c r="M42" i="18" s="1"/>
  <c r="K5" i="18"/>
  <c r="M5" i="18" s="1"/>
  <c r="K37" i="18"/>
  <c r="I4" i="18"/>
  <c r="K9" i="18"/>
  <c r="K17" i="18"/>
  <c r="M17" i="18" s="1"/>
  <c r="K25" i="18"/>
  <c r="M25" i="18" s="1"/>
  <c r="I28" i="18"/>
  <c r="K33" i="18"/>
  <c r="M33" i="18" s="1"/>
  <c r="K41" i="18"/>
  <c r="M41" i="18" s="1"/>
  <c r="K49" i="18"/>
  <c r="M49" i="18" s="1"/>
  <c r="I52" i="18"/>
  <c r="K57" i="18"/>
  <c r="M57" i="18" s="1"/>
  <c r="K65" i="18"/>
  <c r="M65" i="18" s="1"/>
  <c r="K73" i="18"/>
  <c r="M73" i="18" s="1"/>
  <c r="K81" i="18"/>
  <c r="M81" i="18" s="1"/>
  <c r="K89" i="18"/>
  <c r="M89" i="18" s="1"/>
  <c r="K97" i="18"/>
  <c r="M97" i="18" s="1"/>
  <c r="K55" i="18"/>
  <c r="K79" i="18"/>
  <c r="K87" i="18"/>
  <c r="M87" i="18" s="1"/>
  <c r="K26" i="18"/>
  <c r="M26" i="18" s="1"/>
  <c r="K50" i="18"/>
  <c r="M50" i="18" s="1"/>
  <c r="K21" i="18"/>
  <c r="K61" i="18"/>
  <c r="K69" i="18"/>
  <c r="M69" i="18" s="1"/>
  <c r="L9" i="18"/>
  <c r="L17" i="18"/>
  <c r="N17" i="18" s="1"/>
  <c r="L25" i="18"/>
  <c r="N25" i="18" s="1"/>
  <c r="L33" i="18"/>
  <c r="N33" i="18" s="1"/>
  <c r="L41" i="18"/>
  <c r="N41" i="18" s="1"/>
  <c r="L49" i="18"/>
  <c r="N49" i="18" s="1"/>
  <c r="L57" i="18"/>
  <c r="N57" i="18" s="1"/>
  <c r="L65" i="18"/>
  <c r="N65" i="18" s="1"/>
  <c r="L73" i="18"/>
  <c r="N73" i="18" s="1"/>
  <c r="L81" i="18"/>
  <c r="N81" i="18" s="1"/>
  <c r="L89" i="18"/>
  <c r="N89" i="18" s="1"/>
  <c r="L97" i="18"/>
  <c r="N97" i="18" s="1"/>
  <c r="K31" i="18"/>
  <c r="K93" i="18"/>
  <c r="M93" i="18" s="1"/>
  <c r="K4" i="18"/>
  <c r="K12" i="18"/>
  <c r="M12" i="18" s="1"/>
  <c r="I15" i="18"/>
  <c r="K20" i="18"/>
  <c r="M20" i="18" s="1"/>
  <c r="K28" i="18"/>
  <c r="K36" i="18"/>
  <c r="M36" i="18" s="1"/>
  <c r="K44" i="18"/>
  <c r="M44" i="18" s="1"/>
  <c r="K52" i="18"/>
  <c r="K60" i="18"/>
  <c r="M60" i="18" s="1"/>
  <c r="K68" i="18"/>
  <c r="M68" i="18" s="1"/>
  <c r="K76" i="18"/>
  <c r="M76" i="18" s="1"/>
  <c r="K84" i="18"/>
  <c r="M84" i="18" s="1"/>
  <c r="K92" i="18"/>
  <c r="M92" i="18" s="1"/>
  <c r="K39" i="18"/>
  <c r="M39" i="18" s="1"/>
  <c r="K63" i="18"/>
  <c r="M63" i="18" s="1"/>
  <c r="K90" i="18"/>
  <c r="M90" i="18" s="1"/>
  <c r="L4" i="18"/>
  <c r="L12" i="18"/>
  <c r="N12" i="18" s="1"/>
  <c r="L20" i="18"/>
  <c r="N20" i="18" s="1"/>
  <c r="L28" i="18"/>
  <c r="L36" i="18"/>
  <c r="N36" i="18" s="1"/>
  <c r="L44" i="18"/>
  <c r="N44" i="18" s="1"/>
  <c r="L52" i="18"/>
  <c r="L60" i="18"/>
  <c r="N60" i="18" s="1"/>
  <c r="L68" i="18"/>
  <c r="N68" i="18" s="1"/>
  <c r="L84" i="18"/>
  <c r="N84" i="18" s="1"/>
  <c r="I88" i="17"/>
  <c r="J72" i="17"/>
  <c r="J58" i="17"/>
  <c r="J48" i="17"/>
  <c r="J24" i="17"/>
  <c r="J21" i="17"/>
  <c r="L35" i="17"/>
  <c r="N35" i="17" s="1"/>
  <c r="L83" i="17"/>
  <c r="N83" i="17" s="1"/>
  <c r="L24" i="17"/>
  <c r="N24" i="17" s="1"/>
  <c r="L10" i="17"/>
  <c r="L58" i="17"/>
  <c r="L72" i="17"/>
  <c r="N72" i="17" s="1"/>
  <c r="L13" i="17"/>
  <c r="N13" i="17" s="1"/>
  <c r="L59" i="17"/>
  <c r="N59" i="17" s="1"/>
  <c r="L69" i="17"/>
  <c r="L34" i="17"/>
  <c r="N34" i="17" s="1"/>
  <c r="L48" i="17"/>
  <c r="N48" i="17" s="1"/>
  <c r="L18" i="17"/>
  <c r="N18" i="17" s="1"/>
  <c r="L90" i="17"/>
  <c r="N90" i="17" s="1"/>
  <c r="L74" i="17"/>
  <c r="N74" i="17" s="1"/>
  <c r="L5" i="17"/>
  <c r="L79" i="17"/>
  <c r="L66" i="17"/>
  <c r="N66" i="17" s="1"/>
  <c r="L53" i="17"/>
  <c r="N53" i="17" s="1"/>
  <c r="K47" i="17"/>
  <c r="M47" i="17" s="1"/>
  <c r="I10" i="17"/>
  <c r="M10" i="17" s="1"/>
  <c r="K10" i="17"/>
  <c r="K23" i="17"/>
  <c r="M23" i="17" s="1"/>
  <c r="K82" i="17"/>
  <c r="N92" i="17"/>
  <c r="J18" i="17"/>
  <c r="J42" i="17"/>
  <c r="L11" i="17"/>
  <c r="N11" i="17" s="1"/>
  <c r="I36" i="17"/>
  <c r="I37" i="17" s="1"/>
  <c r="I60" i="17"/>
  <c r="I61" i="17" s="1"/>
  <c r="L2" i="17"/>
  <c r="N2" i="17" s="1"/>
  <c r="J37" i="17"/>
  <c r="J61" i="17"/>
  <c r="I69" i="17"/>
  <c r="L85" i="17"/>
  <c r="L93" i="17"/>
  <c r="I84" i="17"/>
  <c r="I85" i="17" s="1"/>
  <c r="I93" i="17"/>
  <c r="N93" i="17" s="1"/>
  <c r="L26" i="17"/>
  <c r="N26" i="17" s="1"/>
  <c r="L50" i="17"/>
  <c r="N50" i="17" s="1"/>
  <c r="J85" i="17"/>
  <c r="J13" i="17"/>
  <c r="I21" i="17"/>
  <c r="L37" i="17"/>
  <c r="I45" i="17"/>
  <c r="L61" i="17"/>
  <c r="J69" i="17"/>
  <c r="L77" i="17"/>
  <c r="N77" i="17" s="1"/>
  <c r="L21" i="17"/>
  <c r="L31" i="17"/>
  <c r="L87" i="17"/>
  <c r="N87" i="17" s="1"/>
  <c r="K39" i="17"/>
  <c r="M39" i="17" s="1"/>
  <c r="L15" i="17"/>
  <c r="L39" i="17"/>
  <c r="N39" i="17" s="1"/>
  <c r="I64" i="17"/>
  <c r="N64" i="17" s="1"/>
  <c r="L80" i="17"/>
  <c r="N80" i="17" s="1"/>
  <c r="J88" i="17"/>
  <c r="K95" i="17"/>
  <c r="M95" i="17" s="1"/>
  <c r="L7" i="17"/>
  <c r="I22" i="17"/>
  <c r="L63" i="17"/>
  <c r="N63" i="17" s="1"/>
  <c r="I16" i="17"/>
  <c r="L32" i="17"/>
  <c r="I40" i="17"/>
  <c r="L56" i="17"/>
  <c r="N56" i="17" s="1"/>
  <c r="J64" i="17"/>
  <c r="I82" i="17"/>
  <c r="L95" i="17"/>
  <c r="N95" i="17" s="1"/>
  <c r="L45" i="17"/>
  <c r="L8" i="17"/>
  <c r="N8" i="17" s="1"/>
  <c r="J16" i="17"/>
  <c r="I34" i="17"/>
  <c r="J40" i="17"/>
  <c r="I58" i="17"/>
  <c r="L64" i="17"/>
  <c r="K71" i="17"/>
  <c r="M71" i="17" s="1"/>
  <c r="J82" i="17"/>
  <c r="L16" i="17"/>
  <c r="L40" i="17"/>
  <c r="L71" i="17"/>
  <c r="N71" i="17" s="1"/>
  <c r="J10" i="17"/>
  <c r="L23" i="17"/>
  <c r="N23" i="17" s="1"/>
  <c r="K34" i="17"/>
  <c r="L47" i="17"/>
  <c r="N47" i="17" s="1"/>
  <c r="K58" i="17"/>
  <c r="L82" i="17"/>
  <c r="L96" i="17"/>
  <c r="N96" i="17" s="1"/>
  <c r="I31" i="17"/>
  <c r="I55" i="17"/>
  <c r="I7" i="17"/>
  <c r="I79" i="17"/>
  <c r="M90" i="17"/>
  <c r="K31" i="17"/>
  <c r="K42" i="17"/>
  <c r="M42" i="17" s="1"/>
  <c r="K66" i="17"/>
  <c r="K21" i="17"/>
  <c r="K85" i="17"/>
  <c r="N10" i="17"/>
  <c r="N42" i="17"/>
  <c r="N58" i="17"/>
  <c r="I3" i="17"/>
  <c r="K8" i="17"/>
  <c r="M8" i="17" s="1"/>
  <c r="K16" i="17"/>
  <c r="I19" i="17"/>
  <c r="K24" i="17"/>
  <c r="M24" i="17" s="1"/>
  <c r="I27" i="17"/>
  <c r="K32" i="17"/>
  <c r="M32" i="17" s="1"/>
  <c r="K40" i="17"/>
  <c r="K48" i="17"/>
  <c r="M48" i="17" s="1"/>
  <c r="I51" i="17"/>
  <c r="M53" i="17"/>
  <c r="K56" i="17"/>
  <c r="M56" i="17" s="1"/>
  <c r="M61" i="17"/>
  <c r="K64" i="17"/>
  <c r="I67" i="17"/>
  <c r="K72" i="17"/>
  <c r="M72" i="17" s="1"/>
  <c r="I75" i="17"/>
  <c r="K80" i="17"/>
  <c r="M80" i="17" s="1"/>
  <c r="K88" i="17"/>
  <c r="M88" i="17" s="1"/>
  <c r="I91" i="17"/>
  <c r="K96" i="17"/>
  <c r="M96" i="17" s="1"/>
  <c r="K29" i="17"/>
  <c r="M29" i="17" s="1"/>
  <c r="J3" i="17"/>
  <c r="N5" i="17"/>
  <c r="J27" i="17"/>
  <c r="N29" i="17"/>
  <c r="J51" i="17"/>
  <c r="J75" i="17"/>
  <c r="L88" i="17"/>
  <c r="N88" i="17" s="1"/>
  <c r="K3" i="17"/>
  <c r="K11" i="17"/>
  <c r="M11" i="17" s="1"/>
  <c r="K19" i="17"/>
  <c r="K27" i="17"/>
  <c r="K35" i="17"/>
  <c r="M35" i="17" s="1"/>
  <c r="K43" i="17"/>
  <c r="M43" i="17" s="1"/>
  <c r="K51" i="17"/>
  <c r="K59" i="17"/>
  <c r="M59" i="17" s="1"/>
  <c r="K67" i="17"/>
  <c r="K75" i="17"/>
  <c r="K83" i="17"/>
  <c r="M83" i="17" s="1"/>
  <c r="K91" i="17"/>
  <c r="K26" i="17"/>
  <c r="M26" i="17" s="1"/>
  <c r="K93" i="17"/>
  <c r="L3" i="17"/>
  <c r="J6" i="17"/>
  <c r="L19" i="17"/>
  <c r="L27" i="17"/>
  <c r="J30" i="17"/>
  <c r="N32" i="17"/>
  <c r="L43" i="17"/>
  <c r="N43" i="17" s="1"/>
  <c r="L51" i="17"/>
  <c r="J54" i="17"/>
  <c r="L67" i="17"/>
  <c r="L75" i="17"/>
  <c r="J78" i="17"/>
  <c r="L91" i="17"/>
  <c r="K18" i="17"/>
  <c r="M18" i="17" s="1"/>
  <c r="K13" i="17"/>
  <c r="M13" i="17" s="1"/>
  <c r="K6" i="17"/>
  <c r="M6" i="17" s="1"/>
  <c r="I9" i="17"/>
  <c r="K14" i="17"/>
  <c r="M14" i="17" s="1"/>
  <c r="K22" i="17"/>
  <c r="K30" i="17"/>
  <c r="M30" i="17" s="1"/>
  <c r="K38" i="17"/>
  <c r="M38" i="17" s="1"/>
  <c r="K46" i="17"/>
  <c r="K54" i="17"/>
  <c r="M54" i="17" s="1"/>
  <c r="K62" i="17"/>
  <c r="M62" i="17" s="1"/>
  <c r="K70" i="17"/>
  <c r="M70" i="17" s="1"/>
  <c r="K78" i="17"/>
  <c r="M78" i="17" s="1"/>
  <c r="K86" i="17"/>
  <c r="M86" i="17" s="1"/>
  <c r="K94" i="17"/>
  <c r="M94" i="17" s="1"/>
  <c r="K63" i="17"/>
  <c r="M63" i="17" s="1"/>
  <c r="K79" i="17"/>
  <c r="K5" i="17"/>
  <c r="M5" i="17" s="1"/>
  <c r="K37" i="17"/>
  <c r="M66" i="17"/>
  <c r="K69" i="17"/>
  <c r="M69" i="17" s="1"/>
  <c r="L6" i="17"/>
  <c r="N6" i="17" s="1"/>
  <c r="L14" i="17"/>
  <c r="N14" i="17" s="1"/>
  <c r="L22" i="17"/>
  <c r="L30" i="17"/>
  <c r="N30" i="17" s="1"/>
  <c r="L38" i="17"/>
  <c r="N38" i="17" s="1"/>
  <c r="L46" i="17"/>
  <c r="N46" i="17" s="1"/>
  <c r="L54" i="17"/>
  <c r="N54" i="17" s="1"/>
  <c r="L62" i="17"/>
  <c r="N62" i="17" s="1"/>
  <c r="L70" i="17"/>
  <c r="N70" i="17" s="1"/>
  <c r="L78" i="17"/>
  <c r="N78" i="17" s="1"/>
  <c r="L86" i="17"/>
  <c r="N86" i="17" s="1"/>
  <c r="L94" i="17"/>
  <c r="N94" i="17" s="1"/>
  <c r="K7" i="17"/>
  <c r="K50" i="17"/>
  <c r="M50" i="17" s="1"/>
  <c r="K77" i="17"/>
  <c r="M77" i="17" s="1"/>
  <c r="I4" i="17"/>
  <c r="K9" i="17"/>
  <c r="K17" i="17"/>
  <c r="K25" i="17"/>
  <c r="M25" i="17" s="1"/>
  <c r="K33" i="17"/>
  <c r="M33" i="17" s="1"/>
  <c r="K41" i="17"/>
  <c r="M41" i="17" s="1"/>
  <c r="M46" i="17"/>
  <c r="K49" i="17"/>
  <c r="M49" i="17" s="1"/>
  <c r="K57" i="17"/>
  <c r="M57" i="17" s="1"/>
  <c r="K65" i="17"/>
  <c r="M65" i="17" s="1"/>
  <c r="K73" i="17"/>
  <c r="M73" i="17" s="1"/>
  <c r="I76" i="17"/>
  <c r="K81" i="17"/>
  <c r="M81" i="17" s="1"/>
  <c r="K89" i="17"/>
  <c r="M89" i="17" s="1"/>
  <c r="K97" i="17"/>
  <c r="M97" i="17" s="1"/>
  <c r="K87" i="17"/>
  <c r="M87" i="17" s="1"/>
  <c r="L9" i="17"/>
  <c r="L17" i="17"/>
  <c r="N17" i="17" s="1"/>
  <c r="L25" i="17"/>
  <c r="N25" i="17" s="1"/>
  <c r="L33" i="17"/>
  <c r="N33" i="17" s="1"/>
  <c r="L41" i="17"/>
  <c r="N41" i="17" s="1"/>
  <c r="L49" i="17"/>
  <c r="N49" i="17" s="1"/>
  <c r="L57" i="17"/>
  <c r="N57" i="17" s="1"/>
  <c r="L65" i="17"/>
  <c r="N65" i="17" s="1"/>
  <c r="L73" i="17"/>
  <c r="N73" i="17" s="1"/>
  <c r="L81" i="17"/>
  <c r="N81" i="17" s="1"/>
  <c r="L89" i="17"/>
  <c r="N89" i="17" s="1"/>
  <c r="L97" i="17"/>
  <c r="N97" i="17" s="1"/>
  <c r="K15" i="17"/>
  <c r="K55" i="17"/>
  <c r="K2" i="17"/>
  <c r="M2" i="17" s="1"/>
  <c r="K4" i="17"/>
  <c r="K12" i="17"/>
  <c r="M12" i="17" s="1"/>
  <c r="I15" i="17"/>
  <c r="M17" i="17"/>
  <c r="K20" i="17"/>
  <c r="M20" i="17" s="1"/>
  <c r="K28" i="17"/>
  <c r="M28" i="17" s="1"/>
  <c r="K36" i="17"/>
  <c r="K44" i="17"/>
  <c r="M44" i="17" s="1"/>
  <c r="K52" i="17"/>
  <c r="M52" i="17" s="1"/>
  <c r="K60" i="17"/>
  <c r="K68" i="17"/>
  <c r="M68" i="17" s="1"/>
  <c r="K76" i="17"/>
  <c r="K84" i="17"/>
  <c r="M84" i="17" s="1"/>
  <c r="K92" i="17"/>
  <c r="M92" i="17" s="1"/>
  <c r="K74" i="17"/>
  <c r="M74" i="17" s="1"/>
  <c r="K90" i="17"/>
  <c r="K45" i="17"/>
  <c r="L4" i="17"/>
  <c r="L12" i="17"/>
  <c r="N12" i="17" s="1"/>
  <c r="L20" i="17"/>
  <c r="N20" i="17" s="1"/>
  <c r="L28" i="17"/>
  <c r="N28" i="17" s="1"/>
  <c r="L36" i="17"/>
  <c r="L44" i="17"/>
  <c r="N44" i="17" s="1"/>
  <c r="L52" i="17"/>
  <c r="N52" i="17" s="1"/>
  <c r="L60" i="17"/>
  <c r="L68" i="17"/>
  <c r="N68" i="17" s="1"/>
  <c r="L84" i="17"/>
  <c r="J93" i="16"/>
  <c r="I94" i="16"/>
  <c r="N94" i="16" s="1"/>
  <c r="N92" i="16"/>
  <c r="I69" i="16"/>
  <c r="J66" i="16"/>
  <c r="I46" i="16"/>
  <c r="N44" i="16"/>
  <c r="L88" i="16"/>
  <c r="L65" i="16"/>
  <c r="N65" i="16" s="1"/>
  <c r="L50" i="16"/>
  <c r="N50" i="16" s="1"/>
  <c r="L39" i="16"/>
  <c r="L51" i="16"/>
  <c r="L66" i="16"/>
  <c r="N66" i="16" s="1"/>
  <c r="L67" i="16"/>
  <c r="L2" i="16"/>
  <c r="N2" i="16" s="1"/>
  <c r="L29" i="16"/>
  <c r="L3" i="16"/>
  <c r="L31" i="16"/>
  <c r="L17" i="16"/>
  <c r="N17" i="16" s="1"/>
  <c r="J90" i="16"/>
  <c r="L18" i="16"/>
  <c r="L7" i="16"/>
  <c r="K71" i="16"/>
  <c r="M71" i="16" s="1"/>
  <c r="K34" i="16"/>
  <c r="K95" i="16"/>
  <c r="M95" i="16" s="1"/>
  <c r="J10" i="16"/>
  <c r="L87" i="16"/>
  <c r="N87" i="16" s="1"/>
  <c r="N95" i="16"/>
  <c r="I97" i="16"/>
  <c r="J12" i="16"/>
  <c r="J19" i="16"/>
  <c r="I34" i="16"/>
  <c r="L40" i="16"/>
  <c r="J61" i="16"/>
  <c r="L73" i="16"/>
  <c r="J82" i="16"/>
  <c r="N23" i="16"/>
  <c r="J40" i="16"/>
  <c r="N72" i="16"/>
  <c r="I82" i="16"/>
  <c r="N82" i="16" s="1"/>
  <c r="L12" i="16"/>
  <c r="N12" i="16" s="1"/>
  <c r="L19" i="16"/>
  <c r="J24" i="16"/>
  <c r="J34" i="16"/>
  <c r="L46" i="16"/>
  <c r="N46" i="16" s="1"/>
  <c r="L53" i="16"/>
  <c r="N53" i="16" s="1"/>
  <c r="L61" i="16"/>
  <c r="J45" i="16"/>
  <c r="L5" i="16"/>
  <c r="N5" i="16" s="1"/>
  <c r="L24" i="16"/>
  <c r="N24" i="16" s="1"/>
  <c r="L55" i="16"/>
  <c r="L68" i="16"/>
  <c r="N68" i="16" s="1"/>
  <c r="L82" i="16"/>
  <c r="L89" i="16"/>
  <c r="N89" i="16" s="1"/>
  <c r="I40" i="16"/>
  <c r="M40" i="16" s="1"/>
  <c r="K7" i="16"/>
  <c r="L25" i="16"/>
  <c r="L34" i="16"/>
  <c r="L41" i="16"/>
  <c r="N41" i="16" s="1"/>
  <c r="L74" i="16"/>
  <c r="N74" i="16" s="1"/>
  <c r="I90" i="16"/>
  <c r="I91" i="16" s="1"/>
  <c r="L63" i="16"/>
  <c r="N63" i="16" s="1"/>
  <c r="N20" i="16"/>
  <c r="J42" i="16"/>
  <c r="K47" i="16"/>
  <c r="M47" i="16" s="1"/>
  <c r="L56" i="16"/>
  <c r="N56" i="16" s="1"/>
  <c r="I64" i="16"/>
  <c r="J69" i="16"/>
  <c r="L83" i="16"/>
  <c r="L90" i="16"/>
  <c r="I18" i="16"/>
  <c r="I19" i="16" s="1"/>
  <c r="M19" i="16" s="1"/>
  <c r="L15" i="16"/>
  <c r="I21" i="16"/>
  <c r="L26" i="16"/>
  <c r="N26" i="16" s="1"/>
  <c r="L35" i="16"/>
  <c r="N35" i="16" s="1"/>
  <c r="L42" i="16"/>
  <c r="N42" i="16" s="1"/>
  <c r="L47" i="16"/>
  <c r="N47" i="16" s="1"/>
  <c r="L57" i="16"/>
  <c r="L64" i="16"/>
  <c r="L69" i="16"/>
  <c r="N69" i="16" s="1"/>
  <c r="J84" i="16"/>
  <c r="J96" i="16"/>
  <c r="L8" i="16"/>
  <c r="I16" i="16"/>
  <c r="J21" i="16"/>
  <c r="L27" i="16"/>
  <c r="J36" i="16"/>
  <c r="I58" i="16"/>
  <c r="N58" i="16" s="1"/>
  <c r="L77" i="16"/>
  <c r="N77" i="16" s="1"/>
  <c r="L84" i="16"/>
  <c r="L91" i="16"/>
  <c r="L96" i="16"/>
  <c r="N96" i="16" s="1"/>
  <c r="I88" i="16"/>
  <c r="N88" i="16" s="1"/>
  <c r="L9" i="16"/>
  <c r="J16" i="16"/>
  <c r="L21" i="16"/>
  <c r="L36" i="16"/>
  <c r="N36" i="16" s="1"/>
  <c r="L43" i="16"/>
  <c r="N43" i="16" s="1"/>
  <c r="J48" i="16"/>
  <c r="J58" i="16"/>
  <c r="K79" i="16"/>
  <c r="M23" i="16"/>
  <c r="L75" i="16"/>
  <c r="I10" i="16"/>
  <c r="N10" i="16" s="1"/>
  <c r="L16" i="16"/>
  <c r="I22" i="16"/>
  <c r="N22" i="16" s="1"/>
  <c r="L48" i="16"/>
  <c r="N48" i="16" s="1"/>
  <c r="K58" i="16"/>
  <c r="L79" i="16"/>
  <c r="L85" i="16"/>
  <c r="L97" i="16"/>
  <c r="N97" i="16" s="1"/>
  <c r="N73" i="16"/>
  <c r="I13" i="16"/>
  <c r="I7" i="16"/>
  <c r="N76" i="16"/>
  <c r="I61" i="16"/>
  <c r="N60" i="16"/>
  <c r="I85" i="16"/>
  <c r="N84" i="16"/>
  <c r="I55" i="16"/>
  <c r="I79" i="16"/>
  <c r="N81" i="16"/>
  <c r="N39" i="16"/>
  <c r="M43" i="16"/>
  <c r="I31" i="16"/>
  <c r="N67" i="16"/>
  <c r="I37" i="16"/>
  <c r="K2" i="16"/>
  <c r="M2" i="16" s="1"/>
  <c r="K5" i="16"/>
  <c r="M5" i="16" s="1"/>
  <c r="K13" i="16"/>
  <c r="K21" i="16"/>
  <c r="M21" i="16" s="1"/>
  <c r="K29" i="16"/>
  <c r="M29" i="16" s="1"/>
  <c r="K37" i="16"/>
  <c r="K45" i="16"/>
  <c r="M45" i="16" s="1"/>
  <c r="K53" i="16"/>
  <c r="M53" i="16" s="1"/>
  <c r="K61" i="16"/>
  <c r="K69" i="16"/>
  <c r="K77" i="16"/>
  <c r="M77" i="16" s="1"/>
  <c r="K85" i="16"/>
  <c r="M90" i="16"/>
  <c r="K93" i="16"/>
  <c r="J64" i="16"/>
  <c r="J88" i="16"/>
  <c r="I3" i="16"/>
  <c r="K8" i="16"/>
  <c r="M8" i="16" s="1"/>
  <c r="K16" i="16"/>
  <c r="K24" i="16"/>
  <c r="M24" i="16" s="1"/>
  <c r="I27" i="16"/>
  <c r="K32" i="16"/>
  <c r="M32" i="16" s="1"/>
  <c r="K40" i="16"/>
  <c r="K48" i="16"/>
  <c r="M48" i="16" s="1"/>
  <c r="I51" i="16"/>
  <c r="K56" i="16"/>
  <c r="M56" i="16" s="1"/>
  <c r="K64" i="16"/>
  <c r="M64" i="16" s="1"/>
  <c r="K72" i="16"/>
  <c r="M72" i="16" s="1"/>
  <c r="I75" i="16"/>
  <c r="K80" i="16"/>
  <c r="M80" i="16" s="1"/>
  <c r="K88" i="16"/>
  <c r="M93" i="16"/>
  <c r="K96" i="16"/>
  <c r="M96" i="16" s="1"/>
  <c r="J3" i="16"/>
  <c r="J27" i="16"/>
  <c r="N29" i="16"/>
  <c r="J51" i="16"/>
  <c r="J75" i="16"/>
  <c r="K55" i="16"/>
  <c r="K87" i="16"/>
  <c r="M87" i="16" s="1"/>
  <c r="K18" i="16"/>
  <c r="K3" i="16"/>
  <c r="K11" i="16"/>
  <c r="M11" i="16" s="1"/>
  <c r="K19" i="16"/>
  <c r="K27" i="16"/>
  <c r="K35" i="16"/>
  <c r="M35" i="16" s="1"/>
  <c r="K43" i="16"/>
  <c r="K51" i="16"/>
  <c r="K59" i="16"/>
  <c r="M59" i="16" s="1"/>
  <c r="K67" i="16"/>
  <c r="M67" i="16" s="1"/>
  <c r="K75" i="16"/>
  <c r="K83" i="16"/>
  <c r="M83" i="16" s="1"/>
  <c r="K91" i="16"/>
  <c r="K26" i="16"/>
  <c r="M26" i="16" s="1"/>
  <c r="K42" i="16"/>
  <c r="M42" i="16" s="1"/>
  <c r="K66" i="16"/>
  <c r="M66" i="16" s="1"/>
  <c r="K74" i="16"/>
  <c r="M74" i="16" s="1"/>
  <c r="K6" i="16"/>
  <c r="M6" i="16" s="1"/>
  <c r="I9" i="16"/>
  <c r="K14" i="16"/>
  <c r="M14" i="16" s="1"/>
  <c r="K22" i="16"/>
  <c r="I25" i="16"/>
  <c r="K30" i="16"/>
  <c r="M30" i="16" s="1"/>
  <c r="I33" i="16"/>
  <c r="K38" i="16"/>
  <c r="M38" i="16" s="1"/>
  <c r="K46" i="16"/>
  <c r="M46" i="16" s="1"/>
  <c r="I49" i="16"/>
  <c r="K54" i="16"/>
  <c r="M54" i="16" s="1"/>
  <c r="I57" i="16"/>
  <c r="K62" i="16"/>
  <c r="M62" i="16" s="1"/>
  <c r="K70" i="16"/>
  <c r="M70" i="16" s="1"/>
  <c r="K78" i="16"/>
  <c r="M78" i="16" s="1"/>
  <c r="K86" i="16"/>
  <c r="M86" i="16" s="1"/>
  <c r="K94" i="16"/>
  <c r="K15" i="16"/>
  <c r="K50" i="16"/>
  <c r="M50" i="16" s="1"/>
  <c r="N8" i="16"/>
  <c r="J30" i="16"/>
  <c r="J54" i="16"/>
  <c r="J78" i="16"/>
  <c r="L6" i="16"/>
  <c r="N6" i="16" s="1"/>
  <c r="N11" i="16"/>
  <c r="L14" i="16"/>
  <c r="N14" i="16" s="1"/>
  <c r="L30" i="16"/>
  <c r="N30" i="16" s="1"/>
  <c r="L38" i="16"/>
  <c r="N38" i="16" s="1"/>
  <c r="L54" i="16"/>
  <c r="N54" i="16" s="1"/>
  <c r="N59" i="16"/>
  <c r="L62" i="16"/>
  <c r="N62" i="16" s="1"/>
  <c r="L70" i="16"/>
  <c r="N70" i="16" s="1"/>
  <c r="L78" i="16"/>
  <c r="N78" i="16" s="1"/>
  <c r="N83" i="16"/>
  <c r="L86" i="16"/>
  <c r="N86" i="16" s="1"/>
  <c r="K31" i="16"/>
  <c r="J6" i="16"/>
  <c r="I4" i="16"/>
  <c r="K9" i="16"/>
  <c r="K17" i="16"/>
  <c r="K25" i="16"/>
  <c r="K33" i="16"/>
  <c r="K41" i="16"/>
  <c r="M41" i="16" s="1"/>
  <c r="K49" i="16"/>
  <c r="K57" i="16"/>
  <c r="K65" i="16"/>
  <c r="K73" i="16"/>
  <c r="M73" i="16" s="1"/>
  <c r="K81" i="16"/>
  <c r="M81" i="16" s="1"/>
  <c r="K89" i="16"/>
  <c r="M89" i="16" s="1"/>
  <c r="K97" i="16"/>
  <c r="K63" i="16"/>
  <c r="M63" i="16" s="1"/>
  <c r="K4" i="16"/>
  <c r="K12" i="16"/>
  <c r="M12" i="16" s="1"/>
  <c r="I15" i="16"/>
  <c r="M17" i="16"/>
  <c r="K20" i="16"/>
  <c r="M20" i="16" s="1"/>
  <c r="K28" i="16"/>
  <c r="M28" i="16" s="1"/>
  <c r="K36" i="16"/>
  <c r="M36" i="16" s="1"/>
  <c r="K44" i="16"/>
  <c r="M44" i="16" s="1"/>
  <c r="K52" i="16"/>
  <c r="M52" i="16" s="1"/>
  <c r="K60" i="16"/>
  <c r="M60" i="16" s="1"/>
  <c r="M65" i="16"/>
  <c r="K68" i="16"/>
  <c r="M68" i="16" s="1"/>
  <c r="K76" i="16"/>
  <c r="M76" i="16" s="1"/>
  <c r="K84" i="16"/>
  <c r="M84" i="16" s="1"/>
  <c r="K39" i="16"/>
  <c r="M39" i="16" s="1"/>
  <c r="L4" i="16"/>
  <c r="L28" i="16"/>
  <c r="N28" i="16" s="1"/>
  <c r="L52" i="16"/>
  <c r="N52" i="16" s="1"/>
  <c r="J37" i="15"/>
  <c r="J34" i="15"/>
  <c r="J18" i="15"/>
  <c r="K71" i="15"/>
  <c r="M71" i="15" s="1"/>
  <c r="J75" i="14"/>
  <c r="I75" i="14"/>
  <c r="N71" i="14"/>
  <c r="J70" i="14"/>
  <c r="J58" i="14"/>
  <c r="J54" i="14"/>
  <c r="J51" i="14"/>
  <c r="J48" i="14"/>
  <c r="J6" i="14"/>
  <c r="I3" i="14"/>
  <c r="M3" i="14" s="1"/>
  <c r="K3" i="14"/>
  <c r="K19" i="14"/>
  <c r="M19" i="14" s="1"/>
  <c r="L71" i="15"/>
  <c r="N71" i="15" s="1"/>
  <c r="L13" i="15"/>
  <c r="L21" i="15"/>
  <c r="I40" i="15"/>
  <c r="J72" i="15"/>
  <c r="L83" i="15"/>
  <c r="N83" i="15" s="1"/>
  <c r="I93" i="15"/>
  <c r="I22" i="15"/>
  <c r="M22" i="15" s="1"/>
  <c r="J40" i="15"/>
  <c r="K47" i="15"/>
  <c r="M47" i="15" s="1"/>
  <c r="J58" i="15"/>
  <c r="J66" i="15"/>
  <c r="J85" i="15"/>
  <c r="J93" i="15"/>
  <c r="L7" i="15"/>
  <c r="J22" i="15"/>
  <c r="L47" i="15"/>
  <c r="N47" i="15" s="1"/>
  <c r="K58" i="15"/>
  <c r="L66" i="15"/>
  <c r="N66" i="15" s="1"/>
  <c r="L85" i="15"/>
  <c r="L93" i="15"/>
  <c r="I21" i="15"/>
  <c r="N21" i="15" s="1"/>
  <c r="L58" i="15"/>
  <c r="N58" i="15" s="1"/>
  <c r="L9" i="15"/>
  <c r="L23" i="15"/>
  <c r="N23" i="15" s="1"/>
  <c r="K34" i="15"/>
  <c r="L42" i="15"/>
  <c r="L59" i="15"/>
  <c r="N59" i="15" s="1"/>
  <c r="I69" i="15"/>
  <c r="L77" i="15"/>
  <c r="N77" i="15" s="1"/>
  <c r="I88" i="15"/>
  <c r="L11" i="15"/>
  <c r="N11" i="15" s="1"/>
  <c r="L82" i="15"/>
  <c r="N82" i="15" s="1"/>
  <c r="L12" i="15"/>
  <c r="J48" i="15"/>
  <c r="L8" i="15"/>
  <c r="K23" i="15"/>
  <c r="M23" i="15" s="1"/>
  <c r="J42" i="15"/>
  <c r="L48" i="15"/>
  <c r="N48" i="15" s="1"/>
  <c r="I10" i="15"/>
  <c r="L34" i="15"/>
  <c r="N34" i="15" s="1"/>
  <c r="J61" i="15"/>
  <c r="J69" i="15"/>
  <c r="L79" i="15"/>
  <c r="J88" i="15"/>
  <c r="K95" i="15"/>
  <c r="M95" i="15" s="1"/>
  <c r="L45" i="15"/>
  <c r="N45" i="15" s="1"/>
  <c r="L32" i="15"/>
  <c r="N32" i="15" s="1"/>
  <c r="L87" i="15"/>
  <c r="J10" i="15"/>
  <c r="J24" i="15"/>
  <c r="L50" i="15"/>
  <c r="N50" i="15" s="1"/>
  <c r="L61" i="15"/>
  <c r="L69" i="15"/>
  <c r="L95" i="15"/>
  <c r="N95" i="15" s="1"/>
  <c r="M92" i="15"/>
  <c r="K10" i="15"/>
  <c r="L24" i="15"/>
  <c r="N24" i="15" s="1"/>
  <c r="L37" i="15"/>
  <c r="J13" i="15"/>
  <c r="L56" i="15"/>
  <c r="N56" i="15" s="1"/>
  <c r="L10" i="15"/>
  <c r="L18" i="15"/>
  <c r="N18" i="15" s="1"/>
  <c r="L35" i="15"/>
  <c r="N35" i="15" s="1"/>
  <c r="J96" i="15"/>
  <c r="I22" i="14"/>
  <c r="N22" i="14" s="1"/>
  <c r="J30" i="14"/>
  <c r="J40" i="14"/>
  <c r="J10" i="14"/>
  <c r="J18" i="14"/>
  <c r="J72" i="14"/>
  <c r="L10" i="14"/>
  <c r="L23" i="14"/>
  <c r="N23" i="14" s="1"/>
  <c r="L32" i="14"/>
  <c r="N32" i="14" s="1"/>
  <c r="J66" i="14"/>
  <c r="L72" i="14"/>
  <c r="N72" i="14" s="1"/>
  <c r="L33" i="14"/>
  <c r="N33" i="14" s="1"/>
  <c r="J42" i="14"/>
  <c r="L47" i="14"/>
  <c r="N47" i="14" s="1"/>
  <c r="L56" i="14"/>
  <c r="L83" i="14"/>
  <c r="N83" i="14" s="1"/>
  <c r="J24" i="14"/>
  <c r="J34" i="14"/>
  <c r="L57" i="14"/>
  <c r="N57" i="14" s="1"/>
  <c r="L85" i="14"/>
  <c r="J94" i="14"/>
  <c r="L58" i="14"/>
  <c r="L11" i="14"/>
  <c r="N11" i="14" s="1"/>
  <c r="L35" i="14"/>
  <c r="N35" i="14" s="1"/>
  <c r="L44" i="14"/>
  <c r="N44" i="14" s="1"/>
  <c r="L88" i="14"/>
  <c r="L24" i="14"/>
  <c r="N24" i="14" s="1"/>
  <c r="L34" i="14"/>
  <c r="L25" i="14"/>
  <c r="L13" i="14"/>
  <c r="L20" i="14"/>
  <c r="N20" i="14" s="1"/>
  <c r="L49" i="14"/>
  <c r="L95" i="14"/>
  <c r="N95" i="14" s="1"/>
  <c r="K5" i="14"/>
  <c r="M5" i="14" s="1"/>
  <c r="I21" i="14"/>
  <c r="N21" i="14" s="1"/>
  <c r="I27" i="14"/>
  <c r="L36" i="14"/>
  <c r="L59" i="14"/>
  <c r="L69" i="14"/>
  <c r="N69" i="14" s="1"/>
  <c r="J96" i="14"/>
  <c r="L12" i="14"/>
  <c r="L48" i="14"/>
  <c r="N48" i="14" s="1"/>
  <c r="L15" i="14"/>
  <c r="K27" i="14"/>
  <c r="L37" i="14"/>
  <c r="I51" i="14"/>
  <c r="L61" i="14"/>
  <c r="J78" i="14"/>
  <c r="L96" i="14"/>
  <c r="N96" i="14" s="1"/>
  <c r="I31" i="15"/>
  <c r="N39" i="15"/>
  <c r="I85" i="15"/>
  <c r="I7" i="15"/>
  <c r="N76" i="15"/>
  <c r="I79" i="15"/>
  <c r="M78" i="15"/>
  <c r="N87" i="15"/>
  <c r="I61" i="15"/>
  <c r="I37" i="15"/>
  <c r="I55" i="15"/>
  <c r="N63" i="15"/>
  <c r="N12" i="15"/>
  <c r="I13" i="15"/>
  <c r="K5" i="15"/>
  <c r="M5" i="15" s="1"/>
  <c r="K13" i="15"/>
  <c r="K21" i="15"/>
  <c r="K29" i="15"/>
  <c r="M29" i="15" s="1"/>
  <c r="M34" i="15"/>
  <c r="K37" i="15"/>
  <c r="K45" i="15"/>
  <c r="M45" i="15" s="1"/>
  <c r="K53" i="15"/>
  <c r="M53" i="15" s="1"/>
  <c r="M58" i="15"/>
  <c r="K61" i="15"/>
  <c r="M66" i="15"/>
  <c r="K69" i="15"/>
  <c r="K77" i="15"/>
  <c r="M77" i="15" s="1"/>
  <c r="M82" i="15"/>
  <c r="K85" i="15"/>
  <c r="K93" i="15"/>
  <c r="K90" i="15"/>
  <c r="M90" i="15" s="1"/>
  <c r="N26" i="15"/>
  <c r="N42" i="15"/>
  <c r="N74" i="15"/>
  <c r="I3" i="15"/>
  <c r="K8" i="15"/>
  <c r="M8" i="15" s="1"/>
  <c r="K16" i="15"/>
  <c r="M16" i="15" s="1"/>
  <c r="K24" i="15"/>
  <c r="M24" i="15" s="1"/>
  <c r="I27" i="15"/>
  <c r="K32" i="15"/>
  <c r="M32" i="15" s="1"/>
  <c r="K40" i="15"/>
  <c r="K48" i="15"/>
  <c r="M48" i="15" s="1"/>
  <c r="I51" i="15"/>
  <c r="K56" i="15"/>
  <c r="M56" i="15" s="1"/>
  <c r="K64" i="15"/>
  <c r="M64" i="15" s="1"/>
  <c r="K72" i="15"/>
  <c r="M72" i="15" s="1"/>
  <c r="I75" i="15"/>
  <c r="K80" i="15"/>
  <c r="M80" i="15" s="1"/>
  <c r="K88" i="15"/>
  <c r="M88" i="15" s="1"/>
  <c r="I91" i="15"/>
  <c r="K96" i="15"/>
  <c r="M96" i="15" s="1"/>
  <c r="J3" i="15"/>
  <c r="N5" i="15"/>
  <c r="L16" i="15"/>
  <c r="N16" i="15" s="1"/>
  <c r="J27" i="15"/>
  <c r="N29" i="15"/>
  <c r="L40" i="15"/>
  <c r="J51" i="15"/>
  <c r="N53" i="15"/>
  <c r="L64" i="15"/>
  <c r="N64" i="15" s="1"/>
  <c r="L72" i="15"/>
  <c r="N72" i="15" s="1"/>
  <c r="J75" i="15"/>
  <c r="L80" i="15"/>
  <c r="N80" i="15" s="1"/>
  <c r="L88" i="15"/>
  <c r="N88" i="15" s="1"/>
  <c r="L96" i="15"/>
  <c r="N96" i="15" s="1"/>
  <c r="K11" i="15"/>
  <c r="M11" i="15" s="1"/>
  <c r="K19" i="15"/>
  <c r="M19" i="15" s="1"/>
  <c r="K27" i="15"/>
  <c r="K35" i="15"/>
  <c r="K43" i="15"/>
  <c r="M43" i="15" s="1"/>
  <c r="K51" i="15"/>
  <c r="K59" i="15"/>
  <c r="M59" i="15" s="1"/>
  <c r="K67" i="15"/>
  <c r="M67" i="15" s="1"/>
  <c r="K75" i="15"/>
  <c r="K83" i="15"/>
  <c r="M83" i="15" s="1"/>
  <c r="K91" i="15"/>
  <c r="L3" i="15"/>
  <c r="J30" i="15"/>
  <c r="J54" i="15"/>
  <c r="L67" i="15"/>
  <c r="N67" i="15" s="1"/>
  <c r="L91" i="15"/>
  <c r="K6" i="15"/>
  <c r="M6" i="15" s="1"/>
  <c r="I9" i="15"/>
  <c r="K14" i="15"/>
  <c r="K22" i="15"/>
  <c r="I25" i="15"/>
  <c r="K30" i="15"/>
  <c r="M30" i="15" s="1"/>
  <c r="I33" i="15"/>
  <c r="M35" i="15"/>
  <c r="K38" i="15"/>
  <c r="M38" i="15" s="1"/>
  <c r="K46" i="15"/>
  <c r="M46" i="15" s="1"/>
  <c r="I49" i="15"/>
  <c r="K54" i="15"/>
  <c r="M54" i="15" s="1"/>
  <c r="I57" i="15"/>
  <c r="K62" i="15"/>
  <c r="M62" i="15" s="1"/>
  <c r="K70" i="15"/>
  <c r="M70" i="15" s="1"/>
  <c r="I73" i="15"/>
  <c r="K78" i="15"/>
  <c r="I81" i="15"/>
  <c r="K86" i="15"/>
  <c r="M86" i="15" s="1"/>
  <c r="K94" i="15"/>
  <c r="M94" i="15" s="1"/>
  <c r="K7" i="15"/>
  <c r="K15" i="15"/>
  <c r="K31" i="15"/>
  <c r="K55" i="15"/>
  <c r="K63" i="15"/>
  <c r="M63" i="15" s="1"/>
  <c r="K79" i="15"/>
  <c r="K50" i="15"/>
  <c r="M50" i="15" s="1"/>
  <c r="K3" i="15"/>
  <c r="N8" i="15"/>
  <c r="L75" i="15"/>
  <c r="L6" i="15"/>
  <c r="N6" i="15" s="1"/>
  <c r="L14" i="15"/>
  <c r="L22" i="15"/>
  <c r="L30" i="15"/>
  <c r="N30" i="15" s="1"/>
  <c r="L38" i="15"/>
  <c r="N38" i="15" s="1"/>
  <c r="L46" i="15"/>
  <c r="N46" i="15" s="1"/>
  <c r="L54" i="15"/>
  <c r="N54" i="15" s="1"/>
  <c r="L62" i="15"/>
  <c r="N62" i="15" s="1"/>
  <c r="L70" i="15"/>
  <c r="N70" i="15" s="1"/>
  <c r="L78" i="15"/>
  <c r="N78" i="15" s="1"/>
  <c r="L86" i="15"/>
  <c r="N86" i="15" s="1"/>
  <c r="L94" i="15"/>
  <c r="N94" i="15" s="1"/>
  <c r="K18" i="15"/>
  <c r="M18" i="15" s="1"/>
  <c r="L51" i="15"/>
  <c r="J78" i="15"/>
  <c r="I4" i="15"/>
  <c r="K9" i="15"/>
  <c r="M14" i="15"/>
  <c r="K17" i="15"/>
  <c r="M17" i="15" s="1"/>
  <c r="K25" i="15"/>
  <c r="K33" i="15"/>
  <c r="K41" i="15"/>
  <c r="M41" i="15" s="1"/>
  <c r="K49" i="15"/>
  <c r="K57" i="15"/>
  <c r="K65" i="15"/>
  <c r="M65" i="15" s="1"/>
  <c r="K73" i="15"/>
  <c r="K81" i="15"/>
  <c r="K89" i="15"/>
  <c r="M89" i="15" s="1"/>
  <c r="K97" i="15"/>
  <c r="M97" i="15" s="1"/>
  <c r="K39" i="15"/>
  <c r="M39" i="15" s="1"/>
  <c r="K87" i="15"/>
  <c r="M87" i="15" s="1"/>
  <c r="K42" i="15"/>
  <c r="M42" i="15" s="1"/>
  <c r="J6" i="15"/>
  <c r="N14" i="15"/>
  <c r="L17" i="15"/>
  <c r="N17" i="15" s="1"/>
  <c r="L25" i="15"/>
  <c r="L33" i="15"/>
  <c r="L41" i="15"/>
  <c r="N41" i="15" s="1"/>
  <c r="L49" i="15"/>
  <c r="L57" i="15"/>
  <c r="L65" i="15"/>
  <c r="N65" i="15" s="1"/>
  <c r="L73" i="15"/>
  <c r="L81" i="15"/>
  <c r="L89" i="15"/>
  <c r="N89" i="15" s="1"/>
  <c r="L97" i="15"/>
  <c r="N97" i="15" s="1"/>
  <c r="K2" i="15"/>
  <c r="M2" i="15" s="1"/>
  <c r="K74" i="15"/>
  <c r="M74" i="15" s="1"/>
  <c r="L43" i="15"/>
  <c r="N43" i="15" s="1"/>
  <c r="K4" i="15"/>
  <c r="K12" i="15"/>
  <c r="M12" i="15" s="1"/>
  <c r="I15" i="15"/>
  <c r="K20" i="15"/>
  <c r="M20" i="15" s="1"/>
  <c r="K28" i="15"/>
  <c r="M28" i="15" s="1"/>
  <c r="K36" i="15"/>
  <c r="M36" i="15" s="1"/>
  <c r="K44" i="15"/>
  <c r="M44" i="15" s="1"/>
  <c r="K52" i="15"/>
  <c r="M52" i="15" s="1"/>
  <c r="K60" i="15"/>
  <c r="M60" i="15" s="1"/>
  <c r="K68" i="15"/>
  <c r="M68" i="15" s="1"/>
  <c r="K76" i="15"/>
  <c r="M76" i="15" s="1"/>
  <c r="K84" i="15"/>
  <c r="M84" i="15" s="1"/>
  <c r="K26" i="15"/>
  <c r="M26" i="15" s="1"/>
  <c r="L19" i="15"/>
  <c r="N19" i="15" s="1"/>
  <c r="L27" i="15"/>
  <c r="L4" i="15"/>
  <c r="L20" i="15"/>
  <c r="N20" i="15" s="1"/>
  <c r="L28" i="15"/>
  <c r="N28" i="15" s="1"/>
  <c r="L36" i="15"/>
  <c r="N36" i="15" s="1"/>
  <c r="L44" i="15"/>
  <c r="N44" i="15" s="1"/>
  <c r="L52" i="15"/>
  <c r="N52" i="15" s="1"/>
  <c r="L60" i="15"/>
  <c r="N60" i="15" s="1"/>
  <c r="L68" i="15"/>
  <c r="N68" i="15" s="1"/>
  <c r="L84" i="15"/>
  <c r="N84" i="15" s="1"/>
  <c r="N76" i="14"/>
  <c r="N49" i="14"/>
  <c r="N87" i="14"/>
  <c r="M35" i="14"/>
  <c r="N31" i="14"/>
  <c r="M28" i="14"/>
  <c r="N79" i="14"/>
  <c r="N7" i="14"/>
  <c r="N55" i="14"/>
  <c r="N39" i="14"/>
  <c r="N63" i="14"/>
  <c r="K7" i="14"/>
  <c r="M7" i="14" s="1"/>
  <c r="I10" i="14"/>
  <c r="K15" i="14"/>
  <c r="K23" i="14"/>
  <c r="M23" i="14" s="1"/>
  <c r="K31" i="14"/>
  <c r="M31" i="14" s="1"/>
  <c r="I34" i="14"/>
  <c r="K39" i="14"/>
  <c r="M39" i="14" s="1"/>
  <c r="K47" i="14"/>
  <c r="M47" i="14" s="1"/>
  <c r="K55" i="14"/>
  <c r="M55" i="14" s="1"/>
  <c r="I58" i="14"/>
  <c r="K63" i="14"/>
  <c r="M63" i="14" s="1"/>
  <c r="K71" i="14"/>
  <c r="M71" i="14" s="1"/>
  <c r="K79" i="14"/>
  <c r="M79" i="14" s="1"/>
  <c r="I82" i="14"/>
  <c r="K87" i="14"/>
  <c r="M87" i="14" s="1"/>
  <c r="I90" i="14"/>
  <c r="K95" i="14"/>
  <c r="M95" i="14" s="1"/>
  <c r="K2" i="14"/>
  <c r="M2" i="14" s="1"/>
  <c r="K18" i="14"/>
  <c r="M18" i="14" s="1"/>
  <c r="K42" i="14"/>
  <c r="M42" i="14" s="1"/>
  <c r="K66" i="14"/>
  <c r="M66" i="14" s="1"/>
  <c r="K10" i="14"/>
  <c r="K26" i="14"/>
  <c r="M26" i="14" s="1"/>
  <c r="K34" i="14"/>
  <c r="K50" i="14"/>
  <c r="M50" i="14" s="1"/>
  <c r="K58" i="14"/>
  <c r="K74" i="14"/>
  <c r="M74" i="14" s="1"/>
  <c r="K82" i="14"/>
  <c r="K90" i="14"/>
  <c r="L2" i="14"/>
  <c r="N2" i="14" s="1"/>
  <c r="J13" i="14"/>
  <c r="L18" i="14"/>
  <c r="N18" i="14" s="1"/>
  <c r="L26" i="14"/>
  <c r="N26" i="14" s="1"/>
  <c r="J37" i="14"/>
  <c r="L42" i="14"/>
  <c r="N42" i="14" s="1"/>
  <c r="L50" i="14"/>
  <c r="N50" i="14" s="1"/>
  <c r="J61" i="14"/>
  <c r="L66" i="14"/>
  <c r="N66" i="14" s="1"/>
  <c r="L74" i="14"/>
  <c r="N74" i="14" s="1"/>
  <c r="J85" i="14"/>
  <c r="L90" i="14"/>
  <c r="K13" i="14"/>
  <c r="K21" i="14"/>
  <c r="K29" i="14"/>
  <c r="M29" i="14" s="1"/>
  <c r="K37" i="14"/>
  <c r="I40" i="14"/>
  <c r="K45" i="14"/>
  <c r="M45" i="14" s="1"/>
  <c r="K53" i="14"/>
  <c r="M53" i="14" s="1"/>
  <c r="K61" i="14"/>
  <c r="I64" i="14"/>
  <c r="K69" i="14"/>
  <c r="M69" i="14" s="1"/>
  <c r="K77" i="14"/>
  <c r="M77" i="14" s="1"/>
  <c r="K85" i="14"/>
  <c r="I88" i="14"/>
  <c r="K93" i="14"/>
  <c r="M93" i="14" s="1"/>
  <c r="L5" i="14"/>
  <c r="N5" i="14" s="1"/>
  <c r="L29" i="14"/>
  <c r="N29" i="14" s="1"/>
  <c r="L53" i="14"/>
  <c r="N53" i="14" s="1"/>
  <c r="J64" i="14"/>
  <c r="L77" i="14"/>
  <c r="N77" i="14" s="1"/>
  <c r="J88" i="14"/>
  <c r="K8" i="14"/>
  <c r="M8" i="14" s="1"/>
  <c r="K16" i="14"/>
  <c r="M16" i="14" s="1"/>
  <c r="K24" i="14"/>
  <c r="M24" i="14" s="1"/>
  <c r="K32" i="14"/>
  <c r="M32" i="14" s="1"/>
  <c r="K40" i="14"/>
  <c r="K48" i="14"/>
  <c r="M48" i="14" s="1"/>
  <c r="K56" i="14"/>
  <c r="M56" i="14" s="1"/>
  <c r="K64" i="14"/>
  <c r="K72" i="14"/>
  <c r="M72" i="14" s="1"/>
  <c r="K80" i="14"/>
  <c r="M80" i="14" s="1"/>
  <c r="K88" i="14"/>
  <c r="K96" i="14"/>
  <c r="M96" i="14" s="1"/>
  <c r="N8" i="14"/>
  <c r="L43" i="14"/>
  <c r="N43" i="14" s="1"/>
  <c r="L67" i="14"/>
  <c r="N67" i="14" s="1"/>
  <c r="L75" i="14"/>
  <c r="N75" i="14" s="1"/>
  <c r="N80" i="14"/>
  <c r="L91" i="14"/>
  <c r="K11" i="14"/>
  <c r="M11" i="14" s="1"/>
  <c r="L19" i="14"/>
  <c r="N19" i="14" s="1"/>
  <c r="N56" i="14"/>
  <c r="I25" i="14"/>
  <c r="K94" i="14"/>
  <c r="M94" i="14" s="1"/>
  <c r="L6" i="14"/>
  <c r="N6" i="14" s="1"/>
  <c r="L14" i="14"/>
  <c r="L30" i="14"/>
  <c r="N30" i="14" s="1"/>
  <c r="L38" i="14"/>
  <c r="N38" i="14" s="1"/>
  <c r="N51" i="14"/>
  <c r="L54" i="14"/>
  <c r="N54" i="14" s="1"/>
  <c r="N59" i="14"/>
  <c r="L62" i="14"/>
  <c r="N62" i="14" s="1"/>
  <c r="L70" i="14"/>
  <c r="N70" i="14" s="1"/>
  <c r="L78" i="14"/>
  <c r="N78" i="14" s="1"/>
  <c r="L86" i="14"/>
  <c r="N86" i="14" s="1"/>
  <c r="L94" i="14"/>
  <c r="N94" i="14" s="1"/>
  <c r="J27" i="14"/>
  <c r="K67" i="14"/>
  <c r="M67" i="14" s="1"/>
  <c r="K83" i="14"/>
  <c r="M83" i="14" s="1"/>
  <c r="K22" i="14"/>
  <c r="M22" i="14" s="1"/>
  <c r="I4" i="14"/>
  <c r="K9" i="14"/>
  <c r="I12" i="14"/>
  <c r="M14" i="14"/>
  <c r="K17" i="14"/>
  <c r="M17" i="14" s="1"/>
  <c r="K25" i="14"/>
  <c r="K33" i="14"/>
  <c r="M33" i="14" s="1"/>
  <c r="I36" i="14"/>
  <c r="K41" i="14"/>
  <c r="M41" i="14" s="1"/>
  <c r="K49" i="14"/>
  <c r="M49" i="14" s="1"/>
  <c r="K57" i="14"/>
  <c r="M57" i="14" s="1"/>
  <c r="I60" i="14"/>
  <c r="K65" i="14"/>
  <c r="M65" i="14" s="1"/>
  <c r="K73" i="14"/>
  <c r="M73" i="14" s="1"/>
  <c r="K81" i="14"/>
  <c r="M81" i="14" s="1"/>
  <c r="I84" i="14"/>
  <c r="M86" i="14"/>
  <c r="K89" i="14"/>
  <c r="M89" i="14" s="1"/>
  <c r="K97" i="14"/>
  <c r="M97" i="14" s="1"/>
  <c r="K35" i="14"/>
  <c r="K59" i="14"/>
  <c r="M59" i="14" s="1"/>
  <c r="N16" i="14"/>
  <c r="L51" i="14"/>
  <c r="I9" i="14"/>
  <c r="K86" i="14"/>
  <c r="N14" i="14"/>
  <c r="L17" i="14"/>
  <c r="N17" i="14" s="1"/>
  <c r="L41" i="14"/>
  <c r="N41" i="14" s="1"/>
  <c r="L65" i="14"/>
  <c r="N65" i="14" s="1"/>
  <c r="L73" i="14"/>
  <c r="N73" i="14" s="1"/>
  <c r="L81" i="14"/>
  <c r="N81" i="14" s="1"/>
  <c r="L89" i="14"/>
  <c r="N89" i="14" s="1"/>
  <c r="L97" i="14"/>
  <c r="N97" i="14" s="1"/>
  <c r="K43" i="14"/>
  <c r="M43" i="14" s="1"/>
  <c r="K91" i="14"/>
  <c r="L3" i="14"/>
  <c r="K30" i="14"/>
  <c r="M30" i="14" s="1"/>
  <c r="K38" i="14"/>
  <c r="M38" i="14" s="1"/>
  <c r="K46" i="14"/>
  <c r="M46" i="14" s="1"/>
  <c r="K54" i="14"/>
  <c r="M54" i="14" s="1"/>
  <c r="K62" i="14"/>
  <c r="M62" i="14" s="1"/>
  <c r="K70" i="14"/>
  <c r="M70" i="14" s="1"/>
  <c r="K78" i="14"/>
  <c r="M78" i="14" s="1"/>
  <c r="K4" i="14"/>
  <c r="K12" i="14"/>
  <c r="I15" i="14"/>
  <c r="K20" i="14"/>
  <c r="M20" i="14" s="1"/>
  <c r="K28" i="14"/>
  <c r="K36" i="14"/>
  <c r="K44" i="14"/>
  <c r="M44" i="14" s="1"/>
  <c r="K52" i="14"/>
  <c r="M52" i="14" s="1"/>
  <c r="K60" i="14"/>
  <c r="K68" i="14"/>
  <c r="M68" i="14" s="1"/>
  <c r="K76" i="14"/>
  <c r="M76" i="14" s="1"/>
  <c r="K84" i="14"/>
  <c r="K51" i="14"/>
  <c r="K75" i="14"/>
  <c r="M75" i="14" s="1"/>
  <c r="L27" i="14"/>
  <c r="K6" i="14"/>
  <c r="M6" i="14" s="1"/>
  <c r="L4" i="14"/>
  <c r="L28" i="14"/>
  <c r="N28" i="14" s="1"/>
  <c r="L52" i="14"/>
  <c r="N52" i="14" s="1"/>
  <c r="L60" i="14"/>
  <c r="L68" i="14"/>
  <c r="N68" i="14" s="1"/>
  <c r="L84" i="14"/>
  <c r="J49" i="13"/>
  <c r="N47" i="13"/>
  <c r="J34" i="13"/>
  <c r="I34" i="13"/>
  <c r="K66" i="13"/>
  <c r="N92" i="13"/>
  <c r="J10" i="13"/>
  <c r="I69" i="13"/>
  <c r="L35" i="13"/>
  <c r="J69" i="13"/>
  <c r="L69" i="13"/>
  <c r="I21" i="13"/>
  <c r="K26" i="13"/>
  <c r="M26" i="13" s="1"/>
  <c r="L37" i="13"/>
  <c r="N37" i="13" s="1"/>
  <c r="L45" i="13"/>
  <c r="J13" i="13"/>
  <c r="J21" i="13"/>
  <c r="N39" i="13"/>
  <c r="I46" i="13"/>
  <c r="K95" i="13"/>
  <c r="M95" i="13" s="1"/>
  <c r="K2" i="13"/>
  <c r="M2" i="13" s="1"/>
  <c r="L13" i="13"/>
  <c r="L21" i="13"/>
  <c r="N21" i="13" s="1"/>
  <c r="J46" i="13"/>
  <c r="L80" i="13"/>
  <c r="L95" i="13"/>
  <c r="N95" i="13" s="1"/>
  <c r="K58" i="13"/>
  <c r="M58" i="13" s="1"/>
  <c r="K34" i="13"/>
  <c r="M34" i="13" s="1"/>
  <c r="I93" i="13"/>
  <c r="N93" i="13" s="1"/>
  <c r="J25" i="13"/>
  <c r="J94" i="13"/>
  <c r="I22" i="13"/>
  <c r="L39" i="13"/>
  <c r="L46" i="13"/>
  <c r="L55" i="13"/>
  <c r="I64" i="13"/>
  <c r="I82" i="13"/>
  <c r="J42" i="13"/>
  <c r="J18" i="13"/>
  <c r="J61" i="13"/>
  <c r="L61" i="13"/>
  <c r="L31" i="13"/>
  <c r="I40" i="13"/>
  <c r="K71" i="13"/>
  <c r="M71" i="13" s="1"/>
  <c r="J82" i="13"/>
  <c r="J90" i="13"/>
  <c r="J96" i="13"/>
  <c r="K23" i="13"/>
  <c r="M23" i="13" s="1"/>
  <c r="J85" i="13"/>
  <c r="L22" i="13"/>
  <c r="L40" i="13"/>
  <c r="L71" i="13"/>
  <c r="N71" i="13" s="1"/>
  <c r="K82" i="13"/>
  <c r="L90" i="13"/>
  <c r="L96" i="13"/>
  <c r="N96" i="13" s="1"/>
  <c r="I10" i="13"/>
  <c r="N10" i="13" s="1"/>
  <c r="K10" i="13"/>
  <c r="J37" i="13"/>
  <c r="L11" i="13"/>
  <c r="N11" i="13" s="1"/>
  <c r="I88" i="13"/>
  <c r="M88" i="13" s="1"/>
  <c r="L7" i="13"/>
  <c r="L15" i="13"/>
  <c r="K47" i="13"/>
  <c r="M47" i="13" s="1"/>
  <c r="L56" i="13"/>
  <c r="N56" i="13" s="1"/>
  <c r="L82" i="13"/>
  <c r="N61" i="13"/>
  <c r="N13" i="13"/>
  <c r="N85" i="13"/>
  <c r="J28" i="13"/>
  <c r="J27" i="13"/>
  <c r="I54" i="13"/>
  <c r="I43" i="13"/>
  <c r="N42" i="13"/>
  <c r="J55" i="13"/>
  <c r="J54" i="13"/>
  <c r="K54" i="13"/>
  <c r="K30" i="13"/>
  <c r="K14" i="13"/>
  <c r="M14" i="13" s="1"/>
  <c r="K76" i="13"/>
  <c r="K52" i="13"/>
  <c r="K28" i="13"/>
  <c r="K4" i="13"/>
  <c r="K86" i="13"/>
  <c r="M86" i="13" s="1"/>
  <c r="K62" i="13"/>
  <c r="M62" i="13" s="1"/>
  <c r="K38" i="13"/>
  <c r="M38" i="13" s="1"/>
  <c r="K89" i="13"/>
  <c r="K65" i="13"/>
  <c r="M65" i="13" s="1"/>
  <c r="K41" i="13"/>
  <c r="M41" i="13" s="1"/>
  <c r="K17" i="13"/>
  <c r="M17" i="13" s="1"/>
  <c r="I4" i="13"/>
  <c r="K51" i="13"/>
  <c r="K3" i="13"/>
  <c r="K78" i="13"/>
  <c r="K6" i="13"/>
  <c r="K91" i="13"/>
  <c r="K75" i="13"/>
  <c r="K67" i="13"/>
  <c r="K43" i="13"/>
  <c r="K27" i="13"/>
  <c r="K19" i="13"/>
  <c r="K88" i="13"/>
  <c r="K64" i="13"/>
  <c r="K40" i="13"/>
  <c r="K16" i="13"/>
  <c r="I3" i="13"/>
  <c r="N2" i="13"/>
  <c r="K77" i="13"/>
  <c r="M77" i="13" s="1"/>
  <c r="K53" i="13"/>
  <c r="M53" i="13" s="1"/>
  <c r="K29" i="13"/>
  <c r="M29" i="13" s="1"/>
  <c r="K5" i="13"/>
  <c r="M5" i="13" s="1"/>
  <c r="K55" i="13"/>
  <c r="M87" i="13"/>
  <c r="N94" i="13"/>
  <c r="J4" i="13"/>
  <c r="J3" i="13"/>
  <c r="K42" i="13"/>
  <c r="M42" i="13" s="1"/>
  <c r="I67" i="13"/>
  <c r="M66" i="13"/>
  <c r="K63" i="13"/>
  <c r="M63" i="13" s="1"/>
  <c r="I76" i="13"/>
  <c r="I75" i="13"/>
  <c r="N74" i="13"/>
  <c r="I6" i="13"/>
  <c r="K18" i="13"/>
  <c r="M18" i="13" s="1"/>
  <c r="K90" i="13"/>
  <c r="I28" i="13"/>
  <c r="I27" i="13"/>
  <c r="N26" i="13"/>
  <c r="K74" i="13"/>
  <c r="M74" i="13" s="1"/>
  <c r="J7" i="13"/>
  <c r="J6" i="13"/>
  <c r="N58" i="13"/>
  <c r="N89" i="13"/>
  <c r="I19" i="13"/>
  <c r="N18" i="13"/>
  <c r="K7" i="13"/>
  <c r="K39" i="13"/>
  <c r="M39" i="13" s="1"/>
  <c r="N45" i="13"/>
  <c r="I52" i="13"/>
  <c r="I51" i="13"/>
  <c r="N50" i="13"/>
  <c r="I78" i="13"/>
  <c r="N84" i="13"/>
  <c r="I30" i="13"/>
  <c r="J76" i="13"/>
  <c r="J75" i="13"/>
  <c r="K31" i="13"/>
  <c r="I91" i="13"/>
  <c r="N90" i="13"/>
  <c r="M90" i="13"/>
  <c r="J52" i="13"/>
  <c r="J51" i="13"/>
  <c r="N34" i="13"/>
  <c r="K50" i="13"/>
  <c r="M50" i="13" s="1"/>
  <c r="K79" i="13"/>
  <c r="K13" i="13"/>
  <c r="M13" i="13" s="1"/>
  <c r="I16" i="13"/>
  <c r="K21" i="13"/>
  <c r="M21" i="13" s="1"/>
  <c r="K37" i="13"/>
  <c r="M37" i="13" s="1"/>
  <c r="K45" i="13"/>
  <c r="M45" i="13" s="1"/>
  <c r="K61" i="13"/>
  <c r="M61" i="13" s="1"/>
  <c r="K69" i="13"/>
  <c r="K85" i="13"/>
  <c r="M85" i="13" s="1"/>
  <c r="K93" i="13"/>
  <c r="M93" i="13" s="1"/>
  <c r="L5" i="13"/>
  <c r="N5" i="13" s="1"/>
  <c r="J16" i="13"/>
  <c r="L29" i="13"/>
  <c r="N29" i="13" s="1"/>
  <c r="J40" i="13"/>
  <c r="L53" i="13"/>
  <c r="N53" i="13" s="1"/>
  <c r="J64" i="13"/>
  <c r="L77" i="13"/>
  <c r="N77" i="13" s="1"/>
  <c r="J88" i="13"/>
  <c r="K8" i="13"/>
  <c r="M8" i="13" s="1"/>
  <c r="K24" i="13"/>
  <c r="M24" i="13" s="1"/>
  <c r="K32" i="13"/>
  <c r="M32" i="13" s="1"/>
  <c r="K48" i="13"/>
  <c r="M48" i="13" s="1"/>
  <c r="K56" i="13"/>
  <c r="M56" i="13" s="1"/>
  <c r="K72" i="13"/>
  <c r="M72" i="13" s="1"/>
  <c r="K80" i="13"/>
  <c r="M80" i="13" s="1"/>
  <c r="K96" i="13"/>
  <c r="M96" i="13" s="1"/>
  <c r="L64" i="13"/>
  <c r="L88" i="13"/>
  <c r="K11" i="13"/>
  <c r="M11" i="13" s="1"/>
  <c r="K35" i="13"/>
  <c r="M35" i="13" s="1"/>
  <c r="K83" i="13"/>
  <c r="M83" i="13" s="1"/>
  <c r="K59" i="13"/>
  <c r="M59" i="13" s="1"/>
  <c r="N32" i="13"/>
  <c r="N80" i="13"/>
  <c r="I49" i="13"/>
  <c r="I57" i="13"/>
  <c r="K70" i="13"/>
  <c r="M70" i="13" s="1"/>
  <c r="I73" i="13"/>
  <c r="K94" i="13"/>
  <c r="M94" i="13" s="1"/>
  <c r="L6" i="13"/>
  <c r="L14" i="13"/>
  <c r="N14" i="13" s="1"/>
  <c r="L30" i="13"/>
  <c r="N35" i="13"/>
  <c r="L38" i="13"/>
  <c r="L54" i="13"/>
  <c r="N59" i="13"/>
  <c r="L62" i="13"/>
  <c r="L70" i="13"/>
  <c r="N70" i="13" s="1"/>
  <c r="L78" i="13"/>
  <c r="N83" i="13"/>
  <c r="L86" i="13"/>
  <c r="N86" i="13" s="1"/>
  <c r="L94" i="13"/>
  <c r="L19" i="13"/>
  <c r="L27" i="13"/>
  <c r="J30" i="13"/>
  <c r="I9" i="13"/>
  <c r="K22" i="13"/>
  <c r="K9" i="13"/>
  <c r="K25" i="13"/>
  <c r="K33" i="13"/>
  <c r="M33" i="13" s="1"/>
  <c r="K49" i="13"/>
  <c r="K57" i="13"/>
  <c r="K73" i="13"/>
  <c r="K81" i="13"/>
  <c r="M81" i="13" s="1"/>
  <c r="K97" i="13"/>
  <c r="M97" i="13" s="1"/>
  <c r="L67" i="13"/>
  <c r="L91" i="13"/>
  <c r="L9" i="13"/>
  <c r="L17" i="13"/>
  <c r="N17" i="13" s="1"/>
  <c r="L25" i="13"/>
  <c r="L33" i="13"/>
  <c r="N33" i="13" s="1"/>
  <c r="N38" i="13"/>
  <c r="L41" i="13"/>
  <c r="N41" i="13" s="1"/>
  <c r="L49" i="13"/>
  <c r="L57" i="13"/>
  <c r="N62" i="13"/>
  <c r="L65" i="13"/>
  <c r="N65" i="13" s="1"/>
  <c r="L73" i="13"/>
  <c r="L81" i="13"/>
  <c r="N81" i="13" s="1"/>
  <c r="L89" i="13"/>
  <c r="L97" i="13"/>
  <c r="N97" i="13" s="1"/>
  <c r="I25" i="13"/>
  <c r="K46" i="13"/>
  <c r="K12" i="13"/>
  <c r="M12" i="13" s="1"/>
  <c r="I15" i="13"/>
  <c r="K20" i="13"/>
  <c r="M20" i="13" s="1"/>
  <c r="K36" i="13"/>
  <c r="M36" i="13" s="1"/>
  <c r="K44" i="13"/>
  <c r="M44" i="13" s="1"/>
  <c r="K60" i="13"/>
  <c r="M60" i="13" s="1"/>
  <c r="K68" i="13"/>
  <c r="M68" i="13" s="1"/>
  <c r="K84" i="13"/>
  <c r="M84" i="13" s="1"/>
  <c r="M89" i="13"/>
  <c r="K92" i="13"/>
  <c r="M92" i="13" s="1"/>
  <c r="L3" i="13"/>
  <c r="L43" i="13"/>
  <c r="L51" i="13"/>
  <c r="L75" i="13"/>
  <c r="J78" i="13"/>
  <c r="L4" i="13"/>
  <c r="L12" i="13"/>
  <c r="N12" i="13" s="1"/>
  <c r="L20" i="13"/>
  <c r="N20" i="13" s="1"/>
  <c r="L28" i="13"/>
  <c r="L36" i="13"/>
  <c r="N36" i="13" s="1"/>
  <c r="L44" i="13"/>
  <c r="N44" i="13" s="1"/>
  <c r="L52" i="13"/>
  <c r="L60" i="13"/>
  <c r="N60" i="13" s="1"/>
  <c r="L68" i="13"/>
  <c r="N68" i="13" s="1"/>
  <c r="L84" i="13"/>
  <c r="I94" i="12"/>
  <c r="J72" i="12"/>
  <c r="J66" i="12"/>
  <c r="L93" i="12"/>
  <c r="N93" i="12" s="1"/>
  <c r="L82" i="12"/>
  <c r="L25" i="12"/>
  <c r="N92" i="12"/>
  <c r="I21" i="12"/>
  <c r="J37" i="12"/>
  <c r="M83" i="12"/>
  <c r="L15" i="12"/>
  <c r="I22" i="12"/>
  <c r="N22" i="12" s="1"/>
  <c r="L37" i="12"/>
  <c r="I45" i="12"/>
  <c r="N45" i="12" s="1"/>
  <c r="J61" i="12"/>
  <c r="J69" i="12"/>
  <c r="L16" i="12"/>
  <c r="J22" i="12"/>
  <c r="J45" i="12"/>
  <c r="L50" i="12"/>
  <c r="L61" i="12"/>
  <c r="N61" i="12" s="1"/>
  <c r="L69" i="12"/>
  <c r="J94" i="12"/>
  <c r="L31" i="12"/>
  <c r="L79" i="12"/>
  <c r="L87" i="12"/>
  <c r="N87" i="12" s="1"/>
  <c r="L9" i="12"/>
  <c r="L88" i="12"/>
  <c r="L24" i="12"/>
  <c r="N24" i="12" s="1"/>
  <c r="L48" i="12"/>
  <c r="N48" i="12" s="1"/>
  <c r="L85" i="12"/>
  <c r="N85" i="12" s="1"/>
  <c r="I69" i="12"/>
  <c r="L8" i="12"/>
  <c r="L45" i="12"/>
  <c r="L39" i="12"/>
  <c r="N39" i="12" s="1"/>
  <c r="I10" i="12"/>
  <c r="L40" i="12"/>
  <c r="L63" i="12"/>
  <c r="N63" i="12" s="1"/>
  <c r="K95" i="12"/>
  <c r="M95" i="12" s="1"/>
  <c r="L12" i="12"/>
  <c r="L58" i="12"/>
  <c r="N58" i="12" s="1"/>
  <c r="L49" i="12"/>
  <c r="N49" i="12" s="1"/>
  <c r="L44" i="12"/>
  <c r="N44" i="12" s="1"/>
  <c r="I46" i="12"/>
  <c r="M46" i="12" s="1"/>
  <c r="J10" i="12"/>
  <c r="J18" i="12"/>
  <c r="K23" i="12"/>
  <c r="M23" i="12" s="1"/>
  <c r="L32" i="12"/>
  <c r="N32" i="12" s="1"/>
  <c r="L55" i="12"/>
  <c r="L64" i="12"/>
  <c r="L80" i="12"/>
  <c r="L95" i="12"/>
  <c r="N95" i="12" s="1"/>
  <c r="L34" i="12"/>
  <c r="N34" i="12" s="1"/>
  <c r="J13" i="12"/>
  <c r="L83" i="12"/>
  <c r="N83" i="12" s="1"/>
  <c r="L35" i="12"/>
  <c r="J85" i="12"/>
  <c r="L59" i="12"/>
  <c r="N59" i="12" s="1"/>
  <c r="K10" i="12"/>
  <c r="L23" i="12"/>
  <c r="N23" i="12" s="1"/>
  <c r="L33" i="12"/>
  <c r="K71" i="12"/>
  <c r="M71" i="12" s="1"/>
  <c r="I82" i="12"/>
  <c r="N82" i="12" s="1"/>
  <c r="L20" i="12"/>
  <c r="L36" i="12"/>
  <c r="N36" i="12" s="1"/>
  <c r="L74" i="12"/>
  <c r="L7" i="12"/>
  <c r="L21" i="12"/>
  <c r="N21" i="12" s="1"/>
  <c r="L10" i="12"/>
  <c r="L18" i="12"/>
  <c r="N18" i="12" s="1"/>
  <c r="I34" i="12"/>
  <c r="M34" i="12" s="1"/>
  <c r="K47" i="12"/>
  <c r="M47" i="12" s="1"/>
  <c r="L71" i="12"/>
  <c r="N71" i="12" s="1"/>
  <c r="J82" i="12"/>
  <c r="J96" i="12"/>
  <c r="L11" i="12"/>
  <c r="N11" i="12" s="1"/>
  <c r="L72" i="12"/>
  <c r="N72" i="12" s="1"/>
  <c r="N20" i="12"/>
  <c r="L13" i="12"/>
  <c r="L26" i="12"/>
  <c r="L22" i="12"/>
  <c r="J24" i="12"/>
  <c r="J34" i="12"/>
  <c r="L47" i="12"/>
  <c r="N47" i="12" s="1"/>
  <c r="L56" i="12"/>
  <c r="N56" i="12" s="1"/>
  <c r="K82" i="12"/>
  <c r="L90" i="12"/>
  <c r="N90" i="12" s="1"/>
  <c r="L96" i="12"/>
  <c r="N96" i="12" s="1"/>
  <c r="N13" i="12"/>
  <c r="N10" i="12"/>
  <c r="I6" i="12"/>
  <c r="J7" i="12"/>
  <c r="J6" i="12"/>
  <c r="I19" i="12"/>
  <c r="I30" i="12"/>
  <c r="I43" i="12"/>
  <c r="J55" i="12"/>
  <c r="J54" i="12"/>
  <c r="M87" i="12"/>
  <c r="J31" i="12"/>
  <c r="J30" i="12"/>
  <c r="I76" i="12"/>
  <c r="I75" i="12"/>
  <c r="N74" i="12"/>
  <c r="M74" i="12"/>
  <c r="N12" i="12"/>
  <c r="I37" i="12"/>
  <c r="J51" i="12"/>
  <c r="J52" i="12"/>
  <c r="I54" i="12"/>
  <c r="K63" i="12"/>
  <c r="M63" i="12" s="1"/>
  <c r="J75" i="12"/>
  <c r="J76" i="12"/>
  <c r="I91" i="12"/>
  <c r="M90" i="12"/>
  <c r="J27" i="12"/>
  <c r="J28" i="12"/>
  <c r="I67" i="12"/>
  <c r="N66" i="12"/>
  <c r="M66" i="12"/>
  <c r="K3" i="12"/>
  <c r="K76" i="12"/>
  <c r="K52" i="12"/>
  <c r="K28" i="12"/>
  <c r="K4" i="12"/>
  <c r="K67" i="12"/>
  <c r="K19" i="12"/>
  <c r="K43" i="12"/>
  <c r="K27" i="12"/>
  <c r="K89" i="12"/>
  <c r="M89" i="12" s="1"/>
  <c r="K65" i="12"/>
  <c r="M65" i="12" s="1"/>
  <c r="K41" i="12"/>
  <c r="M41" i="12" s="1"/>
  <c r="K17" i="12"/>
  <c r="M17" i="12" s="1"/>
  <c r="I4" i="12"/>
  <c r="K86" i="12"/>
  <c r="M86" i="12" s="1"/>
  <c r="K78" i="12"/>
  <c r="K54" i="12"/>
  <c r="K38" i="12"/>
  <c r="M38" i="12" s="1"/>
  <c r="K30" i="12"/>
  <c r="K14" i="12"/>
  <c r="K6" i="12"/>
  <c r="K51" i="12"/>
  <c r="K62" i="12"/>
  <c r="K91" i="12"/>
  <c r="K75" i="12"/>
  <c r="K88" i="12"/>
  <c r="K64" i="12"/>
  <c r="K40" i="12"/>
  <c r="K16" i="12"/>
  <c r="I3" i="12"/>
  <c r="N2" i="12"/>
  <c r="K77" i="12"/>
  <c r="M77" i="12" s="1"/>
  <c r="K53" i="12"/>
  <c r="M53" i="12" s="1"/>
  <c r="K29" i="12"/>
  <c r="M29" i="12" s="1"/>
  <c r="K5" i="12"/>
  <c r="M5" i="12" s="1"/>
  <c r="M58" i="12"/>
  <c r="I78" i="12"/>
  <c r="N84" i="12"/>
  <c r="I28" i="12"/>
  <c r="I27" i="12"/>
  <c r="N26" i="12"/>
  <c r="M26" i="12"/>
  <c r="K15" i="12"/>
  <c r="K39" i="12"/>
  <c r="M39" i="12" s="1"/>
  <c r="I52" i="12"/>
  <c r="I51" i="12"/>
  <c r="N50" i="12"/>
  <c r="M50" i="12"/>
  <c r="K13" i="12"/>
  <c r="M13" i="12" s="1"/>
  <c r="I16" i="12"/>
  <c r="K21" i="12"/>
  <c r="M21" i="12" s="1"/>
  <c r="K37" i="12"/>
  <c r="I40" i="12"/>
  <c r="K45" i="12"/>
  <c r="K61" i="12"/>
  <c r="M61" i="12" s="1"/>
  <c r="I64" i="12"/>
  <c r="K69" i="12"/>
  <c r="K85" i="12"/>
  <c r="M85" i="12" s="1"/>
  <c r="I88" i="12"/>
  <c r="K93" i="12"/>
  <c r="M93" i="12" s="1"/>
  <c r="L5" i="12"/>
  <c r="N5" i="12" s="1"/>
  <c r="J16" i="12"/>
  <c r="L29" i="12"/>
  <c r="N29" i="12" s="1"/>
  <c r="J40" i="12"/>
  <c r="L53" i="12"/>
  <c r="N53" i="12" s="1"/>
  <c r="J64" i="12"/>
  <c r="L77" i="12"/>
  <c r="N77" i="12" s="1"/>
  <c r="J88" i="12"/>
  <c r="K8" i="12"/>
  <c r="M8" i="12" s="1"/>
  <c r="K24" i="12"/>
  <c r="M24" i="12" s="1"/>
  <c r="K32" i="12"/>
  <c r="M32" i="12" s="1"/>
  <c r="K48" i="12"/>
  <c r="M48" i="12" s="1"/>
  <c r="K56" i="12"/>
  <c r="M56" i="12" s="1"/>
  <c r="K72" i="12"/>
  <c r="M72" i="12" s="1"/>
  <c r="K80" i="12"/>
  <c r="M80" i="12" s="1"/>
  <c r="K96" i="12"/>
  <c r="M96" i="12" s="1"/>
  <c r="K11" i="12"/>
  <c r="M11" i="12" s="1"/>
  <c r="L51" i="12"/>
  <c r="L67" i="12"/>
  <c r="J78" i="12"/>
  <c r="L6" i="12"/>
  <c r="L14" i="12"/>
  <c r="N14" i="12" s="1"/>
  <c r="L30" i="12"/>
  <c r="N35" i="12"/>
  <c r="L38" i="12"/>
  <c r="N38" i="12" s="1"/>
  <c r="L46" i="12"/>
  <c r="N46" i="12" s="1"/>
  <c r="L54" i="12"/>
  <c r="L62" i="12"/>
  <c r="N62" i="12" s="1"/>
  <c r="L70" i="12"/>
  <c r="N70" i="12" s="1"/>
  <c r="L78" i="12"/>
  <c r="L86" i="12"/>
  <c r="N86" i="12" s="1"/>
  <c r="L94" i="12"/>
  <c r="N94" i="12" s="1"/>
  <c r="L3" i="12"/>
  <c r="L27" i="12"/>
  <c r="L43" i="12"/>
  <c r="L75" i="12"/>
  <c r="N80" i="12"/>
  <c r="I9" i="12"/>
  <c r="K22" i="12"/>
  <c r="I25" i="12"/>
  <c r="I33" i="12"/>
  <c r="K46" i="12"/>
  <c r="K70" i="12"/>
  <c r="M70" i="12" s="1"/>
  <c r="I73" i="12"/>
  <c r="K94" i="12"/>
  <c r="M94" i="12" s="1"/>
  <c r="K9" i="12"/>
  <c r="M14" i="12"/>
  <c r="K25" i="12"/>
  <c r="K33" i="12"/>
  <c r="K49" i="12"/>
  <c r="M49" i="12" s="1"/>
  <c r="K57" i="12"/>
  <c r="M57" i="12" s="1"/>
  <c r="M62" i="12"/>
  <c r="K73" i="12"/>
  <c r="K81" i="12"/>
  <c r="M81" i="12" s="1"/>
  <c r="K97" i="12"/>
  <c r="M97" i="12" s="1"/>
  <c r="K59" i="12"/>
  <c r="M59" i="12" s="1"/>
  <c r="N8" i="12"/>
  <c r="L17" i="12"/>
  <c r="N17" i="12" s="1"/>
  <c r="L41" i="12"/>
  <c r="N41" i="12" s="1"/>
  <c r="L57" i="12"/>
  <c r="N57" i="12" s="1"/>
  <c r="L65" i="12"/>
  <c r="N65" i="12" s="1"/>
  <c r="L73" i="12"/>
  <c r="L81" i="12"/>
  <c r="N81" i="12" s="1"/>
  <c r="L89" i="12"/>
  <c r="N89" i="12" s="1"/>
  <c r="L97" i="12"/>
  <c r="N97" i="12" s="1"/>
  <c r="K35" i="12"/>
  <c r="M35" i="12" s="1"/>
  <c r="L91" i="12"/>
  <c r="K12" i="12"/>
  <c r="M12" i="12" s="1"/>
  <c r="I15" i="12"/>
  <c r="K20" i="12"/>
  <c r="M20" i="12" s="1"/>
  <c r="K36" i="12"/>
  <c r="M36" i="12" s="1"/>
  <c r="K44" i="12"/>
  <c r="M44" i="12" s="1"/>
  <c r="K60" i="12"/>
  <c r="M60" i="12" s="1"/>
  <c r="K68" i="12"/>
  <c r="M68" i="12" s="1"/>
  <c r="K84" i="12"/>
  <c r="M84" i="12" s="1"/>
  <c r="K92" i="12"/>
  <c r="M92" i="12" s="1"/>
  <c r="L19" i="12"/>
  <c r="L4" i="12"/>
  <c r="L28" i="12"/>
  <c r="L52" i="12"/>
  <c r="L60" i="12"/>
  <c r="N60" i="12" s="1"/>
  <c r="L68" i="12"/>
  <c r="N68" i="12" s="1"/>
  <c r="L84" i="12"/>
  <c r="K23" i="11"/>
  <c r="M23" i="11" s="1"/>
  <c r="J10" i="11"/>
  <c r="K47" i="11"/>
  <c r="M47" i="11" s="1"/>
  <c r="K34" i="11"/>
  <c r="J19" i="11"/>
  <c r="I34" i="11"/>
  <c r="I69" i="11"/>
  <c r="N69" i="11" s="1"/>
  <c r="J93" i="11"/>
  <c r="L3" i="11"/>
  <c r="L19" i="11"/>
  <c r="J24" i="11"/>
  <c r="J34" i="11"/>
  <c r="N56" i="11"/>
  <c r="L63" i="11"/>
  <c r="N63" i="11" s="1"/>
  <c r="J69" i="11"/>
  <c r="J13" i="11"/>
  <c r="N92" i="11"/>
  <c r="L24" i="11"/>
  <c r="N24" i="11" s="1"/>
  <c r="I64" i="11"/>
  <c r="L69" i="11"/>
  <c r="L77" i="11"/>
  <c r="N77" i="11" s="1"/>
  <c r="L87" i="11"/>
  <c r="N87" i="11" s="1"/>
  <c r="I94" i="11"/>
  <c r="N94" i="11" s="1"/>
  <c r="L88" i="11"/>
  <c r="K15" i="11"/>
  <c r="I21" i="11"/>
  <c r="L26" i="11"/>
  <c r="N26" i="11" s="1"/>
  <c r="L35" i="11"/>
  <c r="N35" i="11" s="1"/>
  <c r="L43" i="11"/>
  <c r="N43" i="11" s="1"/>
  <c r="J48" i="11"/>
  <c r="J58" i="11"/>
  <c r="L80" i="11"/>
  <c r="N80" i="11" s="1"/>
  <c r="K95" i="11"/>
  <c r="M95" i="11" s="1"/>
  <c r="I58" i="11"/>
  <c r="L15" i="11"/>
  <c r="J21" i="11"/>
  <c r="L27" i="11"/>
  <c r="N27" i="11" s="1"/>
  <c r="L36" i="11"/>
  <c r="N36" i="11" s="1"/>
  <c r="L48" i="11"/>
  <c r="N48" i="11" s="1"/>
  <c r="K58" i="11"/>
  <c r="K71" i="11"/>
  <c r="M71" i="11" s="1"/>
  <c r="I82" i="11"/>
  <c r="L95" i="11"/>
  <c r="N95" i="11" s="1"/>
  <c r="N88" i="11"/>
  <c r="L5" i="11"/>
  <c r="N5" i="11" s="1"/>
  <c r="L64" i="11"/>
  <c r="L7" i="11"/>
  <c r="L8" i="11"/>
  <c r="N8" i="11" s="1"/>
  <c r="I16" i="11"/>
  <c r="L21" i="11"/>
  <c r="J37" i="11"/>
  <c r="L49" i="11"/>
  <c r="L58" i="11"/>
  <c r="J66" i="11"/>
  <c r="L71" i="11"/>
  <c r="N71" i="11" s="1"/>
  <c r="J82" i="11"/>
  <c r="J40" i="11"/>
  <c r="J85" i="11"/>
  <c r="N23" i="11"/>
  <c r="N68" i="11"/>
  <c r="L42" i="11"/>
  <c r="N42" i="11" s="1"/>
  <c r="L9" i="11"/>
  <c r="J16" i="11"/>
  <c r="I22" i="11"/>
  <c r="N22" i="11" s="1"/>
  <c r="L37" i="11"/>
  <c r="L44" i="11"/>
  <c r="N44" i="11" s="1"/>
  <c r="L66" i="11"/>
  <c r="N66" i="11" s="1"/>
  <c r="K82" i="11"/>
  <c r="J96" i="11"/>
  <c r="J64" i="11"/>
  <c r="I10" i="11"/>
  <c r="M10" i="11" s="1"/>
  <c r="L16" i="11"/>
  <c r="L29" i="11"/>
  <c r="J72" i="11"/>
  <c r="L82" i="11"/>
  <c r="L90" i="11"/>
  <c r="N90" i="11" s="1"/>
  <c r="L96" i="11"/>
  <c r="N96" i="11" s="1"/>
  <c r="I37" i="11"/>
  <c r="I85" i="11"/>
  <c r="M67" i="11"/>
  <c r="N67" i="11"/>
  <c r="M29" i="11"/>
  <c r="N91" i="11"/>
  <c r="N51" i="11"/>
  <c r="I61" i="11"/>
  <c r="N60" i="11"/>
  <c r="N12" i="11"/>
  <c r="I13" i="11"/>
  <c r="N39" i="11"/>
  <c r="K18" i="11"/>
  <c r="M18" i="11" s="1"/>
  <c r="K74" i="11"/>
  <c r="M74" i="11" s="1"/>
  <c r="K90" i="11"/>
  <c r="M90" i="11" s="1"/>
  <c r="K37" i="11"/>
  <c r="K8" i="11"/>
  <c r="M8" i="11" s="1"/>
  <c r="I19" i="11"/>
  <c r="J3" i="11"/>
  <c r="J27" i="11"/>
  <c r="N29" i="11"/>
  <c r="J51" i="11"/>
  <c r="N53" i="11"/>
  <c r="J75" i="11"/>
  <c r="N93" i="11"/>
  <c r="K3" i="11"/>
  <c r="I6" i="11"/>
  <c r="K11" i="11"/>
  <c r="M11" i="11" s="1"/>
  <c r="K19" i="11"/>
  <c r="K27" i="11"/>
  <c r="M27" i="11" s="1"/>
  <c r="I30" i="11"/>
  <c r="K35" i="11"/>
  <c r="M35" i="11" s="1"/>
  <c r="K43" i="11"/>
  <c r="M43" i="11" s="1"/>
  <c r="M48" i="11"/>
  <c r="K51" i="11"/>
  <c r="M51" i="11" s="1"/>
  <c r="I54" i="11"/>
  <c r="K59" i="11"/>
  <c r="M59" i="11" s="1"/>
  <c r="K67" i="11"/>
  <c r="K75" i="11"/>
  <c r="I78" i="11"/>
  <c r="K83" i="11"/>
  <c r="M83" i="11" s="1"/>
  <c r="K91" i="11"/>
  <c r="M91" i="11" s="1"/>
  <c r="K55" i="11"/>
  <c r="K48" i="11"/>
  <c r="K96" i="11"/>
  <c r="M96" i="11" s="1"/>
  <c r="L6" i="11"/>
  <c r="N11" i="11"/>
  <c r="L14" i="11"/>
  <c r="N14" i="11" s="1"/>
  <c r="L30" i="11"/>
  <c r="L38" i="11"/>
  <c r="N38" i="11" s="1"/>
  <c r="L54" i="11"/>
  <c r="N59" i="11"/>
  <c r="L62" i="11"/>
  <c r="N62" i="11" s="1"/>
  <c r="L70" i="11"/>
  <c r="N70" i="11" s="1"/>
  <c r="L78" i="11"/>
  <c r="N83" i="11"/>
  <c r="L86" i="11"/>
  <c r="N86" i="11" s="1"/>
  <c r="L94" i="11"/>
  <c r="K31" i="11"/>
  <c r="K87" i="11"/>
  <c r="M87" i="11" s="1"/>
  <c r="K93" i="11"/>
  <c r="M93" i="11" s="1"/>
  <c r="K16" i="11"/>
  <c r="K32" i="11"/>
  <c r="M32" i="11" s="1"/>
  <c r="K72" i="11"/>
  <c r="M72" i="11" s="1"/>
  <c r="K88" i="11"/>
  <c r="M88" i="11" s="1"/>
  <c r="J30" i="11"/>
  <c r="N72" i="11"/>
  <c r="K6" i="11"/>
  <c r="I9" i="11"/>
  <c r="K14" i="11"/>
  <c r="M14" i="11" s="1"/>
  <c r="K22" i="11"/>
  <c r="I25" i="11"/>
  <c r="K30" i="11"/>
  <c r="I33" i="11"/>
  <c r="K38" i="11"/>
  <c r="M38" i="11" s="1"/>
  <c r="K46" i="11"/>
  <c r="M46" i="11" s="1"/>
  <c r="I49" i="11"/>
  <c r="K54" i="11"/>
  <c r="I57" i="11"/>
  <c r="K62" i="11"/>
  <c r="M62" i="11" s="1"/>
  <c r="K70" i="11"/>
  <c r="M70" i="11" s="1"/>
  <c r="K78" i="11"/>
  <c r="K86" i="11"/>
  <c r="M86" i="11" s="1"/>
  <c r="K94" i="11"/>
  <c r="I97" i="11"/>
  <c r="I4" i="11"/>
  <c r="K9" i="11"/>
  <c r="K17" i="11"/>
  <c r="M17" i="11" s="1"/>
  <c r="K25" i="11"/>
  <c r="I28" i="11"/>
  <c r="K33" i="11"/>
  <c r="K41" i="11"/>
  <c r="M41" i="11" s="1"/>
  <c r="K49" i="11"/>
  <c r="I52" i="11"/>
  <c r="K57" i="11"/>
  <c r="K65" i="11"/>
  <c r="M65" i="11" s="1"/>
  <c r="K73" i="11"/>
  <c r="M73" i="11" s="1"/>
  <c r="I76" i="11"/>
  <c r="K81" i="11"/>
  <c r="M81" i="11" s="1"/>
  <c r="K89" i="11"/>
  <c r="M89" i="11" s="1"/>
  <c r="K97" i="11"/>
  <c r="K63" i="11"/>
  <c r="M63" i="11" s="1"/>
  <c r="K79" i="11"/>
  <c r="K2" i="11"/>
  <c r="M2" i="11" s="1"/>
  <c r="K50" i="11"/>
  <c r="M50" i="11" s="1"/>
  <c r="K66" i="11"/>
  <c r="M66" i="11" s="1"/>
  <c r="K5" i="11"/>
  <c r="M5" i="11" s="1"/>
  <c r="K21" i="11"/>
  <c r="M21" i="11" s="1"/>
  <c r="K29" i="11"/>
  <c r="K45" i="11"/>
  <c r="M45" i="11" s="1"/>
  <c r="K53" i="11"/>
  <c r="M53" i="11" s="1"/>
  <c r="M58" i="11"/>
  <c r="K69" i="11"/>
  <c r="K77" i="11"/>
  <c r="M77" i="11" s="1"/>
  <c r="N18" i="11"/>
  <c r="N34" i="11"/>
  <c r="N50" i="11"/>
  <c r="I3" i="11"/>
  <c r="K40" i="11"/>
  <c r="M40" i="11" s="1"/>
  <c r="K56" i="11"/>
  <c r="M56" i="11" s="1"/>
  <c r="I75" i="11"/>
  <c r="L17" i="11"/>
  <c r="N17" i="11" s="1"/>
  <c r="L41" i="11"/>
  <c r="N41" i="11" s="1"/>
  <c r="L65" i="11"/>
  <c r="N65" i="11" s="1"/>
  <c r="L73" i="11"/>
  <c r="N73" i="11" s="1"/>
  <c r="L81" i="11"/>
  <c r="N81" i="11" s="1"/>
  <c r="L89" i="11"/>
  <c r="N89" i="11" s="1"/>
  <c r="L97" i="11"/>
  <c r="K7" i="11"/>
  <c r="K39" i="11"/>
  <c r="M39" i="11" s="1"/>
  <c r="K26" i="11"/>
  <c r="M26" i="11" s="1"/>
  <c r="K42" i="11"/>
  <c r="M42" i="11" s="1"/>
  <c r="K13" i="11"/>
  <c r="K85" i="11"/>
  <c r="K64" i="11"/>
  <c r="J78" i="11"/>
  <c r="K4" i="11"/>
  <c r="K12" i="11"/>
  <c r="M12" i="11" s="1"/>
  <c r="I15" i="11"/>
  <c r="K20" i="11"/>
  <c r="M20" i="11" s="1"/>
  <c r="K28" i="11"/>
  <c r="K36" i="11"/>
  <c r="M36" i="11" s="1"/>
  <c r="K44" i="11"/>
  <c r="M44" i="11" s="1"/>
  <c r="K52" i="11"/>
  <c r="K60" i="11"/>
  <c r="M60" i="11" s="1"/>
  <c r="K68" i="11"/>
  <c r="M68" i="11" s="1"/>
  <c r="K76" i="11"/>
  <c r="K84" i="11"/>
  <c r="M84" i="11" s="1"/>
  <c r="K92" i="11"/>
  <c r="M92" i="11" s="1"/>
  <c r="K61" i="11"/>
  <c r="K24" i="11"/>
  <c r="M24" i="11" s="1"/>
  <c r="K80" i="11"/>
  <c r="M80" i="11" s="1"/>
  <c r="J6" i="11"/>
  <c r="J54" i="11"/>
  <c r="L4" i="11"/>
  <c r="L28" i="11"/>
  <c r="L52" i="11"/>
  <c r="L84" i="11"/>
  <c r="N84" i="11" s="1"/>
  <c r="J85" i="10"/>
  <c r="I40" i="10"/>
  <c r="N40" i="10" s="1"/>
  <c r="K79" i="10"/>
  <c r="K31" i="10"/>
  <c r="I97" i="10"/>
  <c r="J40" i="10"/>
  <c r="J25" i="10"/>
  <c r="J48" i="10"/>
  <c r="K58" i="10"/>
  <c r="J66" i="10"/>
  <c r="I82" i="10"/>
  <c r="N82" i="10" s="1"/>
  <c r="K95" i="10"/>
  <c r="M95" i="10" s="1"/>
  <c r="I10" i="10"/>
  <c r="N10" i="10" s="1"/>
  <c r="I94" i="10"/>
  <c r="J18" i="10"/>
  <c r="I34" i="10"/>
  <c r="I58" i="10"/>
  <c r="J58" i="10"/>
  <c r="N92" i="10"/>
  <c r="J43" i="10"/>
  <c r="L48" i="10"/>
  <c r="N48" i="10" s="1"/>
  <c r="L58" i="10"/>
  <c r="J72" i="10"/>
  <c r="J82" i="10"/>
  <c r="L95" i="10"/>
  <c r="N95" i="10" s="1"/>
  <c r="K23" i="10"/>
  <c r="M23" i="10" s="1"/>
  <c r="J64" i="10"/>
  <c r="J10" i="10"/>
  <c r="J88" i="10"/>
  <c r="J13" i="10"/>
  <c r="L72" i="10"/>
  <c r="N72" i="10" s="1"/>
  <c r="K82" i="10"/>
  <c r="J93" i="10"/>
  <c r="J34" i="10"/>
  <c r="K71" i="10"/>
  <c r="M71" i="10" s="1"/>
  <c r="N71" i="10"/>
  <c r="L13" i="10"/>
  <c r="I21" i="10"/>
  <c r="L35" i="10"/>
  <c r="N35" i="10" s="1"/>
  <c r="L67" i="10"/>
  <c r="N67" i="10" s="1"/>
  <c r="L82" i="10"/>
  <c r="J90" i="10"/>
  <c r="J96" i="10"/>
  <c r="N23" i="10"/>
  <c r="K47" i="10"/>
  <c r="M47" i="10" s="1"/>
  <c r="L27" i="10"/>
  <c r="J37" i="10"/>
  <c r="L59" i="10"/>
  <c r="N59" i="10" s="1"/>
  <c r="L90" i="10"/>
  <c r="N90" i="10" s="1"/>
  <c r="L96" i="10"/>
  <c r="N96" i="10" s="1"/>
  <c r="I64" i="10"/>
  <c r="N64" i="10" s="1"/>
  <c r="K10" i="10"/>
  <c r="K34" i="10"/>
  <c r="L21" i="10"/>
  <c r="N29" i="10"/>
  <c r="L37" i="10"/>
  <c r="L50" i="10"/>
  <c r="N50" i="10" s="1"/>
  <c r="J61" i="10"/>
  <c r="I88" i="10"/>
  <c r="N88" i="10" s="1"/>
  <c r="L5" i="10"/>
  <c r="N5" i="10" s="1"/>
  <c r="L15" i="10"/>
  <c r="I22" i="10"/>
  <c r="N22" i="10" s="1"/>
  <c r="L51" i="10"/>
  <c r="L61" i="10"/>
  <c r="L74" i="10"/>
  <c r="N74" i="10" s="1"/>
  <c r="L83" i="10"/>
  <c r="N83" i="10" s="1"/>
  <c r="L91" i="10"/>
  <c r="I61" i="10"/>
  <c r="I55" i="10"/>
  <c r="I13" i="10"/>
  <c r="N63" i="10"/>
  <c r="N87" i="10"/>
  <c r="N2" i="10"/>
  <c r="N26" i="10"/>
  <c r="N42" i="10"/>
  <c r="K16" i="10"/>
  <c r="M16" i="10" s="1"/>
  <c r="K40" i="10"/>
  <c r="I43" i="10"/>
  <c r="K48" i="10"/>
  <c r="M48" i="10" s="1"/>
  <c r="I51" i="10"/>
  <c r="K56" i="10"/>
  <c r="M56" i="10" s="1"/>
  <c r="K64" i="10"/>
  <c r="I75" i="10"/>
  <c r="K88" i="10"/>
  <c r="I91" i="10"/>
  <c r="K96" i="10"/>
  <c r="M96" i="10" s="1"/>
  <c r="K7" i="10"/>
  <c r="K15" i="10"/>
  <c r="K39" i="10"/>
  <c r="M39" i="10" s="1"/>
  <c r="K55" i="10"/>
  <c r="K63" i="10"/>
  <c r="M63" i="10" s="1"/>
  <c r="K18" i="10"/>
  <c r="M18" i="10" s="1"/>
  <c r="K66" i="10"/>
  <c r="M66" i="10"/>
  <c r="K93" i="10"/>
  <c r="M93" i="10" s="1"/>
  <c r="I27" i="10"/>
  <c r="J51" i="10"/>
  <c r="N53" i="10"/>
  <c r="J75" i="10"/>
  <c r="K3" i="10"/>
  <c r="I6" i="10"/>
  <c r="K11" i="10"/>
  <c r="M11" i="10" s="1"/>
  <c r="K19" i="10"/>
  <c r="K27" i="10"/>
  <c r="I30" i="10"/>
  <c r="K35" i="10"/>
  <c r="M35" i="10" s="1"/>
  <c r="K43" i="10"/>
  <c r="K51" i="10"/>
  <c r="K59" i="10"/>
  <c r="M59" i="10" s="1"/>
  <c r="K67" i="10"/>
  <c r="M67" i="10" s="1"/>
  <c r="K75" i="10"/>
  <c r="I78" i="10"/>
  <c r="K83" i="10"/>
  <c r="M83" i="10" s="1"/>
  <c r="K91" i="10"/>
  <c r="K42" i="10"/>
  <c r="M42" i="10" s="1"/>
  <c r="K50" i="10"/>
  <c r="M50" i="10" s="1"/>
  <c r="K8" i="10"/>
  <c r="M8" i="10" s="1"/>
  <c r="K32" i="10"/>
  <c r="M32" i="10" s="1"/>
  <c r="J27" i="10"/>
  <c r="N56" i="10"/>
  <c r="K14" i="10"/>
  <c r="M14" i="10" s="1"/>
  <c r="I25" i="10"/>
  <c r="K94" i="10"/>
  <c r="L6" i="10"/>
  <c r="N11" i="10"/>
  <c r="L14" i="10"/>
  <c r="N14" i="10" s="1"/>
  <c r="L30" i="10"/>
  <c r="L38" i="10"/>
  <c r="N38" i="10" s="1"/>
  <c r="L54" i="10"/>
  <c r="N54" i="10" s="1"/>
  <c r="L62" i="10"/>
  <c r="N62" i="10" s="1"/>
  <c r="L78" i="10"/>
  <c r="L86" i="10"/>
  <c r="N86" i="10" s="1"/>
  <c r="L94" i="10"/>
  <c r="K26" i="10"/>
  <c r="M26" i="10" s="1"/>
  <c r="K74" i="10"/>
  <c r="M74" i="10" s="1"/>
  <c r="K45" i="10"/>
  <c r="M45" i="10" s="1"/>
  <c r="I19" i="10"/>
  <c r="K22" i="10"/>
  <c r="I4" i="10"/>
  <c r="K9" i="10"/>
  <c r="M9" i="10" s="1"/>
  <c r="K17" i="10"/>
  <c r="M17" i="10" s="1"/>
  <c r="K25" i="10"/>
  <c r="I28" i="10"/>
  <c r="K33" i="10"/>
  <c r="M33" i="10" s="1"/>
  <c r="I36" i="10"/>
  <c r="K41" i="10"/>
  <c r="M41" i="10" s="1"/>
  <c r="K49" i="10"/>
  <c r="M49" i="10" s="1"/>
  <c r="I52" i="10"/>
  <c r="K57" i="10"/>
  <c r="M57" i="10" s="1"/>
  <c r="K65" i="10"/>
  <c r="M65" i="10" s="1"/>
  <c r="K73" i="10"/>
  <c r="I76" i="10"/>
  <c r="K81" i="10"/>
  <c r="M81" i="10" s="1"/>
  <c r="I84" i="10"/>
  <c r="M86" i="10"/>
  <c r="K89" i="10"/>
  <c r="M89" i="10" s="1"/>
  <c r="K97" i="10"/>
  <c r="K5" i="10"/>
  <c r="M5" i="10" s="1"/>
  <c r="K13" i="10"/>
  <c r="K37" i="10"/>
  <c r="K53" i="10"/>
  <c r="M53" i="10" s="1"/>
  <c r="K61" i="10"/>
  <c r="K24" i="10"/>
  <c r="M24" i="10" s="1"/>
  <c r="K72" i="10"/>
  <c r="M72" i="10" s="1"/>
  <c r="J54" i="10"/>
  <c r="I73" i="10"/>
  <c r="J4" i="10"/>
  <c r="L9" i="10"/>
  <c r="N9" i="10" s="1"/>
  <c r="L17" i="10"/>
  <c r="N17" i="10" s="1"/>
  <c r="L25" i="10"/>
  <c r="L33" i="10"/>
  <c r="N33" i="10" s="1"/>
  <c r="L41" i="10"/>
  <c r="N41" i="10" s="1"/>
  <c r="L49" i="10"/>
  <c r="N49" i="10" s="1"/>
  <c r="L57" i="10"/>
  <c r="N57" i="10" s="1"/>
  <c r="L65" i="10"/>
  <c r="N65" i="10" s="1"/>
  <c r="L73" i="10"/>
  <c r="L81" i="10"/>
  <c r="N81" i="10" s="1"/>
  <c r="L89" i="10"/>
  <c r="N89" i="10" s="1"/>
  <c r="L97" i="10"/>
  <c r="K2" i="10"/>
  <c r="M2" i="10" s="1"/>
  <c r="K69" i="10"/>
  <c r="M69" i="10" s="1"/>
  <c r="I3" i="10"/>
  <c r="K80" i="10"/>
  <c r="M80" i="10" s="1"/>
  <c r="J6" i="10"/>
  <c r="J78" i="10"/>
  <c r="K6" i="10"/>
  <c r="K30" i="10"/>
  <c r="K38" i="10"/>
  <c r="M38" i="10" s="1"/>
  <c r="K46" i="10"/>
  <c r="M46" i="10" s="1"/>
  <c r="K54" i="10"/>
  <c r="M54" i="10" s="1"/>
  <c r="K62" i="10"/>
  <c r="M62" i="10" s="1"/>
  <c r="K70" i="10"/>
  <c r="M70" i="10" s="1"/>
  <c r="K78" i="10"/>
  <c r="K4" i="10"/>
  <c r="K12" i="10"/>
  <c r="M12" i="10" s="1"/>
  <c r="I15" i="10"/>
  <c r="K20" i="10"/>
  <c r="M20" i="10" s="1"/>
  <c r="K28" i="10"/>
  <c r="K36" i="10"/>
  <c r="K44" i="10"/>
  <c r="M44" i="10" s="1"/>
  <c r="K52" i="10"/>
  <c r="K60" i="10"/>
  <c r="M60" i="10" s="1"/>
  <c r="K68" i="10"/>
  <c r="M68" i="10" s="1"/>
  <c r="K76" i="10"/>
  <c r="K84" i="10"/>
  <c r="K92" i="10"/>
  <c r="M92" i="10" s="1"/>
  <c r="K90" i="10"/>
  <c r="M90" i="10" s="1"/>
  <c r="K21" i="10"/>
  <c r="K29" i="10"/>
  <c r="M29" i="10" s="1"/>
  <c r="K77" i="10"/>
  <c r="M77" i="10" s="1"/>
  <c r="K85" i="10"/>
  <c r="J30" i="10"/>
  <c r="L4" i="10"/>
  <c r="L12" i="10"/>
  <c r="N12" i="10" s="1"/>
  <c r="L20" i="10"/>
  <c r="N20" i="10" s="1"/>
  <c r="L28" i="10"/>
  <c r="L36" i="10"/>
  <c r="L44" i="10"/>
  <c r="N44" i="10" s="1"/>
  <c r="L52" i="10"/>
  <c r="L60" i="10"/>
  <c r="N60" i="10" s="1"/>
  <c r="L68" i="10"/>
  <c r="N68" i="10" s="1"/>
  <c r="L84" i="10"/>
  <c r="J73" i="9"/>
  <c r="J58" i="9"/>
  <c r="J34" i="9"/>
  <c r="N23" i="9"/>
  <c r="L18" i="9"/>
  <c r="L87" i="9"/>
  <c r="N87" i="9" s="1"/>
  <c r="L74" i="9"/>
  <c r="L2" i="9"/>
  <c r="L79" i="9"/>
  <c r="I10" i="9"/>
  <c r="M10" i="9" s="1"/>
  <c r="K23" i="9"/>
  <c r="M23" i="9" s="1"/>
  <c r="J10" i="9"/>
  <c r="K95" i="9"/>
  <c r="M95" i="9" s="1"/>
  <c r="I97" i="9"/>
  <c r="J43" i="9"/>
  <c r="L12" i="9"/>
  <c r="L20" i="9"/>
  <c r="J25" i="9"/>
  <c r="L35" i="9"/>
  <c r="N35" i="9" s="1"/>
  <c r="I45" i="9"/>
  <c r="L61" i="9"/>
  <c r="N61" i="9" s="1"/>
  <c r="L69" i="9"/>
  <c r="N69" i="9" s="1"/>
  <c r="I88" i="9"/>
  <c r="I70" i="9"/>
  <c r="J88" i="9"/>
  <c r="L13" i="9"/>
  <c r="L95" i="9"/>
  <c r="N95" i="9" s="1"/>
  <c r="L59" i="9"/>
  <c r="L11" i="9"/>
  <c r="J69" i="9"/>
  <c r="J21" i="9"/>
  <c r="L80" i="9"/>
  <c r="N80" i="9" s="1"/>
  <c r="L24" i="9"/>
  <c r="N24" i="9" s="1"/>
  <c r="L63" i="9"/>
  <c r="N63" i="9" s="1"/>
  <c r="L21" i="9"/>
  <c r="L55" i="9"/>
  <c r="I64" i="9"/>
  <c r="J18" i="9"/>
  <c r="J85" i="9"/>
  <c r="J37" i="9"/>
  <c r="I21" i="9"/>
  <c r="N21" i="9" s="1"/>
  <c r="L37" i="9"/>
  <c r="L7" i="9"/>
  <c r="L15" i="9"/>
  <c r="I22" i="9"/>
  <c r="L39" i="9"/>
  <c r="N39" i="9" s="1"/>
  <c r="J46" i="9"/>
  <c r="J64" i="9"/>
  <c r="K71" i="9"/>
  <c r="M71" i="9" s="1"/>
  <c r="J82" i="9"/>
  <c r="J90" i="9"/>
  <c r="J96" i="9"/>
  <c r="J94" i="9"/>
  <c r="J13" i="9"/>
  <c r="I16" i="9"/>
  <c r="L31" i="9"/>
  <c r="I40" i="9"/>
  <c r="L71" i="9"/>
  <c r="N71" i="9" s="1"/>
  <c r="K82" i="9"/>
  <c r="M82" i="9" s="1"/>
  <c r="L90" i="9"/>
  <c r="N90" i="9" s="1"/>
  <c r="L96" i="9"/>
  <c r="N96" i="9" s="1"/>
  <c r="J61" i="9"/>
  <c r="N20" i="9"/>
  <c r="L26" i="9"/>
  <c r="N26" i="9" s="1"/>
  <c r="J16" i="9"/>
  <c r="L22" i="9"/>
  <c r="N32" i="9"/>
  <c r="J40" i="9"/>
  <c r="L56" i="9"/>
  <c r="N56" i="9" s="1"/>
  <c r="L82" i="9"/>
  <c r="N82" i="9" s="1"/>
  <c r="L45" i="9"/>
  <c r="N45" i="9" s="1"/>
  <c r="L8" i="9"/>
  <c r="N8" i="9" s="1"/>
  <c r="I58" i="9"/>
  <c r="N85" i="9"/>
  <c r="K86" i="9"/>
  <c r="M86" i="9" s="1"/>
  <c r="K30" i="9"/>
  <c r="K43" i="9"/>
  <c r="K27" i="9"/>
  <c r="K76" i="9"/>
  <c r="K52" i="9"/>
  <c r="K28" i="9"/>
  <c r="K4" i="9"/>
  <c r="K14" i="9"/>
  <c r="M14" i="9" s="1"/>
  <c r="K19" i="9"/>
  <c r="K78" i="9"/>
  <c r="K54" i="9"/>
  <c r="K51" i="9"/>
  <c r="K89" i="9"/>
  <c r="M89" i="9" s="1"/>
  <c r="K65" i="9"/>
  <c r="M65" i="9" s="1"/>
  <c r="K41" i="9"/>
  <c r="M41" i="9" s="1"/>
  <c r="K17" i="9"/>
  <c r="M17" i="9" s="1"/>
  <c r="I4" i="9"/>
  <c r="K38" i="9"/>
  <c r="M38" i="9" s="1"/>
  <c r="K6" i="9"/>
  <c r="K91" i="9"/>
  <c r="K75" i="9"/>
  <c r="K67" i="9"/>
  <c r="K62" i="9"/>
  <c r="M62" i="9" s="1"/>
  <c r="K3" i="9"/>
  <c r="K88" i="9"/>
  <c r="K64" i="9"/>
  <c r="K40" i="9"/>
  <c r="K16" i="9"/>
  <c r="M16" i="9" s="1"/>
  <c r="I3" i="9"/>
  <c r="N2" i="9"/>
  <c r="K77" i="9"/>
  <c r="M77" i="9" s="1"/>
  <c r="K29" i="9"/>
  <c r="M29" i="9" s="1"/>
  <c r="N57" i="9"/>
  <c r="K15" i="9"/>
  <c r="N34" i="9"/>
  <c r="M34" i="9"/>
  <c r="M45" i="9"/>
  <c r="I52" i="9"/>
  <c r="I51" i="9"/>
  <c r="N50" i="9"/>
  <c r="K74" i="9"/>
  <c r="M74" i="9" s="1"/>
  <c r="I28" i="9"/>
  <c r="I27" i="9"/>
  <c r="J52" i="9"/>
  <c r="J51" i="9"/>
  <c r="J28" i="9"/>
  <c r="J27" i="9"/>
  <c r="K50" i="9"/>
  <c r="M50" i="9" s="1"/>
  <c r="K26" i="9"/>
  <c r="M26" i="9" s="1"/>
  <c r="I91" i="9"/>
  <c r="N93" i="9"/>
  <c r="I6" i="9"/>
  <c r="K5" i="9"/>
  <c r="M5" i="9" s="1"/>
  <c r="I43" i="9"/>
  <c r="N42" i="9"/>
  <c r="K7" i="9"/>
  <c r="I19" i="9"/>
  <c r="N18" i="9"/>
  <c r="I30" i="9"/>
  <c r="J55" i="9"/>
  <c r="J54" i="9"/>
  <c r="K63" i="9"/>
  <c r="M63" i="9" s="1"/>
  <c r="J76" i="9"/>
  <c r="J75" i="9"/>
  <c r="J79" i="9"/>
  <c r="J78" i="9"/>
  <c r="I54" i="9"/>
  <c r="J31" i="9"/>
  <c r="J30" i="9"/>
  <c r="K42" i="9"/>
  <c r="M42" i="9" s="1"/>
  <c r="K53" i="9"/>
  <c r="M53" i="9" s="1"/>
  <c r="K66" i="9"/>
  <c r="M66" i="9" s="1"/>
  <c r="I76" i="9"/>
  <c r="I75" i="9"/>
  <c r="N74" i="9"/>
  <c r="K79" i="9"/>
  <c r="K18" i="9"/>
  <c r="M18" i="9" s="1"/>
  <c r="K31" i="9"/>
  <c r="K55" i="9"/>
  <c r="J4" i="9"/>
  <c r="J3" i="9"/>
  <c r="K39" i="9"/>
  <c r="M39" i="9" s="1"/>
  <c r="K2" i="9"/>
  <c r="M2" i="9" s="1"/>
  <c r="I78" i="9"/>
  <c r="K90" i="9"/>
  <c r="M90" i="9" s="1"/>
  <c r="I67" i="9"/>
  <c r="N66" i="9"/>
  <c r="N48" i="9"/>
  <c r="I49" i="9"/>
  <c r="J7" i="9"/>
  <c r="J6" i="9"/>
  <c r="K46" i="9"/>
  <c r="M46" i="9" s="1"/>
  <c r="I9" i="9"/>
  <c r="K35" i="9"/>
  <c r="M35" i="9" s="1"/>
  <c r="M8" i="9"/>
  <c r="K92" i="9"/>
  <c r="M92" i="9" s="1"/>
  <c r="K84" i="9"/>
  <c r="M84" i="9" s="1"/>
  <c r="K68" i="9"/>
  <c r="M68" i="9" s="1"/>
  <c r="K60" i="9"/>
  <c r="M60" i="9" s="1"/>
  <c r="K44" i="9"/>
  <c r="M44" i="9" s="1"/>
  <c r="K36" i="9"/>
  <c r="K20" i="9"/>
  <c r="M20" i="9" s="1"/>
  <c r="K12" i="9"/>
  <c r="K59" i="9"/>
  <c r="M59" i="9" s="1"/>
  <c r="K97" i="9"/>
  <c r="K81" i="9"/>
  <c r="K73" i="9"/>
  <c r="K57" i="9"/>
  <c r="M57" i="9" s="1"/>
  <c r="K49" i="9"/>
  <c r="K33" i="9"/>
  <c r="K25" i="9"/>
  <c r="M25" i="9" s="1"/>
  <c r="K9" i="9"/>
  <c r="K70" i="9"/>
  <c r="K11" i="9"/>
  <c r="M11" i="9" s="1"/>
  <c r="K94" i="9"/>
  <c r="M94" i="9" s="1"/>
  <c r="K22" i="9"/>
  <c r="K83" i="9"/>
  <c r="M83" i="9" s="1"/>
  <c r="K96" i="9"/>
  <c r="M96" i="9" s="1"/>
  <c r="K80" i="9"/>
  <c r="M80" i="9" s="1"/>
  <c r="K72" i="9"/>
  <c r="M72" i="9" s="1"/>
  <c r="K56" i="9"/>
  <c r="M56" i="9" s="1"/>
  <c r="K48" i="9"/>
  <c r="M48" i="9" s="1"/>
  <c r="K32" i="9"/>
  <c r="M32" i="9" s="1"/>
  <c r="K24" i="9"/>
  <c r="M24" i="9" s="1"/>
  <c r="K8" i="9"/>
  <c r="K93" i="9"/>
  <c r="M93" i="9" s="1"/>
  <c r="K85" i="9"/>
  <c r="M85" i="9" s="1"/>
  <c r="K69" i="9"/>
  <c r="M69" i="9" s="1"/>
  <c r="K61" i="9"/>
  <c r="M61" i="9" s="1"/>
  <c r="K37" i="9"/>
  <c r="K21" i="9"/>
  <c r="K13" i="9"/>
  <c r="K87" i="9"/>
  <c r="M87" i="9" s="1"/>
  <c r="L5" i="9"/>
  <c r="N5" i="9" s="1"/>
  <c r="L29" i="9"/>
  <c r="N29" i="9" s="1"/>
  <c r="L53" i="9"/>
  <c r="N53" i="9" s="1"/>
  <c r="L77" i="9"/>
  <c r="N77" i="9" s="1"/>
  <c r="L16" i="9"/>
  <c r="N16" i="9" s="1"/>
  <c r="L40" i="9"/>
  <c r="L64" i="9"/>
  <c r="N64" i="9" s="1"/>
  <c r="L88" i="9"/>
  <c r="I81" i="9"/>
  <c r="L6" i="9"/>
  <c r="N11" i="9"/>
  <c r="L14" i="9"/>
  <c r="N14" i="9" s="1"/>
  <c r="L30" i="9"/>
  <c r="L38" i="9"/>
  <c r="N38" i="9" s="1"/>
  <c r="L46" i="9"/>
  <c r="N46" i="9" s="1"/>
  <c r="L54" i="9"/>
  <c r="N59" i="9"/>
  <c r="L62" i="9"/>
  <c r="N62" i="9" s="1"/>
  <c r="L70" i="9"/>
  <c r="N70" i="9" s="1"/>
  <c r="L78" i="9"/>
  <c r="N83" i="9"/>
  <c r="L86" i="9"/>
  <c r="N86" i="9" s="1"/>
  <c r="L94" i="9"/>
  <c r="N94" i="9" s="1"/>
  <c r="L51" i="9"/>
  <c r="I33" i="9"/>
  <c r="I73" i="9"/>
  <c r="I12" i="9"/>
  <c r="I36" i="9"/>
  <c r="L3" i="9"/>
  <c r="L19" i="9"/>
  <c r="L27" i="9"/>
  <c r="L43" i="9"/>
  <c r="L67" i="9"/>
  <c r="L75" i="9"/>
  <c r="L9" i="9"/>
  <c r="L17" i="9"/>
  <c r="N17" i="9" s="1"/>
  <c r="L25" i="9"/>
  <c r="N25" i="9" s="1"/>
  <c r="L33" i="9"/>
  <c r="L41" i="9"/>
  <c r="N41" i="9" s="1"/>
  <c r="L49" i="9"/>
  <c r="L57" i="9"/>
  <c r="L65" i="9"/>
  <c r="N65" i="9" s="1"/>
  <c r="L73" i="9"/>
  <c r="L81" i="9"/>
  <c r="L89" i="9"/>
  <c r="N89" i="9" s="1"/>
  <c r="L97" i="9"/>
  <c r="N97" i="9" s="1"/>
  <c r="I15" i="9"/>
  <c r="L91" i="9"/>
  <c r="L4" i="9"/>
  <c r="L28" i="9"/>
  <c r="L36" i="9"/>
  <c r="L44" i="9"/>
  <c r="N44" i="9" s="1"/>
  <c r="L52" i="9"/>
  <c r="L60" i="9"/>
  <c r="N60" i="9" s="1"/>
  <c r="L68" i="9"/>
  <c r="N68" i="9" s="1"/>
  <c r="L84" i="9"/>
  <c r="N84" i="9" s="1"/>
  <c r="J73" i="8"/>
  <c r="J67" i="8"/>
  <c r="I34" i="8"/>
  <c r="J34" i="8"/>
  <c r="L23" i="8"/>
  <c r="N23" i="8" s="1"/>
  <c r="L83" i="8"/>
  <c r="N83" i="8" s="1"/>
  <c r="L10" i="8"/>
  <c r="L72" i="8"/>
  <c r="N72" i="8" s="1"/>
  <c r="L34" i="8"/>
  <c r="L11" i="8"/>
  <c r="N11" i="8" s="1"/>
  <c r="L58" i="8"/>
  <c r="L47" i="8"/>
  <c r="N47" i="8" s="1"/>
  <c r="L48" i="8"/>
  <c r="N48" i="8" s="1"/>
  <c r="L82" i="8"/>
  <c r="K13" i="8"/>
  <c r="K58" i="8"/>
  <c r="K34" i="8"/>
  <c r="K23" i="8"/>
  <c r="M23" i="8" s="1"/>
  <c r="K18" i="8"/>
  <c r="M18" i="8" s="1"/>
  <c r="K7" i="8"/>
  <c r="L61" i="8"/>
  <c r="N61" i="8" s="1"/>
  <c r="J69" i="8"/>
  <c r="L93" i="8"/>
  <c r="N93" i="8" s="1"/>
  <c r="I21" i="8"/>
  <c r="L26" i="8"/>
  <c r="L37" i="8"/>
  <c r="I45" i="8"/>
  <c r="L69" i="8"/>
  <c r="N69" i="8" s="1"/>
  <c r="K87" i="8"/>
  <c r="M87" i="8" s="1"/>
  <c r="I94" i="8"/>
  <c r="K55" i="8"/>
  <c r="I70" i="8"/>
  <c r="L79" i="8"/>
  <c r="L87" i="8"/>
  <c r="J94" i="8"/>
  <c r="L45" i="8"/>
  <c r="J42" i="8"/>
  <c r="L59" i="8"/>
  <c r="N59" i="8" s="1"/>
  <c r="L20" i="8"/>
  <c r="N20" i="8" s="1"/>
  <c r="J61" i="8"/>
  <c r="L13" i="8"/>
  <c r="L8" i="8"/>
  <c r="N8" i="8" s="1"/>
  <c r="I16" i="8"/>
  <c r="L21" i="8"/>
  <c r="N21" i="8" s="1"/>
  <c r="K31" i="8"/>
  <c r="K39" i="8"/>
  <c r="M39" i="8" s="1"/>
  <c r="L63" i="8"/>
  <c r="N63" i="8" s="1"/>
  <c r="J88" i="8"/>
  <c r="J37" i="8"/>
  <c r="J21" i="8"/>
  <c r="L15" i="8"/>
  <c r="L9" i="8"/>
  <c r="J16" i="8"/>
  <c r="I22" i="8"/>
  <c r="L31" i="8"/>
  <c r="L39" i="8"/>
  <c r="N39" i="8" s="1"/>
  <c r="J46" i="8"/>
  <c r="I64" i="8"/>
  <c r="L80" i="8"/>
  <c r="N80" i="8" s="1"/>
  <c r="K95" i="8"/>
  <c r="M95" i="8" s="1"/>
  <c r="J85" i="8"/>
  <c r="L85" i="8"/>
  <c r="N85" i="8" s="1"/>
  <c r="I88" i="8"/>
  <c r="N88" i="8" s="1"/>
  <c r="I10" i="8"/>
  <c r="N10" i="8" s="1"/>
  <c r="I40" i="8"/>
  <c r="L56" i="8"/>
  <c r="N56" i="8" s="1"/>
  <c r="J64" i="8"/>
  <c r="K71" i="8"/>
  <c r="M71" i="8" s="1"/>
  <c r="I82" i="8"/>
  <c r="L95" i="8"/>
  <c r="N95" i="8" s="1"/>
  <c r="L12" i="8"/>
  <c r="N92" i="8"/>
  <c r="L24" i="8"/>
  <c r="N24" i="8" s="1"/>
  <c r="L55" i="8"/>
  <c r="J10" i="8"/>
  <c r="J40" i="8"/>
  <c r="I58" i="8"/>
  <c r="L71" i="8"/>
  <c r="N71" i="8" s="1"/>
  <c r="J82" i="8"/>
  <c r="K42" i="8"/>
  <c r="M42" i="8" s="1"/>
  <c r="J13" i="8"/>
  <c r="L35" i="8"/>
  <c r="N35" i="8" s="1"/>
  <c r="K21" i="8"/>
  <c r="K63" i="8"/>
  <c r="M63" i="8" s="1"/>
  <c r="K10" i="8"/>
  <c r="L32" i="8"/>
  <c r="N32" i="8" s="1"/>
  <c r="K47" i="8"/>
  <c r="M47" i="8" s="1"/>
  <c r="J58" i="8"/>
  <c r="K82" i="8"/>
  <c r="J96" i="8"/>
  <c r="J7" i="8"/>
  <c r="J6" i="8"/>
  <c r="I76" i="8"/>
  <c r="I75" i="8"/>
  <c r="N74" i="8"/>
  <c r="N87" i="8"/>
  <c r="J76" i="8"/>
  <c r="J75" i="8"/>
  <c r="K74" i="8"/>
  <c r="M74" i="8" s="1"/>
  <c r="I43" i="8"/>
  <c r="N42" i="8"/>
  <c r="J31" i="8"/>
  <c r="J30" i="8"/>
  <c r="J4" i="8"/>
  <c r="J3" i="8"/>
  <c r="I78" i="8"/>
  <c r="I30" i="8"/>
  <c r="J52" i="8"/>
  <c r="J51" i="8"/>
  <c r="K86" i="8"/>
  <c r="M86" i="8" s="1"/>
  <c r="K76" i="8"/>
  <c r="K52" i="8"/>
  <c r="K28" i="8"/>
  <c r="K4" i="8"/>
  <c r="K75" i="8"/>
  <c r="K51" i="8"/>
  <c r="K43" i="8"/>
  <c r="K27" i="8"/>
  <c r="K62" i="8"/>
  <c r="M62" i="8" s="1"/>
  <c r="K38" i="8"/>
  <c r="M38" i="8" s="1"/>
  <c r="K6" i="8"/>
  <c r="K67" i="8"/>
  <c r="K3" i="8"/>
  <c r="K89" i="8"/>
  <c r="M89" i="8" s="1"/>
  <c r="K65" i="8"/>
  <c r="M65" i="8" s="1"/>
  <c r="K41" i="8"/>
  <c r="M41" i="8" s="1"/>
  <c r="K17" i="8"/>
  <c r="M17" i="8" s="1"/>
  <c r="I4" i="8"/>
  <c r="K54" i="8"/>
  <c r="K14" i="8"/>
  <c r="M14" i="8" s="1"/>
  <c r="K19" i="8"/>
  <c r="K78" i="8"/>
  <c r="K30" i="8"/>
  <c r="K91" i="8"/>
  <c r="K88" i="8"/>
  <c r="K64" i="8"/>
  <c r="K40" i="8"/>
  <c r="K16" i="8"/>
  <c r="I3" i="8"/>
  <c r="N2" i="8"/>
  <c r="K77" i="8"/>
  <c r="M77" i="8" s="1"/>
  <c r="K53" i="8"/>
  <c r="M53" i="8" s="1"/>
  <c r="K29" i="8"/>
  <c r="M29" i="8" s="1"/>
  <c r="K5" i="8"/>
  <c r="M5" i="8" s="1"/>
  <c r="K2" i="8"/>
  <c r="M2" i="8" s="1"/>
  <c r="I28" i="8"/>
  <c r="I27" i="8"/>
  <c r="N26" i="8"/>
  <c r="J79" i="8"/>
  <c r="J78" i="8"/>
  <c r="K90" i="8"/>
  <c r="M90" i="8" s="1"/>
  <c r="I91" i="8"/>
  <c r="N90" i="8"/>
  <c r="J28" i="8"/>
  <c r="J27" i="8"/>
  <c r="I67" i="8"/>
  <c r="N66" i="8"/>
  <c r="K79" i="8"/>
  <c r="I6" i="8"/>
  <c r="I52" i="8"/>
  <c r="I51" i="8"/>
  <c r="N50" i="8"/>
  <c r="K50" i="8"/>
  <c r="M50" i="8" s="1"/>
  <c r="K26" i="8"/>
  <c r="M26" i="8" s="1"/>
  <c r="I54" i="8"/>
  <c r="I19" i="8"/>
  <c r="N18" i="8"/>
  <c r="N41" i="8"/>
  <c r="J55" i="8"/>
  <c r="J54" i="8"/>
  <c r="K66" i="8"/>
  <c r="M66" i="8" s="1"/>
  <c r="K37" i="8"/>
  <c r="K45" i="8"/>
  <c r="K61" i="8"/>
  <c r="M61" i="8" s="1"/>
  <c r="K69" i="8"/>
  <c r="M69" i="8" s="1"/>
  <c r="K85" i="8"/>
  <c r="M85" i="8" s="1"/>
  <c r="L5" i="8"/>
  <c r="N5" i="8" s="1"/>
  <c r="L29" i="8"/>
  <c r="N29" i="8" s="1"/>
  <c r="L53" i="8"/>
  <c r="N53" i="8" s="1"/>
  <c r="L77" i="8"/>
  <c r="N77" i="8" s="1"/>
  <c r="K8" i="8"/>
  <c r="K24" i="8"/>
  <c r="M24" i="8" s="1"/>
  <c r="K32" i="8"/>
  <c r="M32" i="8" s="1"/>
  <c r="K48" i="8"/>
  <c r="M48" i="8" s="1"/>
  <c r="K56" i="8"/>
  <c r="M56" i="8" s="1"/>
  <c r="K72" i="8"/>
  <c r="M72" i="8" s="1"/>
  <c r="K80" i="8"/>
  <c r="M80" i="8" s="1"/>
  <c r="K96" i="8"/>
  <c r="M96" i="8" s="1"/>
  <c r="L16" i="8"/>
  <c r="L40" i="8"/>
  <c r="L64" i="8"/>
  <c r="L88" i="8"/>
  <c r="L96" i="8"/>
  <c r="N96" i="8" s="1"/>
  <c r="L3" i="8"/>
  <c r="I49" i="8"/>
  <c r="I81" i="8"/>
  <c r="I97" i="8"/>
  <c r="L6" i="8"/>
  <c r="L14" i="8"/>
  <c r="N14" i="8" s="1"/>
  <c r="L22" i="8"/>
  <c r="L30" i="8"/>
  <c r="L38" i="8"/>
  <c r="L46" i="8"/>
  <c r="N46" i="8" s="1"/>
  <c r="L54" i="8"/>
  <c r="L62" i="8"/>
  <c r="N62" i="8" s="1"/>
  <c r="L70" i="8"/>
  <c r="L78" i="8"/>
  <c r="L86" i="8"/>
  <c r="L94" i="8"/>
  <c r="M8" i="8"/>
  <c r="L19" i="8"/>
  <c r="L43" i="8"/>
  <c r="I73" i="8"/>
  <c r="K94" i="8"/>
  <c r="K9" i="8"/>
  <c r="I12" i="8"/>
  <c r="K25" i="8"/>
  <c r="K33" i="8"/>
  <c r="M33" i="8" s="1"/>
  <c r="I36" i="8"/>
  <c r="K49" i="8"/>
  <c r="K57" i="8"/>
  <c r="M57" i="8" s="1"/>
  <c r="K73" i="8"/>
  <c r="K81" i="8"/>
  <c r="K97" i="8"/>
  <c r="N40" i="8"/>
  <c r="L51" i="8"/>
  <c r="L67" i="8"/>
  <c r="L75" i="8"/>
  <c r="I9" i="8"/>
  <c r="K22" i="8"/>
  <c r="L17" i="8"/>
  <c r="N17" i="8" s="1"/>
  <c r="L25" i="8"/>
  <c r="L33" i="8"/>
  <c r="N33" i="8" s="1"/>
  <c r="N38" i="8"/>
  <c r="L41" i="8"/>
  <c r="L49" i="8"/>
  <c r="L57" i="8"/>
  <c r="N57" i="8" s="1"/>
  <c r="L65" i="8"/>
  <c r="N65" i="8" s="1"/>
  <c r="L73" i="8"/>
  <c r="L81" i="8"/>
  <c r="N86" i="8"/>
  <c r="L89" i="8"/>
  <c r="N89" i="8" s="1"/>
  <c r="L97" i="8"/>
  <c r="K35" i="8"/>
  <c r="M35" i="8" s="1"/>
  <c r="K59" i="8"/>
  <c r="M59" i="8" s="1"/>
  <c r="K83" i="8"/>
  <c r="M83" i="8" s="1"/>
  <c r="L27" i="8"/>
  <c r="L91" i="8"/>
  <c r="I25" i="8"/>
  <c r="K46" i="8"/>
  <c r="M46" i="8" s="1"/>
  <c r="K12" i="8"/>
  <c r="I15" i="8"/>
  <c r="K20" i="8"/>
  <c r="M20" i="8" s="1"/>
  <c r="K36" i="8"/>
  <c r="K44" i="8"/>
  <c r="M44" i="8" s="1"/>
  <c r="K60" i="8"/>
  <c r="M60" i="8" s="1"/>
  <c r="K68" i="8"/>
  <c r="M68" i="8" s="1"/>
  <c r="K84" i="8"/>
  <c r="M84" i="8" s="1"/>
  <c r="K92" i="8"/>
  <c r="M92" i="8" s="1"/>
  <c r="K93" i="8"/>
  <c r="M93" i="8" s="1"/>
  <c r="K11" i="8"/>
  <c r="M11" i="8" s="1"/>
  <c r="L4" i="8"/>
  <c r="L28" i="8"/>
  <c r="L36" i="8"/>
  <c r="L44" i="8"/>
  <c r="N44" i="8" s="1"/>
  <c r="L52" i="8"/>
  <c r="L60" i="8"/>
  <c r="N60" i="8" s="1"/>
  <c r="L68" i="8"/>
  <c r="N68" i="8" s="1"/>
  <c r="L84" i="8"/>
  <c r="N84" i="8" s="1"/>
  <c r="N71" i="7"/>
  <c r="J16" i="7"/>
  <c r="K58" i="7"/>
  <c r="M58" i="7" s="1"/>
  <c r="I93" i="7"/>
  <c r="J48" i="7"/>
  <c r="J93" i="7"/>
  <c r="J10" i="7"/>
  <c r="K23" i="7"/>
  <c r="M23" i="7" s="1"/>
  <c r="J34" i="7"/>
  <c r="J42" i="7"/>
  <c r="J18" i="7"/>
  <c r="L10" i="7"/>
  <c r="L34" i="7"/>
  <c r="L59" i="7"/>
  <c r="N59" i="7" s="1"/>
  <c r="I69" i="7"/>
  <c r="N69" i="7" s="1"/>
  <c r="L93" i="7"/>
  <c r="K10" i="7"/>
  <c r="L23" i="7"/>
  <c r="N23" i="7" s="1"/>
  <c r="K34" i="7"/>
  <c r="J24" i="7"/>
  <c r="J61" i="7"/>
  <c r="J69" i="7"/>
  <c r="J67" i="7"/>
  <c r="L11" i="7"/>
  <c r="N11" i="7" s="1"/>
  <c r="L35" i="7"/>
  <c r="N35" i="7" s="1"/>
  <c r="I45" i="7"/>
  <c r="N45" i="7" s="1"/>
  <c r="J88" i="7"/>
  <c r="K95" i="7"/>
  <c r="M95" i="7" s="1"/>
  <c r="K47" i="7"/>
  <c r="M47" i="7" s="1"/>
  <c r="L24" i="7"/>
  <c r="N24" i="7" s="1"/>
  <c r="L61" i="7"/>
  <c r="L12" i="7"/>
  <c r="J45" i="7"/>
  <c r="L37" i="7"/>
  <c r="L80" i="7"/>
  <c r="N80" i="7" s="1"/>
  <c r="L13" i="7"/>
  <c r="I21" i="7"/>
  <c r="N21" i="7" s="1"/>
  <c r="L55" i="7"/>
  <c r="I64" i="7"/>
  <c r="N64" i="7" s="1"/>
  <c r="I82" i="7"/>
  <c r="M82" i="7" s="1"/>
  <c r="J96" i="7"/>
  <c r="N47" i="7"/>
  <c r="J58" i="7"/>
  <c r="I10" i="7"/>
  <c r="N10" i="7" s="1"/>
  <c r="I34" i="7"/>
  <c r="J85" i="7"/>
  <c r="N92" i="7"/>
  <c r="L69" i="7"/>
  <c r="L20" i="7"/>
  <c r="N20" i="7" s="1"/>
  <c r="J37" i="7"/>
  <c r="J13" i="7"/>
  <c r="L45" i="7"/>
  <c r="N56" i="7"/>
  <c r="J64" i="7"/>
  <c r="K71" i="7"/>
  <c r="M71" i="7" s="1"/>
  <c r="J82" i="7"/>
  <c r="L96" i="7"/>
  <c r="N96" i="7" s="1"/>
  <c r="I79" i="7"/>
  <c r="M78" i="7"/>
  <c r="I61" i="7"/>
  <c r="I55" i="7"/>
  <c r="N63" i="7"/>
  <c r="N87" i="7"/>
  <c r="I7" i="7"/>
  <c r="I31" i="7"/>
  <c r="N39" i="7"/>
  <c r="I13" i="7"/>
  <c r="N12" i="7"/>
  <c r="K7" i="7"/>
  <c r="K31" i="7"/>
  <c r="K18" i="7"/>
  <c r="M18" i="7" s="1"/>
  <c r="K85" i="7"/>
  <c r="N2" i="7"/>
  <c r="N26" i="7"/>
  <c r="N42" i="7"/>
  <c r="N50" i="7"/>
  <c r="N58" i="7"/>
  <c r="N66" i="7"/>
  <c r="N74" i="7"/>
  <c r="L77" i="7"/>
  <c r="N77" i="7" s="1"/>
  <c r="N90" i="7"/>
  <c r="I3" i="7"/>
  <c r="K8" i="7"/>
  <c r="M8" i="7" s="1"/>
  <c r="K16" i="7"/>
  <c r="M16" i="7" s="1"/>
  <c r="I19" i="7"/>
  <c r="K24" i="7"/>
  <c r="M24" i="7" s="1"/>
  <c r="I27" i="7"/>
  <c r="K32" i="7"/>
  <c r="M32" i="7" s="1"/>
  <c r="K40" i="7"/>
  <c r="K48" i="7"/>
  <c r="M48" i="7" s="1"/>
  <c r="I51" i="7"/>
  <c r="K56" i="7"/>
  <c r="M56" i="7" s="1"/>
  <c r="K64" i="7"/>
  <c r="I67" i="7"/>
  <c r="K72" i="7"/>
  <c r="M72" i="7" s="1"/>
  <c r="I75" i="7"/>
  <c r="K80" i="7"/>
  <c r="M80" i="7" s="1"/>
  <c r="K88" i="7"/>
  <c r="M88" i="7" s="1"/>
  <c r="I91" i="7"/>
  <c r="K96" i="7"/>
  <c r="M96" i="7" s="1"/>
  <c r="J3" i="7"/>
  <c r="N5" i="7"/>
  <c r="L16" i="7"/>
  <c r="N16" i="7" s="1"/>
  <c r="J27" i="7"/>
  <c r="L40" i="7"/>
  <c r="N40" i="7" s="1"/>
  <c r="J51" i="7"/>
  <c r="N53" i="7"/>
  <c r="L64" i="7"/>
  <c r="J75" i="7"/>
  <c r="L88" i="7"/>
  <c r="N88" i="7" s="1"/>
  <c r="K79" i="7"/>
  <c r="I97" i="7"/>
  <c r="K15" i="7"/>
  <c r="K39" i="7"/>
  <c r="M39" i="7" s="1"/>
  <c r="K2" i="7"/>
  <c r="M2" i="7" s="1"/>
  <c r="K5" i="7"/>
  <c r="M5" i="7" s="1"/>
  <c r="K45" i="7"/>
  <c r="K69" i="7"/>
  <c r="K19" i="7"/>
  <c r="K27" i="7"/>
  <c r="K43" i="7"/>
  <c r="M43" i="7" s="1"/>
  <c r="K75" i="7"/>
  <c r="L43" i="7"/>
  <c r="N43" i="7" s="1"/>
  <c r="J54" i="7"/>
  <c r="L67" i="7"/>
  <c r="L6" i="7"/>
  <c r="N6" i="7" s="1"/>
  <c r="L14" i="7"/>
  <c r="L30" i="7"/>
  <c r="N30" i="7" s="1"/>
  <c r="L38" i="7"/>
  <c r="L46" i="7"/>
  <c r="N46" i="7" s="1"/>
  <c r="L54" i="7"/>
  <c r="N54" i="7" s="1"/>
  <c r="L62" i="7"/>
  <c r="N62" i="7" s="1"/>
  <c r="L70" i="7"/>
  <c r="N70" i="7" s="1"/>
  <c r="L78" i="7"/>
  <c r="N78" i="7" s="1"/>
  <c r="N83" i="7"/>
  <c r="L86" i="7"/>
  <c r="L94" i="7"/>
  <c r="N94" i="7" s="1"/>
  <c r="K66" i="7"/>
  <c r="M66" i="7" s="1"/>
  <c r="K21" i="7"/>
  <c r="M21" i="7" s="1"/>
  <c r="M40" i="7"/>
  <c r="K67" i="7"/>
  <c r="K91" i="7"/>
  <c r="N32" i="7"/>
  <c r="N72" i="7"/>
  <c r="I9" i="7"/>
  <c r="K14" i="7"/>
  <c r="M14" i="7" s="1"/>
  <c r="K22" i="7"/>
  <c r="M22" i="7" s="1"/>
  <c r="K30" i="7"/>
  <c r="M30" i="7" s="1"/>
  <c r="K46" i="7"/>
  <c r="M46" i="7" s="1"/>
  <c r="I57" i="7"/>
  <c r="K62" i="7"/>
  <c r="M62" i="7" s="1"/>
  <c r="K70" i="7"/>
  <c r="I81" i="7"/>
  <c r="K86" i="7"/>
  <c r="M86" i="7" s="1"/>
  <c r="I4" i="7"/>
  <c r="K9" i="7"/>
  <c r="K17" i="7"/>
  <c r="M17" i="7" s="1"/>
  <c r="K25" i="7"/>
  <c r="K33" i="7"/>
  <c r="M33" i="7" s="1"/>
  <c r="I36" i="7"/>
  <c r="K41" i="7"/>
  <c r="M41" i="7" s="1"/>
  <c r="K49" i="7"/>
  <c r="M49" i="7" s="1"/>
  <c r="K57" i="7"/>
  <c r="K65" i="7"/>
  <c r="M65" i="7" s="1"/>
  <c r="M70" i="7"/>
  <c r="K73" i="7"/>
  <c r="M73" i="7" s="1"/>
  <c r="I76" i="7"/>
  <c r="K81" i="7"/>
  <c r="I84" i="7"/>
  <c r="K89" i="7"/>
  <c r="M89" i="7" s="1"/>
  <c r="K97" i="7"/>
  <c r="K42" i="7"/>
  <c r="M42" i="7" s="1"/>
  <c r="K74" i="7"/>
  <c r="M74" i="7" s="1"/>
  <c r="K13" i="7"/>
  <c r="K29" i="7"/>
  <c r="M29" i="7" s="1"/>
  <c r="K35" i="7"/>
  <c r="M35" i="7" s="1"/>
  <c r="K83" i="7"/>
  <c r="M83" i="7" s="1"/>
  <c r="K6" i="7"/>
  <c r="M6" i="7" s="1"/>
  <c r="I25" i="7"/>
  <c r="K38" i="7"/>
  <c r="M38" i="7" s="1"/>
  <c r="K54" i="7"/>
  <c r="M54" i="7" s="1"/>
  <c r="L9" i="7"/>
  <c r="N14" i="7"/>
  <c r="L17" i="7"/>
  <c r="N17" i="7" s="1"/>
  <c r="L25" i="7"/>
  <c r="L33" i="7"/>
  <c r="N33" i="7" s="1"/>
  <c r="N38" i="7"/>
  <c r="L41" i="7"/>
  <c r="N41" i="7" s="1"/>
  <c r="L49" i="7"/>
  <c r="N49" i="7" s="1"/>
  <c r="L57" i="7"/>
  <c r="L65" i="7"/>
  <c r="N65" i="7" s="1"/>
  <c r="L73" i="7"/>
  <c r="N73" i="7" s="1"/>
  <c r="L81" i="7"/>
  <c r="N86" i="7"/>
  <c r="L89" i="7"/>
  <c r="N89" i="7" s="1"/>
  <c r="L97" i="7"/>
  <c r="K26" i="7"/>
  <c r="M26" i="7" s="1"/>
  <c r="K50" i="7"/>
  <c r="M50" i="7" s="1"/>
  <c r="K90" i="7"/>
  <c r="M90" i="7" s="1"/>
  <c r="K61" i="7"/>
  <c r="K77" i="7"/>
  <c r="M77" i="7" s="1"/>
  <c r="N18" i="7"/>
  <c r="K3" i="7"/>
  <c r="K51" i="7"/>
  <c r="K59" i="7"/>
  <c r="M59" i="7" s="1"/>
  <c r="J6" i="7"/>
  <c r="J30" i="7"/>
  <c r="N48" i="7"/>
  <c r="J78" i="7"/>
  <c r="L91" i="7"/>
  <c r="K94" i="7"/>
  <c r="M94" i="7" s="1"/>
  <c r="K4" i="7"/>
  <c r="K12" i="7"/>
  <c r="M12" i="7" s="1"/>
  <c r="I15" i="7"/>
  <c r="K20" i="7"/>
  <c r="M20" i="7" s="1"/>
  <c r="K28" i="7"/>
  <c r="M28" i="7" s="1"/>
  <c r="K36" i="7"/>
  <c r="K44" i="7"/>
  <c r="M44" i="7" s="1"/>
  <c r="K52" i="7"/>
  <c r="M52" i="7" s="1"/>
  <c r="K60" i="7"/>
  <c r="M60" i="7" s="1"/>
  <c r="K68" i="7"/>
  <c r="M68" i="7" s="1"/>
  <c r="K76" i="7"/>
  <c r="K84" i="7"/>
  <c r="K92" i="7"/>
  <c r="M92" i="7" s="1"/>
  <c r="K55" i="7"/>
  <c r="K63" i="7"/>
  <c r="M63" i="7" s="1"/>
  <c r="K87" i="7"/>
  <c r="M87" i="7" s="1"/>
  <c r="K37" i="7"/>
  <c r="K53" i="7"/>
  <c r="M53" i="7" s="1"/>
  <c r="K93" i="7"/>
  <c r="K11" i="7"/>
  <c r="M11" i="7" s="1"/>
  <c r="L3" i="7"/>
  <c r="L19" i="7"/>
  <c r="L27" i="7"/>
  <c r="L51" i="7"/>
  <c r="L75" i="7"/>
  <c r="L4" i="7"/>
  <c r="L28" i="7"/>
  <c r="N28" i="7" s="1"/>
  <c r="L36" i="7"/>
  <c r="L44" i="7"/>
  <c r="N44" i="7" s="1"/>
  <c r="L52" i="7"/>
  <c r="N52" i="7" s="1"/>
  <c r="L60" i="7"/>
  <c r="N60" i="7" s="1"/>
  <c r="L68" i="7"/>
  <c r="N68" i="7" s="1"/>
  <c r="L84" i="7"/>
  <c r="J45" i="6"/>
  <c r="I46" i="6"/>
  <c r="J24" i="6"/>
  <c r="L35" i="6"/>
  <c r="N35" i="6" s="1"/>
  <c r="L71" i="6"/>
  <c r="N71" i="6" s="1"/>
  <c r="L24" i="6"/>
  <c r="N24" i="6" s="1"/>
  <c r="L37" i="6"/>
  <c r="N37" i="6" s="1"/>
  <c r="L56" i="6"/>
  <c r="N56" i="6" s="1"/>
  <c r="J18" i="6"/>
  <c r="K47" i="6"/>
  <c r="M47" i="6" s="1"/>
  <c r="K10" i="6"/>
  <c r="K71" i="6"/>
  <c r="M71" i="6" s="1"/>
  <c r="K11" i="6"/>
  <c r="M11" i="6" s="1"/>
  <c r="J91" i="6"/>
  <c r="J72" i="6"/>
  <c r="I13" i="6"/>
  <c r="I93" i="6"/>
  <c r="L11" i="6"/>
  <c r="N11" i="6" s="1"/>
  <c r="J66" i="6"/>
  <c r="I58" i="6"/>
  <c r="N92" i="6"/>
  <c r="L83" i="6"/>
  <c r="N83" i="6" s="1"/>
  <c r="L72" i="6"/>
  <c r="N72" i="6" s="1"/>
  <c r="I21" i="6"/>
  <c r="L85" i="6"/>
  <c r="N85" i="6" s="1"/>
  <c r="L21" i="6"/>
  <c r="J13" i="6"/>
  <c r="L48" i="6"/>
  <c r="N48" i="6" s="1"/>
  <c r="J42" i="6"/>
  <c r="L69" i="6"/>
  <c r="N69" i="6" s="1"/>
  <c r="L8" i="6"/>
  <c r="N8" i="6" s="1"/>
  <c r="L34" i="6"/>
  <c r="I70" i="6"/>
  <c r="L80" i="6"/>
  <c r="N80" i="6" s="1"/>
  <c r="L95" i="6"/>
  <c r="N95" i="6" s="1"/>
  <c r="J93" i="6"/>
  <c r="L58" i="6"/>
  <c r="L93" i="6"/>
  <c r="J21" i="6"/>
  <c r="L47" i="6"/>
  <c r="N47" i="6" s="1"/>
  <c r="I22" i="6"/>
  <c r="I34" i="6"/>
  <c r="J48" i="6"/>
  <c r="J69" i="6"/>
  <c r="K34" i="6"/>
  <c r="L9" i="6"/>
  <c r="N9" i="6" s="1"/>
  <c r="K23" i="6"/>
  <c r="M23" i="6" s="1"/>
  <c r="J61" i="6"/>
  <c r="I82" i="6"/>
  <c r="N82" i="6" s="1"/>
  <c r="J58" i="6"/>
  <c r="L12" i="6"/>
  <c r="N12" i="6" s="1"/>
  <c r="L32" i="6"/>
  <c r="N32" i="6" s="1"/>
  <c r="M59" i="6"/>
  <c r="J34" i="6"/>
  <c r="L59" i="6"/>
  <c r="N59" i="6" s="1"/>
  <c r="L13" i="6"/>
  <c r="K95" i="6"/>
  <c r="M95" i="6" s="1"/>
  <c r="I10" i="6"/>
  <c r="N10" i="6" s="1"/>
  <c r="L23" i="6"/>
  <c r="N23" i="6" s="1"/>
  <c r="L61" i="6"/>
  <c r="N61" i="6" s="1"/>
  <c r="J82" i="6"/>
  <c r="J96" i="6"/>
  <c r="J10" i="6"/>
  <c r="K35" i="6"/>
  <c r="M35" i="6" s="1"/>
  <c r="K82" i="6"/>
  <c r="M82" i="6" s="1"/>
  <c r="L96" i="6"/>
  <c r="N96" i="6" s="1"/>
  <c r="I31" i="6"/>
  <c r="K18" i="6"/>
  <c r="M18" i="6" s="1"/>
  <c r="K3" i="6"/>
  <c r="L76" i="6"/>
  <c r="L52" i="6"/>
  <c r="L28" i="6"/>
  <c r="L4" i="6"/>
  <c r="I15" i="6"/>
  <c r="L75" i="6"/>
  <c r="L67" i="6"/>
  <c r="L19" i="6"/>
  <c r="L89" i="6"/>
  <c r="N89" i="6" s="1"/>
  <c r="L65" i="6"/>
  <c r="N65" i="6" s="1"/>
  <c r="L41" i="6"/>
  <c r="N41" i="6" s="1"/>
  <c r="L17" i="6"/>
  <c r="N17" i="6" s="1"/>
  <c r="N14" i="6"/>
  <c r="L91" i="6"/>
  <c r="L3" i="6"/>
  <c r="L51" i="6"/>
  <c r="L27" i="6"/>
  <c r="L86" i="6"/>
  <c r="N86" i="6" s="1"/>
  <c r="L78" i="6"/>
  <c r="L62" i="6"/>
  <c r="N62" i="6" s="1"/>
  <c r="L54" i="6"/>
  <c r="L38" i="6"/>
  <c r="N38" i="6" s="1"/>
  <c r="L30" i="6"/>
  <c r="N30" i="6" s="1"/>
  <c r="L14" i="6"/>
  <c r="L6" i="6"/>
  <c r="L43" i="6"/>
  <c r="L77" i="6"/>
  <c r="N77" i="6" s="1"/>
  <c r="L53" i="6"/>
  <c r="N53" i="6" s="1"/>
  <c r="L29" i="6"/>
  <c r="N29" i="6" s="1"/>
  <c r="L5" i="6"/>
  <c r="N5" i="6" s="1"/>
  <c r="I16" i="6"/>
  <c r="L90" i="6"/>
  <c r="N90" i="6" s="1"/>
  <c r="K31" i="6"/>
  <c r="K51" i="6"/>
  <c r="L63" i="6"/>
  <c r="N63" i="6" s="1"/>
  <c r="K74" i="6"/>
  <c r="M74" i="6" s="1"/>
  <c r="L31" i="6"/>
  <c r="I43" i="6"/>
  <c r="L74" i="6"/>
  <c r="N74" i="6" s="1"/>
  <c r="L88" i="6"/>
  <c r="I52" i="6"/>
  <c r="I51" i="6"/>
  <c r="N50" i="6"/>
  <c r="I54" i="6"/>
  <c r="L64" i="6"/>
  <c r="K2" i="6"/>
  <c r="K50" i="6"/>
  <c r="M50" i="6" s="1"/>
  <c r="I76" i="6"/>
  <c r="I75" i="6"/>
  <c r="L15" i="6"/>
  <c r="I78" i="6"/>
  <c r="K87" i="6"/>
  <c r="M87" i="6" s="1"/>
  <c r="K19" i="6"/>
  <c r="J75" i="6"/>
  <c r="K42" i="6"/>
  <c r="M42" i="6" s="1"/>
  <c r="J7" i="6"/>
  <c r="J6" i="6"/>
  <c r="I6" i="6"/>
  <c r="L16" i="6"/>
  <c r="K26" i="6"/>
  <c r="M26" i="6" s="1"/>
  <c r="K43" i="6"/>
  <c r="K55" i="6"/>
  <c r="I67" i="6"/>
  <c r="J79" i="6"/>
  <c r="J78" i="6"/>
  <c r="K90" i="6"/>
  <c r="M90" i="6" s="1"/>
  <c r="N45" i="6"/>
  <c r="K15" i="6"/>
  <c r="J37" i="6"/>
  <c r="I91" i="6"/>
  <c r="K7" i="6"/>
  <c r="L26" i="6"/>
  <c r="N26" i="6" s="1"/>
  <c r="I39" i="6"/>
  <c r="I40" i="6"/>
  <c r="L55" i="6"/>
  <c r="J31" i="6"/>
  <c r="J30" i="6"/>
  <c r="J3" i="6"/>
  <c r="J84" i="6"/>
  <c r="J85" i="6"/>
  <c r="L42" i="6"/>
  <c r="N42" i="6" s="1"/>
  <c r="L7" i="6"/>
  <c r="J27" i="6"/>
  <c r="K66" i="6"/>
  <c r="M66" i="6" s="1"/>
  <c r="I19" i="6"/>
  <c r="K76" i="6"/>
  <c r="K52" i="6"/>
  <c r="K28" i="6"/>
  <c r="K4" i="6"/>
  <c r="K62" i="6"/>
  <c r="M62" i="6" s="1"/>
  <c r="K38" i="6"/>
  <c r="M38" i="6" s="1"/>
  <c r="K14" i="6"/>
  <c r="M14" i="6" s="1"/>
  <c r="K67" i="6"/>
  <c r="K89" i="6"/>
  <c r="M89" i="6" s="1"/>
  <c r="K65" i="6"/>
  <c r="M65" i="6" s="1"/>
  <c r="K41" i="6"/>
  <c r="M41" i="6" s="1"/>
  <c r="K17" i="6"/>
  <c r="M17" i="6" s="1"/>
  <c r="I4" i="6"/>
  <c r="K30" i="6"/>
  <c r="M30" i="6" s="1"/>
  <c r="K75" i="6"/>
  <c r="K6" i="6"/>
  <c r="K91" i="6"/>
  <c r="K86" i="6"/>
  <c r="M86" i="6" s="1"/>
  <c r="K78" i="6"/>
  <c r="K54" i="6"/>
  <c r="K88" i="6"/>
  <c r="K64" i="6"/>
  <c r="K40" i="6"/>
  <c r="K16" i="6"/>
  <c r="I3" i="6"/>
  <c r="N2" i="6"/>
  <c r="K77" i="6"/>
  <c r="M77" i="6" s="1"/>
  <c r="K53" i="6"/>
  <c r="M53" i="6" s="1"/>
  <c r="K29" i="6"/>
  <c r="M29" i="6" s="1"/>
  <c r="K5" i="6"/>
  <c r="M5" i="6" s="1"/>
  <c r="M2" i="6"/>
  <c r="J51" i="6"/>
  <c r="K63" i="6"/>
  <c r="M63" i="6" s="1"/>
  <c r="I28" i="6"/>
  <c r="I27" i="6"/>
  <c r="J55" i="6"/>
  <c r="J54" i="6"/>
  <c r="K27" i="6"/>
  <c r="K39" i="6"/>
  <c r="L66" i="6"/>
  <c r="N66" i="6" s="1"/>
  <c r="L79" i="6"/>
  <c r="K13" i="6"/>
  <c r="M13" i="6" s="1"/>
  <c r="K21" i="6"/>
  <c r="K37" i="6"/>
  <c r="M37" i="6" s="1"/>
  <c r="K45" i="6"/>
  <c r="M45" i="6" s="1"/>
  <c r="K61" i="6"/>
  <c r="M61" i="6" s="1"/>
  <c r="I64" i="6"/>
  <c r="K69" i="6"/>
  <c r="M69" i="6" s="1"/>
  <c r="K85" i="6"/>
  <c r="M85" i="6" s="1"/>
  <c r="I88" i="6"/>
  <c r="K93" i="6"/>
  <c r="J16" i="6"/>
  <c r="J40" i="6"/>
  <c r="J64" i="6"/>
  <c r="J88" i="6"/>
  <c r="K8" i="6"/>
  <c r="M8" i="6" s="1"/>
  <c r="K24" i="6"/>
  <c r="M24" i="6" s="1"/>
  <c r="K32" i="6"/>
  <c r="M32" i="6" s="1"/>
  <c r="K48" i="6"/>
  <c r="M48" i="6" s="1"/>
  <c r="K56" i="6"/>
  <c r="M56" i="6" s="1"/>
  <c r="K72" i="6"/>
  <c r="M72" i="6" s="1"/>
  <c r="K80" i="6"/>
  <c r="M80" i="6" s="1"/>
  <c r="K96" i="6"/>
  <c r="M96" i="6" s="1"/>
  <c r="K94" i="6"/>
  <c r="M94" i="6" s="1"/>
  <c r="K70" i="6"/>
  <c r="M70" i="6" s="1"/>
  <c r="L22" i="6"/>
  <c r="L46" i="6"/>
  <c r="L70" i="6"/>
  <c r="N70" i="6" s="1"/>
  <c r="L94" i="6"/>
  <c r="N94" i="6" s="1"/>
  <c r="K22" i="6"/>
  <c r="K46" i="6"/>
  <c r="K9" i="6"/>
  <c r="M9" i="6" s="1"/>
  <c r="K25" i="6"/>
  <c r="M25" i="6" s="1"/>
  <c r="K33" i="6"/>
  <c r="M33" i="6" s="1"/>
  <c r="K49" i="6"/>
  <c r="M49" i="6" s="1"/>
  <c r="K57" i="6"/>
  <c r="M57" i="6" s="1"/>
  <c r="K73" i="6"/>
  <c r="M73" i="6" s="1"/>
  <c r="K81" i="6"/>
  <c r="M81" i="6" s="1"/>
  <c r="K97" i="6"/>
  <c r="M97" i="6" s="1"/>
  <c r="L25" i="6"/>
  <c r="N25" i="6" s="1"/>
  <c r="L33" i="6"/>
  <c r="N33" i="6" s="1"/>
  <c r="L49" i="6"/>
  <c r="N49" i="6" s="1"/>
  <c r="L57" i="6"/>
  <c r="N57" i="6" s="1"/>
  <c r="L73" i="6"/>
  <c r="N73" i="6" s="1"/>
  <c r="L81" i="6"/>
  <c r="N81" i="6" s="1"/>
  <c r="L97" i="6"/>
  <c r="N97" i="6" s="1"/>
  <c r="K12" i="6"/>
  <c r="M12" i="6" s="1"/>
  <c r="K20" i="6"/>
  <c r="M20" i="6" s="1"/>
  <c r="K36" i="6"/>
  <c r="M36" i="6" s="1"/>
  <c r="K44" i="6"/>
  <c r="M44" i="6" s="1"/>
  <c r="K60" i="6"/>
  <c r="M60" i="6" s="1"/>
  <c r="K68" i="6"/>
  <c r="M68" i="6" s="1"/>
  <c r="K84" i="6"/>
  <c r="M84" i="6" s="1"/>
  <c r="K92" i="6"/>
  <c r="M92" i="6" s="1"/>
  <c r="L20" i="6"/>
  <c r="N20" i="6" s="1"/>
  <c r="L36" i="6"/>
  <c r="N36" i="6" s="1"/>
  <c r="L44" i="6"/>
  <c r="N44" i="6" s="1"/>
  <c r="L60" i="6"/>
  <c r="N60" i="6" s="1"/>
  <c r="L68" i="6"/>
  <c r="N68" i="6" s="1"/>
  <c r="L84" i="6"/>
  <c r="N84" i="6" s="1"/>
  <c r="I79" i="5"/>
  <c r="N34" i="5"/>
  <c r="M34" i="5"/>
  <c r="N70" i="5"/>
  <c r="K79" i="5"/>
  <c r="N94" i="5"/>
  <c r="N89" i="5"/>
  <c r="I55" i="5"/>
  <c r="N63" i="5"/>
  <c r="N13" i="5"/>
  <c r="I7" i="5"/>
  <c r="N58" i="5"/>
  <c r="M58" i="5"/>
  <c r="I61" i="5"/>
  <c r="K30" i="5"/>
  <c r="K74" i="5"/>
  <c r="K42" i="5"/>
  <c r="K76" i="5"/>
  <c r="K52" i="5"/>
  <c r="K28" i="5"/>
  <c r="K4" i="5"/>
  <c r="K43" i="5"/>
  <c r="K90" i="5"/>
  <c r="M90" i="5" s="1"/>
  <c r="K86" i="5"/>
  <c r="M86" i="5" s="1"/>
  <c r="K78" i="5"/>
  <c r="M78" i="5" s="1"/>
  <c r="K62" i="5"/>
  <c r="K54" i="5"/>
  <c r="M54" i="5" s="1"/>
  <c r="K75" i="5"/>
  <c r="K67" i="5"/>
  <c r="K51" i="5"/>
  <c r="K19" i="5"/>
  <c r="K89" i="5"/>
  <c r="K65" i="5"/>
  <c r="M65" i="5" s="1"/>
  <c r="K41" i="5"/>
  <c r="K17" i="5"/>
  <c r="I4" i="5"/>
  <c r="K38" i="5"/>
  <c r="K6" i="5"/>
  <c r="M6" i="5" s="1"/>
  <c r="K26" i="5"/>
  <c r="M26" i="5" s="1"/>
  <c r="K2" i="5"/>
  <c r="M2" i="5" s="1"/>
  <c r="K14" i="5"/>
  <c r="M14" i="5" s="1"/>
  <c r="K91" i="5"/>
  <c r="K27" i="5"/>
  <c r="K3" i="5"/>
  <c r="K88" i="5"/>
  <c r="M88" i="5" s="1"/>
  <c r="K64" i="5"/>
  <c r="M64" i="5" s="1"/>
  <c r="K40" i="5"/>
  <c r="M40" i="5" s="1"/>
  <c r="K16" i="5"/>
  <c r="I3" i="5"/>
  <c r="N2" i="5"/>
  <c r="K77" i="5"/>
  <c r="K53" i="5"/>
  <c r="M53" i="5" s="1"/>
  <c r="K29" i="5"/>
  <c r="M29" i="5" s="1"/>
  <c r="K5" i="5"/>
  <c r="K66" i="5"/>
  <c r="M66" i="5" s="1"/>
  <c r="K50" i="5"/>
  <c r="M50" i="5" s="1"/>
  <c r="K18" i="5"/>
  <c r="M18" i="5" s="1"/>
  <c r="J4" i="5"/>
  <c r="J3" i="5"/>
  <c r="I67" i="5"/>
  <c r="N66" i="5"/>
  <c r="K15" i="5"/>
  <c r="I52" i="5"/>
  <c r="I51" i="5"/>
  <c r="N50" i="5"/>
  <c r="I91" i="5"/>
  <c r="N90" i="5"/>
  <c r="N97" i="5"/>
  <c r="N33" i="5"/>
  <c r="K63" i="5"/>
  <c r="M63" i="5" s="1"/>
  <c r="I43" i="5"/>
  <c r="N42" i="5"/>
  <c r="M42" i="5"/>
  <c r="N82" i="5"/>
  <c r="M82" i="5"/>
  <c r="N84" i="5"/>
  <c r="I85" i="5"/>
  <c r="I19" i="5"/>
  <c r="N18" i="5"/>
  <c r="N87" i="5"/>
  <c r="M87" i="5"/>
  <c r="K7" i="5"/>
  <c r="N10" i="5"/>
  <c r="M10" i="5"/>
  <c r="N39" i="5"/>
  <c r="M39" i="5"/>
  <c r="I76" i="5"/>
  <c r="I75" i="5"/>
  <c r="N74" i="5"/>
  <c r="M74" i="5"/>
  <c r="K55" i="5"/>
  <c r="N12" i="5"/>
  <c r="I37" i="5"/>
  <c r="I28" i="5"/>
  <c r="I27" i="5"/>
  <c r="N26" i="5"/>
  <c r="M16" i="5"/>
  <c r="K31" i="5"/>
  <c r="K13" i="5"/>
  <c r="M13" i="5" s="1"/>
  <c r="K21" i="5"/>
  <c r="M21" i="5" s="1"/>
  <c r="K37" i="5"/>
  <c r="K45" i="5"/>
  <c r="M45" i="5" s="1"/>
  <c r="K61" i="5"/>
  <c r="K69" i="5"/>
  <c r="M69" i="5" s="1"/>
  <c r="K85" i="5"/>
  <c r="K93" i="5"/>
  <c r="L5" i="5"/>
  <c r="N5" i="5" s="1"/>
  <c r="L29" i="5"/>
  <c r="N29" i="5" s="1"/>
  <c r="L53" i="5"/>
  <c r="N53" i="5" s="1"/>
  <c r="L77" i="5"/>
  <c r="M5" i="5"/>
  <c r="K8" i="5"/>
  <c r="M8" i="5" s="1"/>
  <c r="K24" i="5"/>
  <c r="M24" i="5" s="1"/>
  <c r="K32" i="5"/>
  <c r="K48" i="5"/>
  <c r="M48" i="5" s="1"/>
  <c r="K56" i="5"/>
  <c r="M56" i="5" s="1"/>
  <c r="K72" i="5"/>
  <c r="M77" i="5"/>
  <c r="K80" i="5"/>
  <c r="M80" i="5" s="1"/>
  <c r="M93" i="5"/>
  <c r="K96" i="5"/>
  <c r="M96" i="5" s="1"/>
  <c r="N77" i="5"/>
  <c r="L3" i="5"/>
  <c r="L19" i="5"/>
  <c r="N24" i="5"/>
  <c r="J30" i="5"/>
  <c r="N32" i="5"/>
  <c r="N40" i="5"/>
  <c r="N48" i="5"/>
  <c r="N64" i="5"/>
  <c r="K46" i="5"/>
  <c r="M46" i="5" s="1"/>
  <c r="I73" i="5"/>
  <c r="I81" i="5"/>
  <c r="L6" i="5"/>
  <c r="N6" i="5" s="1"/>
  <c r="N11" i="5"/>
  <c r="L14" i="5"/>
  <c r="N14" i="5" s="1"/>
  <c r="L30" i="5"/>
  <c r="N35" i="5"/>
  <c r="L38" i="5"/>
  <c r="L54" i="5"/>
  <c r="N54" i="5" s="1"/>
  <c r="N59" i="5"/>
  <c r="L62" i="5"/>
  <c r="N62" i="5" s="1"/>
  <c r="L70" i="5"/>
  <c r="L78" i="5"/>
  <c r="N78" i="5" s="1"/>
  <c r="N83" i="5"/>
  <c r="L86" i="5"/>
  <c r="L94" i="5"/>
  <c r="K35" i="5"/>
  <c r="M35" i="5" s="1"/>
  <c r="L27" i="5"/>
  <c r="L43" i="5"/>
  <c r="J78" i="5"/>
  <c r="L91" i="5"/>
  <c r="K94" i="5"/>
  <c r="K9" i="5"/>
  <c r="M22" i="5"/>
  <c r="K25" i="5"/>
  <c r="M25" i="5" s="1"/>
  <c r="K33" i="5"/>
  <c r="M33" i="5" s="1"/>
  <c r="M38" i="5"/>
  <c r="K49" i="5"/>
  <c r="M49" i="5" s="1"/>
  <c r="K57" i="5"/>
  <c r="M62" i="5"/>
  <c r="K73" i="5"/>
  <c r="K81" i="5"/>
  <c r="M94" i="5"/>
  <c r="K97" i="5"/>
  <c r="M97" i="5" s="1"/>
  <c r="J27" i="5"/>
  <c r="K11" i="5"/>
  <c r="M11" i="5" s="1"/>
  <c r="M32" i="5"/>
  <c r="K59" i="5"/>
  <c r="M59" i="5" s="1"/>
  <c r="M72" i="5"/>
  <c r="K83" i="5"/>
  <c r="M83" i="5" s="1"/>
  <c r="N16" i="5"/>
  <c r="J54" i="5"/>
  <c r="I57" i="5"/>
  <c r="K70" i="5"/>
  <c r="M70" i="5" s="1"/>
  <c r="L9" i="5"/>
  <c r="L17" i="5"/>
  <c r="N17" i="5" s="1"/>
  <c r="L25" i="5"/>
  <c r="N25" i="5" s="1"/>
  <c r="L33" i="5"/>
  <c r="N38" i="5"/>
  <c r="L41" i="5"/>
  <c r="N41" i="5" s="1"/>
  <c r="L49" i="5"/>
  <c r="N49" i="5" s="1"/>
  <c r="J52" i="5"/>
  <c r="L57" i="5"/>
  <c r="L65" i="5"/>
  <c r="N65" i="5" s="1"/>
  <c r="L73" i="5"/>
  <c r="J76" i="5"/>
  <c r="L81" i="5"/>
  <c r="N86" i="5"/>
  <c r="L89" i="5"/>
  <c r="L97" i="5"/>
  <c r="I30" i="5"/>
  <c r="N8" i="5"/>
  <c r="L67" i="5"/>
  <c r="N96" i="5"/>
  <c r="I9" i="5"/>
  <c r="K12" i="5"/>
  <c r="M12" i="5" s="1"/>
  <c r="I15" i="5"/>
  <c r="M17" i="5"/>
  <c r="K20" i="5"/>
  <c r="M20" i="5" s="1"/>
  <c r="K36" i="5"/>
  <c r="M36" i="5" s="1"/>
  <c r="M41" i="5"/>
  <c r="K44" i="5"/>
  <c r="M44" i="5" s="1"/>
  <c r="K60" i="5"/>
  <c r="M60" i="5" s="1"/>
  <c r="K68" i="5"/>
  <c r="M68" i="5" s="1"/>
  <c r="K84" i="5"/>
  <c r="M84" i="5" s="1"/>
  <c r="M89" i="5"/>
  <c r="K92" i="5"/>
  <c r="M92" i="5" s="1"/>
  <c r="J6" i="5"/>
  <c r="L51" i="5"/>
  <c r="L75" i="5"/>
  <c r="L4" i="5"/>
  <c r="L20" i="5"/>
  <c r="N20" i="5" s="1"/>
  <c r="L28" i="5"/>
  <c r="L36" i="5"/>
  <c r="N36" i="5" s="1"/>
  <c r="L44" i="5"/>
  <c r="N44" i="5" s="1"/>
  <c r="L52" i="5"/>
  <c r="L60" i="5"/>
  <c r="N60" i="5" s="1"/>
  <c r="L68" i="5"/>
  <c r="N68" i="5" s="1"/>
  <c r="L84" i="5"/>
  <c r="J93" i="2"/>
  <c r="I94" i="2"/>
  <c r="I87" i="2"/>
  <c r="M87" i="2" s="1"/>
  <c r="J87" i="2"/>
  <c r="J76" i="2"/>
  <c r="I76" i="2"/>
  <c r="I57" i="2"/>
  <c r="J57" i="2"/>
  <c r="J43" i="2"/>
  <c r="J33" i="2"/>
  <c r="I34" i="2"/>
  <c r="J31" i="2"/>
  <c r="J18" i="2"/>
  <c r="I9" i="2"/>
  <c r="J3" i="2"/>
  <c r="J13" i="2"/>
  <c r="I3" i="2"/>
  <c r="I46" i="2"/>
  <c r="J6" i="2"/>
  <c r="J46" i="2"/>
  <c r="J28" i="2"/>
  <c r="J10" i="2"/>
  <c r="J73" i="2"/>
  <c r="J25" i="2"/>
  <c r="I16" i="2"/>
  <c r="M72" i="26" l="1"/>
  <c r="M73" i="26"/>
  <c r="M40" i="26"/>
  <c r="N93" i="26"/>
  <c r="N72" i="26"/>
  <c r="N58" i="26"/>
  <c r="N42" i="26"/>
  <c r="M69" i="26"/>
  <c r="N45" i="26"/>
  <c r="N73" i="26"/>
  <c r="M93" i="26"/>
  <c r="M16" i="26"/>
  <c r="N16" i="26"/>
  <c r="M21" i="26"/>
  <c r="M10" i="26"/>
  <c r="M42" i="26"/>
  <c r="N22" i="26"/>
  <c r="N19" i="26"/>
  <c r="M19" i="26"/>
  <c r="N61" i="26"/>
  <c r="M61" i="26"/>
  <c r="N82" i="26"/>
  <c r="M82" i="26"/>
  <c r="N75" i="26"/>
  <c r="M75" i="26"/>
  <c r="N79" i="26"/>
  <c r="M79" i="26"/>
  <c r="M76" i="26"/>
  <c r="N76" i="26"/>
  <c r="M4" i="26"/>
  <c r="N4" i="26"/>
  <c r="N67" i="26"/>
  <c r="M67" i="26"/>
  <c r="N3" i="26"/>
  <c r="M3" i="26"/>
  <c r="N85" i="26"/>
  <c r="M85" i="26"/>
  <c r="N27" i="26"/>
  <c r="M27" i="26"/>
  <c r="N9" i="26"/>
  <c r="M9" i="26"/>
  <c r="N37" i="26"/>
  <c r="M37" i="26"/>
  <c r="N51" i="26"/>
  <c r="M51" i="26"/>
  <c r="N13" i="26"/>
  <c r="M13" i="26"/>
  <c r="N97" i="26"/>
  <c r="M97" i="26"/>
  <c r="N28" i="26"/>
  <c r="M28" i="26"/>
  <c r="N88" i="26"/>
  <c r="M88" i="26"/>
  <c r="M15" i="26"/>
  <c r="N15" i="26"/>
  <c r="M7" i="26"/>
  <c r="N7" i="26"/>
  <c r="N52" i="26"/>
  <c r="M52" i="26"/>
  <c r="N43" i="26"/>
  <c r="M43" i="26"/>
  <c r="N31" i="26"/>
  <c r="M31" i="26"/>
  <c r="N82" i="24"/>
  <c r="M10" i="24"/>
  <c r="M21" i="24"/>
  <c r="N46" i="24"/>
  <c r="M94" i="25"/>
  <c r="N58" i="25"/>
  <c r="M10" i="25"/>
  <c r="N69" i="25"/>
  <c r="N10" i="25"/>
  <c r="N88" i="25"/>
  <c r="M82" i="25"/>
  <c r="N94" i="25"/>
  <c r="M21" i="25"/>
  <c r="M22" i="25"/>
  <c r="M88" i="25"/>
  <c r="M40" i="24"/>
  <c r="M34" i="24"/>
  <c r="N10" i="24"/>
  <c r="M46" i="24"/>
  <c r="N94" i="24"/>
  <c r="M70" i="24"/>
  <c r="M82" i="24"/>
  <c r="M58" i="24"/>
  <c r="N27" i="24"/>
  <c r="M27" i="24"/>
  <c r="M28" i="24"/>
  <c r="N28" i="24"/>
  <c r="N75" i="24"/>
  <c r="M75" i="24"/>
  <c r="N19" i="24"/>
  <c r="M19" i="24"/>
  <c r="N7" i="24"/>
  <c r="M7" i="24"/>
  <c r="N15" i="24"/>
  <c r="M15" i="24"/>
  <c r="N85" i="24"/>
  <c r="M85" i="24"/>
  <c r="N76" i="24"/>
  <c r="M76" i="24"/>
  <c r="N67" i="24"/>
  <c r="M67" i="24"/>
  <c r="N61" i="24"/>
  <c r="M61" i="24"/>
  <c r="N9" i="24"/>
  <c r="M9" i="24"/>
  <c r="N37" i="24"/>
  <c r="M37" i="24"/>
  <c r="M4" i="24"/>
  <c r="N4" i="24"/>
  <c r="N3" i="24"/>
  <c r="M3" i="24"/>
  <c r="N55" i="24"/>
  <c r="M55" i="24"/>
  <c r="N51" i="24"/>
  <c r="M51" i="24"/>
  <c r="N79" i="24"/>
  <c r="M79" i="24"/>
  <c r="N13" i="24"/>
  <c r="M13" i="24"/>
  <c r="N43" i="24"/>
  <c r="M43" i="24"/>
  <c r="N91" i="24"/>
  <c r="M91" i="24"/>
  <c r="N52" i="24"/>
  <c r="M52" i="24"/>
  <c r="N31" i="24"/>
  <c r="M31" i="24"/>
  <c r="N27" i="25"/>
  <c r="M27" i="25"/>
  <c r="N9" i="25"/>
  <c r="M9" i="25"/>
  <c r="M79" i="25"/>
  <c r="N79" i="25"/>
  <c r="N67" i="25"/>
  <c r="M67" i="25"/>
  <c r="M15" i="25"/>
  <c r="N15" i="25"/>
  <c r="N52" i="25"/>
  <c r="M52" i="25"/>
  <c r="N19" i="25"/>
  <c r="M19" i="25"/>
  <c r="N37" i="25"/>
  <c r="M37" i="25"/>
  <c r="N75" i="25"/>
  <c r="M75" i="25"/>
  <c r="N3" i="25"/>
  <c r="M3" i="25"/>
  <c r="N51" i="25"/>
  <c r="M51" i="25"/>
  <c r="N7" i="25"/>
  <c r="M7" i="25"/>
  <c r="N43" i="25"/>
  <c r="M43" i="25"/>
  <c r="N55" i="25"/>
  <c r="M55" i="25"/>
  <c r="M85" i="25"/>
  <c r="N85" i="25"/>
  <c r="N31" i="25"/>
  <c r="M31" i="25"/>
  <c r="N61" i="25"/>
  <c r="M61" i="25"/>
  <c r="N4" i="25"/>
  <c r="M4" i="25"/>
  <c r="N13" i="25"/>
  <c r="M13" i="25"/>
  <c r="M24" i="21"/>
  <c r="N88" i="19"/>
  <c r="M88" i="19"/>
  <c r="M46" i="6"/>
  <c r="M93" i="7"/>
  <c r="M88" i="8"/>
  <c r="M64" i="8"/>
  <c r="M21" i="10"/>
  <c r="M94" i="10"/>
  <c r="M40" i="10"/>
  <c r="M45" i="23"/>
  <c r="M88" i="23"/>
  <c r="N88" i="23"/>
  <c r="M94" i="23"/>
  <c r="M69" i="23"/>
  <c r="M16" i="23"/>
  <c r="M64" i="23"/>
  <c r="N64" i="23"/>
  <c r="M22" i="23"/>
  <c r="M15" i="23"/>
  <c r="N15" i="23"/>
  <c r="M75" i="23"/>
  <c r="N75" i="23"/>
  <c r="N61" i="23"/>
  <c r="M61" i="23"/>
  <c r="N9" i="23"/>
  <c r="M9" i="23"/>
  <c r="M51" i="23"/>
  <c r="N51" i="23"/>
  <c r="N79" i="23"/>
  <c r="M79" i="23"/>
  <c r="N85" i="23"/>
  <c r="M85" i="23"/>
  <c r="M3" i="23"/>
  <c r="N3" i="23"/>
  <c r="N31" i="23"/>
  <c r="M31" i="23"/>
  <c r="N55" i="23"/>
  <c r="M55" i="23"/>
  <c r="N37" i="23"/>
  <c r="M37" i="23"/>
  <c r="M4" i="23"/>
  <c r="N4" i="23"/>
  <c r="N7" i="23"/>
  <c r="M7" i="23"/>
  <c r="M27" i="23"/>
  <c r="N27" i="23"/>
  <c r="N13" i="23"/>
  <c r="M13" i="23"/>
  <c r="M88" i="22"/>
  <c r="M10" i="22"/>
  <c r="M93" i="22"/>
  <c r="M82" i="22"/>
  <c r="N40" i="22"/>
  <c r="N70" i="22"/>
  <c r="N88" i="22"/>
  <c r="N34" i="22"/>
  <c r="M58" i="22"/>
  <c r="N16" i="22"/>
  <c r="M21" i="22"/>
  <c r="N64" i="22"/>
  <c r="N82" i="22"/>
  <c r="N58" i="22"/>
  <c r="N7" i="22"/>
  <c r="M7" i="22"/>
  <c r="M91" i="22"/>
  <c r="N91" i="22"/>
  <c r="N85" i="22"/>
  <c r="M85" i="22"/>
  <c r="N13" i="22"/>
  <c r="M13" i="22"/>
  <c r="N55" i="22"/>
  <c r="M55" i="22"/>
  <c r="N4" i="22"/>
  <c r="M4" i="22"/>
  <c r="N27" i="22"/>
  <c r="M27" i="22"/>
  <c r="N28" i="22"/>
  <c r="M28" i="22"/>
  <c r="M43" i="22"/>
  <c r="N43" i="22"/>
  <c r="M75" i="22"/>
  <c r="N75" i="22"/>
  <c r="N31" i="22"/>
  <c r="M31" i="22"/>
  <c r="N15" i="22"/>
  <c r="M15" i="22"/>
  <c r="N9" i="22"/>
  <c r="M9" i="22"/>
  <c r="M19" i="22"/>
  <c r="N19" i="22"/>
  <c r="M67" i="22"/>
  <c r="N67" i="22"/>
  <c r="M3" i="22"/>
  <c r="N3" i="22"/>
  <c r="N37" i="22"/>
  <c r="M37" i="22"/>
  <c r="M51" i="22"/>
  <c r="N51" i="22"/>
  <c r="N61" i="22"/>
  <c r="M61" i="22"/>
  <c r="N79" i="22"/>
  <c r="M79" i="22"/>
  <c r="M70" i="21"/>
  <c r="N3" i="21"/>
  <c r="M3" i="21"/>
  <c r="M64" i="21"/>
  <c r="I49" i="21"/>
  <c r="N49" i="21" s="1"/>
  <c r="N48" i="21"/>
  <c r="M75" i="21"/>
  <c r="N51" i="21"/>
  <c r="M51" i="21"/>
  <c r="M40" i="21"/>
  <c r="N40" i="21"/>
  <c r="N45" i="21"/>
  <c r="M58" i="21"/>
  <c r="N58" i="21"/>
  <c r="N79" i="21"/>
  <c r="M79" i="21"/>
  <c r="N55" i="21"/>
  <c r="M55" i="21"/>
  <c r="N85" i="21"/>
  <c r="M85" i="21"/>
  <c r="N37" i="21"/>
  <c r="M37" i="21"/>
  <c r="N81" i="21"/>
  <c r="M81" i="21"/>
  <c r="N61" i="21"/>
  <c r="M61" i="21"/>
  <c r="N4" i="21"/>
  <c r="M4" i="21"/>
  <c r="I19" i="21"/>
  <c r="M18" i="21"/>
  <c r="N18" i="21"/>
  <c r="I91" i="21"/>
  <c r="N90" i="21"/>
  <c r="M90" i="21"/>
  <c r="N9" i="21"/>
  <c r="M9" i="21"/>
  <c r="N88" i="21"/>
  <c r="M88" i="21"/>
  <c r="M10" i="21"/>
  <c r="N10" i="21"/>
  <c r="I43" i="21"/>
  <c r="M42" i="21"/>
  <c r="N42" i="21"/>
  <c r="M34" i="21"/>
  <c r="N34" i="21"/>
  <c r="N82" i="21"/>
  <c r="M82" i="21"/>
  <c r="N13" i="21"/>
  <c r="M13" i="21"/>
  <c r="N31" i="21"/>
  <c r="M31" i="21"/>
  <c r="N93" i="21"/>
  <c r="M93" i="21"/>
  <c r="I67" i="21"/>
  <c r="M66" i="21"/>
  <c r="N66" i="21"/>
  <c r="N7" i="21"/>
  <c r="M7" i="21"/>
  <c r="N97" i="21"/>
  <c r="M97" i="21"/>
  <c r="M34" i="8"/>
  <c r="N34" i="8"/>
  <c r="M22" i="8"/>
  <c r="M45" i="19"/>
  <c r="M22" i="19"/>
  <c r="M45" i="20"/>
  <c r="M34" i="20"/>
  <c r="M64" i="20"/>
  <c r="M34" i="19"/>
  <c r="M21" i="19"/>
  <c r="N22" i="19"/>
  <c r="M64" i="19"/>
  <c r="N82" i="19"/>
  <c r="N82" i="20"/>
  <c r="N45" i="20"/>
  <c r="M10" i="20"/>
  <c r="M69" i="20"/>
  <c r="N93" i="20"/>
  <c r="N75" i="20"/>
  <c r="M75" i="20"/>
  <c r="M7" i="20"/>
  <c r="N7" i="20"/>
  <c r="N79" i="20"/>
  <c r="M79" i="20"/>
  <c r="M57" i="20"/>
  <c r="N57" i="20"/>
  <c r="N19" i="20"/>
  <c r="M19" i="20"/>
  <c r="N13" i="20"/>
  <c r="M13" i="20"/>
  <c r="N91" i="20"/>
  <c r="M91" i="20"/>
  <c r="N4" i="20"/>
  <c r="M4" i="20"/>
  <c r="M55" i="20"/>
  <c r="N55" i="20"/>
  <c r="N67" i="20"/>
  <c r="M67" i="20"/>
  <c r="N85" i="20"/>
  <c r="M85" i="20"/>
  <c r="N61" i="20"/>
  <c r="M61" i="20"/>
  <c r="N27" i="20"/>
  <c r="M27" i="20"/>
  <c r="M33" i="20"/>
  <c r="N33" i="20"/>
  <c r="N3" i="20"/>
  <c r="M3" i="20"/>
  <c r="N37" i="20"/>
  <c r="M37" i="20"/>
  <c r="N51" i="20"/>
  <c r="M51" i="20"/>
  <c r="N43" i="20"/>
  <c r="M43" i="20"/>
  <c r="M31" i="20"/>
  <c r="N31" i="20"/>
  <c r="M9" i="20"/>
  <c r="N9" i="20"/>
  <c r="N51" i="19"/>
  <c r="M51" i="19"/>
  <c r="N37" i="19"/>
  <c r="M37" i="19"/>
  <c r="N76" i="19"/>
  <c r="M76" i="19"/>
  <c r="N67" i="19"/>
  <c r="M67" i="19"/>
  <c r="N28" i="19"/>
  <c r="M28" i="19"/>
  <c r="N4" i="19"/>
  <c r="M4" i="19"/>
  <c r="N43" i="19"/>
  <c r="M43" i="19"/>
  <c r="M15" i="19"/>
  <c r="N15" i="19"/>
  <c r="N9" i="19"/>
  <c r="M9" i="19"/>
  <c r="N91" i="19"/>
  <c r="M91" i="19"/>
  <c r="N85" i="19"/>
  <c r="M85" i="19"/>
  <c r="N3" i="19"/>
  <c r="M3" i="19"/>
  <c r="N27" i="19"/>
  <c r="M27" i="19"/>
  <c r="N61" i="19"/>
  <c r="M61" i="19"/>
  <c r="N31" i="19"/>
  <c r="M31" i="19"/>
  <c r="N55" i="19"/>
  <c r="M55" i="19"/>
  <c r="N75" i="19"/>
  <c r="M75" i="19"/>
  <c r="N13" i="19"/>
  <c r="M13" i="19"/>
  <c r="N79" i="19"/>
  <c r="M79" i="19"/>
  <c r="N19" i="19"/>
  <c r="M19" i="19"/>
  <c r="M7" i="19"/>
  <c r="N7" i="19"/>
  <c r="N58" i="8"/>
  <c r="M64" i="10"/>
  <c r="N69" i="12"/>
  <c r="M9" i="2"/>
  <c r="N9" i="2"/>
  <c r="N46" i="6"/>
  <c r="M94" i="8"/>
  <c r="N97" i="10"/>
  <c r="N93" i="15"/>
  <c r="N94" i="18"/>
  <c r="N60" i="2"/>
  <c r="I61" i="2"/>
  <c r="M60" i="2"/>
  <c r="M34" i="11"/>
  <c r="M18" i="16"/>
  <c r="N34" i="2"/>
  <c r="M34" i="2"/>
  <c r="M75" i="2"/>
  <c r="N75" i="2"/>
  <c r="M40" i="15"/>
  <c r="M91" i="16"/>
  <c r="M69" i="16"/>
  <c r="N84" i="17"/>
  <c r="N16" i="2"/>
  <c r="M16" i="2"/>
  <c r="N64" i="8"/>
  <c r="M16" i="11"/>
  <c r="M58" i="16"/>
  <c r="M60" i="17"/>
  <c r="M22" i="18"/>
  <c r="N22" i="2"/>
  <c r="M22" i="2"/>
  <c r="N45" i="8"/>
  <c r="M22" i="12"/>
  <c r="N60" i="17"/>
  <c r="M45" i="18"/>
  <c r="N40" i="11"/>
  <c r="N21" i="5"/>
  <c r="I73" i="2"/>
  <c r="M72" i="2"/>
  <c r="N72" i="2"/>
  <c r="N57" i="2"/>
  <c r="M57" i="2"/>
  <c r="M21" i="8"/>
  <c r="M69" i="13"/>
  <c r="N69" i="13"/>
  <c r="M55" i="2"/>
  <c r="N55" i="2"/>
  <c r="N87" i="2"/>
  <c r="M76" i="2"/>
  <c r="N76" i="2"/>
  <c r="M97" i="10"/>
  <c r="M64" i="11"/>
  <c r="M22" i="11"/>
  <c r="M82" i="12"/>
  <c r="M10" i="13"/>
  <c r="N81" i="2"/>
  <c r="M81" i="2"/>
  <c r="N15" i="2"/>
  <c r="M15" i="2"/>
  <c r="N22" i="8"/>
  <c r="M97" i="9"/>
  <c r="N58" i="9"/>
  <c r="N19" i="16"/>
  <c r="N10" i="9"/>
  <c r="N34" i="18"/>
  <c r="M70" i="2"/>
  <c r="N70" i="2"/>
  <c r="I49" i="2"/>
  <c r="M48" i="2"/>
  <c r="N48" i="2"/>
  <c r="N94" i="8"/>
  <c r="M70" i="9"/>
  <c r="M10" i="12"/>
  <c r="M97" i="16"/>
  <c r="N27" i="2"/>
  <c r="M46" i="2"/>
  <c r="N46" i="2"/>
  <c r="M94" i="2"/>
  <c r="N94" i="2"/>
  <c r="N3" i="2"/>
  <c r="M3" i="2"/>
  <c r="M10" i="8"/>
  <c r="M64" i="9"/>
  <c r="M58" i="10"/>
  <c r="M94" i="11"/>
  <c r="M82" i="11"/>
  <c r="N21" i="11"/>
  <c r="N82" i="13"/>
  <c r="N10" i="15"/>
  <c r="N16" i="18"/>
  <c r="M40" i="18"/>
  <c r="M22" i="9"/>
  <c r="M34" i="10"/>
  <c r="N64" i="13"/>
  <c r="N70" i="8"/>
  <c r="M69" i="11"/>
  <c r="N46" i="13"/>
  <c r="N3" i="14"/>
  <c r="M93" i="15"/>
  <c r="M94" i="16"/>
  <c r="N18" i="16"/>
  <c r="N70" i="18"/>
  <c r="M88" i="18"/>
  <c r="N88" i="18"/>
  <c r="M64" i="18"/>
  <c r="M34" i="18"/>
  <c r="N40" i="18"/>
  <c r="N22" i="18"/>
  <c r="M82" i="18"/>
  <c r="M21" i="18"/>
  <c r="N10" i="18"/>
  <c r="N82" i="18"/>
  <c r="N21" i="18"/>
  <c r="M10" i="18"/>
  <c r="M70" i="18"/>
  <c r="M94" i="18"/>
  <c r="N55" i="18"/>
  <c r="M55" i="18"/>
  <c r="N61" i="18"/>
  <c r="M61" i="18"/>
  <c r="N9" i="18"/>
  <c r="M9" i="18"/>
  <c r="N91" i="18"/>
  <c r="M91" i="18"/>
  <c r="N85" i="18"/>
  <c r="M85" i="18"/>
  <c r="N13" i="18"/>
  <c r="M13" i="18"/>
  <c r="N37" i="18"/>
  <c r="M37" i="18"/>
  <c r="N75" i="18"/>
  <c r="M75" i="18"/>
  <c r="N19" i="18"/>
  <c r="M19" i="18"/>
  <c r="N4" i="18"/>
  <c r="M4" i="18"/>
  <c r="N15" i="18"/>
  <c r="M15" i="18"/>
  <c r="N28" i="18"/>
  <c r="M28" i="18"/>
  <c r="N67" i="18"/>
  <c r="M67" i="18"/>
  <c r="N7" i="18"/>
  <c r="M7" i="18"/>
  <c r="N31" i="18"/>
  <c r="M31" i="18"/>
  <c r="N79" i="18"/>
  <c r="M79" i="18"/>
  <c r="M52" i="18"/>
  <c r="N52" i="18"/>
  <c r="N3" i="18"/>
  <c r="M3" i="18"/>
  <c r="N43" i="18"/>
  <c r="M43" i="18"/>
  <c r="N27" i="18"/>
  <c r="M27" i="18"/>
  <c r="N51" i="18"/>
  <c r="M51" i="18"/>
  <c r="M45" i="17"/>
  <c r="M36" i="17"/>
  <c r="N36" i="17"/>
  <c r="M22" i="17"/>
  <c r="N85" i="17"/>
  <c r="N22" i="17"/>
  <c r="M21" i="17"/>
  <c r="N69" i="17"/>
  <c r="N37" i="17"/>
  <c r="M82" i="17"/>
  <c r="N82" i="17"/>
  <c r="N40" i="17"/>
  <c r="N16" i="17"/>
  <c r="N61" i="17"/>
  <c r="M64" i="17"/>
  <c r="M40" i="17"/>
  <c r="N45" i="17"/>
  <c r="M93" i="17"/>
  <c r="M37" i="17"/>
  <c r="M16" i="17"/>
  <c r="M58" i="17"/>
  <c r="N21" i="17"/>
  <c r="M85" i="17"/>
  <c r="M34" i="17"/>
  <c r="N15" i="17"/>
  <c r="M15" i="17"/>
  <c r="N75" i="17"/>
  <c r="M75" i="17"/>
  <c r="N19" i="17"/>
  <c r="M19" i="17"/>
  <c r="N67" i="17"/>
  <c r="M67" i="17"/>
  <c r="M7" i="17"/>
  <c r="N7" i="17"/>
  <c r="N76" i="17"/>
  <c r="M76" i="17"/>
  <c r="N4" i="17"/>
  <c r="M4" i="17"/>
  <c r="N79" i="17"/>
  <c r="M79" i="17"/>
  <c r="N55" i="17"/>
  <c r="M55" i="17"/>
  <c r="N27" i="17"/>
  <c r="M27" i="17"/>
  <c r="N3" i="17"/>
  <c r="M3" i="17"/>
  <c r="N91" i="17"/>
  <c r="M91" i="17"/>
  <c r="N9" i="17"/>
  <c r="M9" i="17"/>
  <c r="N51" i="17"/>
  <c r="M51" i="17"/>
  <c r="N31" i="17"/>
  <c r="M31" i="17"/>
  <c r="N91" i="16"/>
  <c r="M16" i="16"/>
  <c r="M10" i="16"/>
  <c r="M82" i="16"/>
  <c r="N90" i="16"/>
  <c r="M88" i="16"/>
  <c r="N34" i="16"/>
  <c r="N21" i="16"/>
  <c r="M22" i="16"/>
  <c r="N16" i="16"/>
  <c r="N40" i="16"/>
  <c r="M34" i="16"/>
  <c r="N64" i="16"/>
  <c r="N9" i="16"/>
  <c r="M9" i="16"/>
  <c r="N25" i="16"/>
  <c r="M25" i="16"/>
  <c r="N51" i="16"/>
  <c r="M51" i="16"/>
  <c r="N55" i="16"/>
  <c r="M55" i="16"/>
  <c r="N15" i="16"/>
  <c r="M15" i="16"/>
  <c r="N57" i="16"/>
  <c r="M57" i="16"/>
  <c r="N37" i="16"/>
  <c r="M37" i="16"/>
  <c r="N7" i="16"/>
  <c r="M7" i="16"/>
  <c r="M79" i="16"/>
  <c r="N79" i="16"/>
  <c r="N61" i="16"/>
  <c r="M61" i="16"/>
  <c r="N3" i="16"/>
  <c r="M3" i="16"/>
  <c r="N33" i="16"/>
  <c r="M33" i="16"/>
  <c r="N49" i="16"/>
  <c r="M49" i="16"/>
  <c r="N13" i="16"/>
  <c r="M13" i="16"/>
  <c r="N4" i="16"/>
  <c r="M4" i="16"/>
  <c r="N85" i="16"/>
  <c r="M85" i="16"/>
  <c r="N75" i="16"/>
  <c r="M75" i="16"/>
  <c r="N27" i="16"/>
  <c r="M27" i="16"/>
  <c r="N31" i="16"/>
  <c r="M31" i="16"/>
  <c r="M69" i="15"/>
  <c r="M51" i="14"/>
  <c r="N27" i="14"/>
  <c r="M10" i="15"/>
  <c r="N40" i="15"/>
  <c r="N22" i="15"/>
  <c r="N69" i="15"/>
  <c r="M21" i="15"/>
  <c r="M21" i="14"/>
  <c r="M27" i="14"/>
  <c r="N57" i="15"/>
  <c r="M57" i="15"/>
  <c r="N75" i="15"/>
  <c r="M75" i="15"/>
  <c r="N49" i="15"/>
  <c r="M49" i="15"/>
  <c r="N3" i="15"/>
  <c r="M3" i="15"/>
  <c r="N7" i="15"/>
  <c r="M7" i="15"/>
  <c r="N37" i="15"/>
  <c r="M37" i="15"/>
  <c r="N85" i="15"/>
  <c r="M85" i="15"/>
  <c r="N33" i="15"/>
  <c r="M33" i="15"/>
  <c r="N51" i="15"/>
  <c r="M51" i="15"/>
  <c r="N25" i="15"/>
  <c r="M25" i="15"/>
  <c r="M79" i="15"/>
  <c r="N79" i="15"/>
  <c r="M4" i="15"/>
  <c r="N4" i="15"/>
  <c r="N61" i="15"/>
  <c r="M61" i="15"/>
  <c r="N13" i="15"/>
  <c r="M13" i="15"/>
  <c r="N81" i="15"/>
  <c r="M81" i="15"/>
  <c r="M55" i="15"/>
  <c r="N55" i="15"/>
  <c r="M15" i="15"/>
  <c r="N15" i="15"/>
  <c r="N73" i="15"/>
  <c r="M73" i="15"/>
  <c r="N9" i="15"/>
  <c r="M9" i="15"/>
  <c r="N91" i="15"/>
  <c r="M91" i="15"/>
  <c r="N27" i="15"/>
  <c r="M27" i="15"/>
  <c r="M31" i="15"/>
  <c r="N31" i="15"/>
  <c r="M40" i="14"/>
  <c r="N40" i="14"/>
  <c r="N82" i="14"/>
  <c r="M82" i="14"/>
  <c r="I85" i="14"/>
  <c r="N84" i="14"/>
  <c r="M84" i="14"/>
  <c r="N58" i="14"/>
  <c r="M58" i="14"/>
  <c r="N25" i="14"/>
  <c r="M25" i="14"/>
  <c r="N12" i="14"/>
  <c r="I13" i="14"/>
  <c r="M12" i="14"/>
  <c r="N9" i="14"/>
  <c r="M9" i="14"/>
  <c r="N60" i="14"/>
  <c r="I61" i="14"/>
  <c r="M60" i="14"/>
  <c r="M88" i="14"/>
  <c r="N88" i="14"/>
  <c r="N34" i="14"/>
  <c r="M34" i="14"/>
  <c r="N4" i="14"/>
  <c r="M4" i="14"/>
  <c r="N15" i="14"/>
  <c r="M15" i="14"/>
  <c r="N64" i="14"/>
  <c r="M64" i="14"/>
  <c r="N10" i="14"/>
  <c r="M10" i="14"/>
  <c r="I91" i="14"/>
  <c r="N90" i="14"/>
  <c r="M90" i="14"/>
  <c r="N36" i="14"/>
  <c r="I37" i="14"/>
  <c r="M36" i="14"/>
  <c r="M22" i="13"/>
  <c r="M40" i="13"/>
  <c r="M64" i="13"/>
  <c r="M82" i="13"/>
  <c r="M46" i="13"/>
  <c r="N40" i="13"/>
  <c r="N22" i="13"/>
  <c r="N88" i="13"/>
  <c r="N73" i="13"/>
  <c r="M73" i="13"/>
  <c r="N57" i="13"/>
  <c r="M57" i="13"/>
  <c r="N49" i="13"/>
  <c r="M49" i="13"/>
  <c r="I55" i="13"/>
  <c r="N54" i="13"/>
  <c r="M54" i="13"/>
  <c r="N75" i="13"/>
  <c r="M75" i="13"/>
  <c r="I79" i="13"/>
  <c r="N78" i="13"/>
  <c r="M78" i="13"/>
  <c r="N76" i="13"/>
  <c r="M76" i="13"/>
  <c r="N15" i="13"/>
  <c r="M15" i="13"/>
  <c r="M19" i="13"/>
  <c r="N19" i="13"/>
  <c r="N27" i="13"/>
  <c r="M27" i="13"/>
  <c r="N25" i="13"/>
  <c r="M25" i="13"/>
  <c r="N28" i="13"/>
  <c r="M28" i="13"/>
  <c r="N67" i="13"/>
  <c r="M67" i="13"/>
  <c r="M4" i="13"/>
  <c r="N4" i="13"/>
  <c r="I7" i="13"/>
  <c r="N6" i="13"/>
  <c r="M6" i="13"/>
  <c r="M51" i="13"/>
  <c r="N51" i="13"/>
  <c r="M52" i="13"/>
  <c r="N52" i="13"/>
  <c r="M3" i="13"/>
  <c r="N3" i="13"/>
  <c r="M91" i="13"/>
  <c r="N91" i="13"/>
  <c r="I31" i="13"/>
  <c r="N30" i="13"/>
  <c r="M30" i="13"/>
  <c r="N9" i="13"/>
  <c r="M9" i="13"/>
  <c r="N16" i="13"/>
  <c r="M16" i="13"/>
  <c r="M43" i="13"/>
  <c r="N43" i="13"/>
  <c r="M69" i="12"/>
  <c r="M45" i="12"/>
  <c r="M27" i="12"/>
  <c r="N27" i="12"/>
  <c r="M3" i="12"/>
  <c r="N3" i="12"/>
  <c r="M4" i="12"/>
  <c r="N4" i="12"/>
  <c r="M67" i="12"/>
  <c r="N67" i="12"/>
  <c r="N28" i="12"/>
  <c r="M28" i="12"/>
  <c r="N40" i="12"/>
  <c r="M40" i="12"/>
  <c r="I7" i="12"/>
  <c r="N6" i="12"/>
  <c r="M6" i="12"/>
  <c r="N9" i="12"/>
  <c r="M9" i="12"/>
  <c r="M43" i="12"/>
  <c r="N43" i="12"/>
  <c r="N73" i="12"/>
  <c r="M73" i="12"/>
  <c r="M75" i="12"/>
  <c r="N75" i="12"/>
  <c r="M19" i="12"/>
  <c r="N19" i="12"/>
  <c r="M16" i="12"/>
  <c r="N16" i="12"/>
  <c r="I79" i="12"/>
  <c r="N78" i="12"/>
  <c r="M78" i="12"/>
  <c r="M51" i="12"/>
  <c r="N51" i="12"/>
  <c r="I55" i="12"/>
  <c r="N54" i="12"/>
  <c r="M54" i="12"/>
  <c r="N76" i="12"/>
  <c r="M76" i="12"/>
  <c r="M91" i="12"/>
  <c r="N91" i="12"/>
  <c r="N64" i="12"/>
  <c r="M64" i="12"/>
  <c r="N37" i="12"/>
  <c r="M37" i="12"/>
  <c r="N15" i="12"/>
  <c r="M15" i="12"/>
  <c r="M52" i="12"/>
  <c r="N52" i="12"/>
  <c r="I31" i="12"/>
  <c r="N30" i="12"/>
  <c r="M30" i="12"/>
  <c r="N33" i="12"/>
  <c r="M33" i="12"/>
  <c r="N25" i="12"/>
  <c r="M25" i="12"/>
  <c r="M88" i="12"/>
  <c r="N88" i="12"/>
  <c r="N10" i="11"/>
  <c r="N58" i="11"/>
  <c r="N64" i="11"/>
  <c r="N82" i="11"/>
  <c r="N16" i="11"/>
  <c r="N9" i="11"/>
  <c r="M9" i="11"/>
  <c r="N28" i="11"/>
  <c r="M28" i="11"/>
  <c r="M13" i="11"/>
  <c r="N13" i="11"/>
  <c r="M37" i="11"/>
  <c r="N37" i="11"/>
  <c r="N49" i="11"/>
  <c r="M49" i="11"/>
  <c r="I79" i="11"/>
  <c r="N78" i="11"/>
  <c r="M78" i="11"/>
  <c r="M85" i="11"/>
  <c r="N85" i="11"/>
  <c r="M19" i="11"/>
  <c r="N19" i="11"/>
  <c r="N52" i="11"/>
  <c r="M52" i="11"/>
  <c r="N76" i="11"/>
  <c r="M76" i="11"/>
  <c r="M3" i="11"/>
  <c r="N3" i="11"/>
  <c r="N57" i="11"/>
  <c r="M57" i="11"/>
  <c r="I31" i="11"/>
  <c r="N30" i="11"/>
  <c r="M30" i="11"/>
  <c r="N33" i="11"/>
  <c r="M33" i="11"/>
  <c r="N4" i="11"/>
  <c r="M4" i="11"/>
  <c r="I7" i="11"/>
  <c r="N6" i="11"/>
  <c r="M6" i="11"/>
  <c r="M15" i="11"/>
  <c r="N15" i="11"/>
  <c r="N97" i="11"/>
  <c r="M97" i="11"/>
  <c r="N25" i="11"/>
  <c r="M25" i="11"/>
  <c r="N61" i="11"/>
  <c r="M61" i="11"/>
  <c r="M75" i="11"/>
  <c r="N75" i="11"/>
  <c r="I55" i="11"/>
  <c r="N54" i="11"/>
  <c r="M54" i="11"/>
  <c r="M88" i="10"/>
  <c r="N58" i="10"/>
  <c r="M10" i="10"/>
  <c r="M82" i="10"/>
  <c r="N34" i="10"/>
  <c r="N94" i="10"/>
  <c r="M22" i="10"/>
  <c r="N21" i="10"/>
  <c r="I31" i="10"/>
  <c r="N30" i="10"/>
  <c r="M30" i="10"/>
  <c r="M3" i="10"/>
  <c r="N3" i="10"/>
  <c r="I79" i="10"/>
  <c r="N78" i="10"/>
  <c r="M78" i="10"/>
  <c r="M55" i="10"/>
  <c r="N55" i="10"/>
  <c r="N52" i="10"/>
  <c r="M52" i="10"/>
  <c r="N28" i="10"/>
  <c r="M28" i="10"/>
  <c r="N15" i="10"/>
  <c r="M15" i="10"/>
  <c r="M84" i="10"/>
  <c r="I85" i="10"/>
  <c r="N84" i="10"/>
  <c r="N25" i="10"/>
  <c r="M25" i="10"/>
  <c r="N51" i="10"/>
  <c r="M51" i="10"/>
  <c r="M76" i="10"/>
  <c r="N76" i="10"/>
  <c r="N73" i="10"/>
  <c r="M73" i="10"/>
  <c r="N61" i="10"/>
  <c r="M61" i="10"/>
  <c r="N13" i="10"/>
  <c r="M13" i="10"/>
  <c r="M19" i="10"/>
  <c r="N19" i="10"/>
  <c r="M4" i="10"/>
  <c r="N4" i="10"/>
  <c r="M91" i="10"/>
  <c r="N91" i="10"/>
  <c r="M27" i="10"/>
  <c r="N27" i="10"/>
  <c r="M43" i="10"/>
  <c r="N43" i="10"/>
  <c r="N36" i="10"/>
  <c r="M36" i="10"/>
  <c r="I37" i="10"/>
  <c r="I7" i="10"/>
  <c r="N6" i="10"/>
  <c r="M6" i="10"/>
  <c r="M75" i="10"/>
  <c r="N75" i="10"/>
  <c r="M88" i="9"/>
  <c r="M58" i="9"/>
  <c r="N88" i="9"/>
  <c r="M40" i="9"/>
  <c r="M21" i="9"/>
  <c r="N22" i="9"/>
  <c r="N40" i="9"/>
  <c r="M75" i="9"/>
  <c r="N75" i="9"/>
  <c r="I79" i="9"/>
  <c r="N78" i="9"/>
  <c r="M78" i="9"/>
  <c r="N76" i="9"/>
  <c r="M76" i="9"/>
  <c r="I31" i="9"/>
  <c r="N30" i="9"/>
  <c r="M30" i="9"/>
  <c r="I37" i="9"/>
  <c r="N36" i="9"/>
  <c r="M36" i="9"/>
  <c r="N9" i="9"/>
  <c r="M9" i="9"/>
  <c r="I13" i="9"/>
  <c r="N12" i="9"/>
  <c r="M12" i="9"/>
  <c r="N4" i="9"/>
  <c r="M4" i="9"/>
  <c r="I55" i="9"/>
  <c r="N54" i="9"/>
  <c r="M54" i="9"/>
  <c r="M19" i="9"/>
  <c r="N19" i="9"/>
  <c r="N73" i="9"/>
  <c r="M73" i="9"/>
  <c r="M51" i="9"/>
  <c r="N51" i="9"/>
  <c r="N28" i="9"/>
  <c r="M28" i="9"/>
  <c r="M91" i="9"/>
  <c r="N91" i="9"/>
  <c r="N15" i="9"/>
  <c r="M15" i="9"/>
  <c r="N33" i="9"/>
  <c r="M33" i="9"/>
  <c r="I7" i="9"/>
  <c r="N6" i="9"/>
  <c r="M6" i="9"/>
  <c r="N81" i="9"/>
  <c r="M81" i="9"/>
  <c r="M43" i="9"/>
  <c r="N43" i="9"/>
  <c r="M3" i="9"/>
  <c r="N3" i="9"/>
  <c r="N52" i="9"/>
  <c r="M52" i="9"/>
  <c r="M67" i="9"/>
  <c r="N67" i="9"/>
  <c r="M27" i="9"/>
  <c r="N27" i="9"/>
  <c r="N49" i="9"/>
  <c r="M49" i="9"/>
  <c r="M82" i="8"/>
  <c r="M70" i="8"/>
  <c r="N16" i="8"/>
  <c r="M45" i="8"/>
  <c r="N82" i="8"/>
  <c r="M58" i="8"/>
  <c r="M16" i="8"/>
  <c r="M40" i="8"/>
  <c r="N15" i="8"/>
  <c r="M15" i="8"/>
  <c r="N81" i="8"/>
  <c r="M81" i="8"/>
  <c r="N76" i="8"/>
  <c r="M76" i="8"/>
  <c r="M27" i="8"/>
  <c r="N27" i="8"/>
  <c r="M43" i="8"/>
  <c r="N43" i="8"/>
  <c r="N12" i="8"/>
  <c r="I13" i="8"/>
  <c r="M12" i="8"/>
  <c r="N49" i="8"/>
  <c r="M49" i="8"/>
  <c r="M51" i="8"/>
  <c r="N51" i="8"/>
  <c r="M36" i="8"/>
  <c r="N36" i="8"/>
  <c r="I37" i="8"/>
  <c r="M19" i="8"/>
  <c r="N19" i="8"/>
  <c r="M91" i="8"/>
  <c r="N91" i="8"/>
  <c r="N97" i="8"/>
  <c r="M97" i="8"/>
  <c r="I31" i="8"/>
  <c r="N30" i="8"/>
  <c r="M30" i="8"/>
  <c r="N28" i="8"/>
  <c r="M28" i="8"/>
  <c r="M4" i="8"/>
  <c r="N4" i="8"/>
  <c r="N67" i="8"/>
  <c r="M67" i="8"/>
  <c r="M75" i="8"/>
  <c r="N75" i="8"/>
  <c r="N52" i="8"/>
  <c r="M52" i="8"/>
  <c r="I7" i="8"/>
  <c r="N6" i="8"/>
  <c r="M6" i="8"/>
  <c r="I79" i="8"/>
  <c r="N78" i="8"/>
  <c r="M78" i="8"/>
  <c r="I55" i="8"/>
  <c r="N54" i="8"/>
  <c r="M54" i="8"/>
  <c r="M3" i="8"/>
  <c r="N3" i="8"/>
  <c r="N25" i="8"/>
  <c r="M25" i="8"/>
  <c r="N73" i="8"/>
  <c r="M73" i="8"/>
  <c r="N9" i="8"/>
  <c r="M9" i="8"/>
  <c r="N34" i="7"/>
  <c r="M64" i="7"/>
  <c r="N82" i="7"/>
  <c r="M10" i="7"/>
  <c r="M69" i="7"/>
  <c r="N93" i="7"/>
  <c r="M45" i="7"/>
  <c r="M34" i="7"/>
  <c r="N97" i="7"/>
  <c r="M97" i="7"/>
  <c r="N91" i="7"/>
  <c r="M91" i="7"/>
  <c r="N27" i="7"/>
  <c r="M27" i="7"/>
  <c r="M3" i="7"/>
  <c r="N3" i="7"/>
  <c r="N7" i="7"/>
  <c r="M7" i="7"/>
  <c r="M19" i="7"/>
  <c r="N19" i="7"/>
  <c r="N76" i="7"/>
  <c r="M76" i="7"/>
  <c r="M51" i="7"/>
  <c r="N51" i="7"/>
  <c r="N55" i="7"/>
  <c r="M55" i="7"/>
  <c r="N79" i="7"/>
  <c r="M79" i="7"/>
  <c r="M31" i="7"/>
  <c r="N31" i="7"/>
  <c r="N81" i="7"/>
  <c r="M81" i="7"/>
  <c r="M36" i="7"/>
  <c r="N36" i="7"/>
  <c r="I37" i="7"/>
  <c r="N61" i="7"/>
  <c r="M61" i="7"/>
  <c r="M67" i="7"/>
  <c r="N67" i="7"/>
  <c r="N25" i="7"/>
  <c r="M25" i="7"/>
  <c r="N13" i="7"/>
  <c r="M13" i="7"/>
  <c r="N15" i="7"/>
  <c r="M15" i="7"/>
  <c r="N9" i="7"/>
  <c r="M9" i="7"/>
  <c r="N75" i="7"/>
  <c r="M75" i="7"/>
  <c r="N84" i="7"/>
  <c r="I85" i="7"/>
  <c r="M84" i="7"/>
  <c r="N4" i="7"/>
  <c r="M4" i="7"/>
  <c r="N57" i="7"/>
  <c r="M57" i="7"/>
  <c r="M22" i="6"/>
  <c r="N34" i="6"/>
  <c r="N21" i="6"/>
  <c r="N58" i="6"/>
  <c r="M10" i="6"/>
  <c r="M93" i="6"/>
  <c r="N22" i="6"/>
  <c r="M21" i="6"/>
  <c r="M34" i="6"/>
  <c r="M58" i="6"/>
  <c r="N93" i="6"/>
  <c r="N13" i="6"/>
  <c r="N64" i="6"/>
  <c r="M64" i="6"/>
  <c r="I79" i="6"/>
  <c r="N78" i="6"/>
  <c r="M78" i="6"/>
  <c r="N51" i="6"/>
  <c r="M51" i="6"/>
  <c r="N39" i="6"/>
  <c r="M39" i="6"/>
  <c r="N28" i="6"/>
  <c r="M28" i="6"/>
  <c r="I55" i="6"/>
  <c r="N54" i="6"/>
  <c r="M54" i="6"/>
  <c r="N40" i="6"/>
  <c r="M40" i="6"/>
  <c r="I7" i="6"/>
  <c r="N6" i="6"/>
  <c r="M6" i="6"/>
  <c r="N43" i="6"/>
  <c r="M43" i="6"/>
  <c r="M15" i="6"/>
  <c r="N15" i="6"/>
  <c r="N76" i="6"/>
  <c r="M76" i="6"/>
  <c r="N19" i="6"/>
  <c r="M19" i="6"/>
  <c r="N4" i="6"/>
  <c r="M4" i="6"/>
  <c r="M88" i="6"/>
  <c r="N88" i="6"/>
  <c r="M27" i="6"/>
  <c r="N27" i="6"/>
  <c r="M3" i="6"/>
  <c r="N3" i="6"/>
  <c r="N91" i="6"/>
  <c r="M91" i="6"/>
  <c r="M67" i="6"/>
  <c r="N67" i="6"/>
  <c r="N52" i="6"/>
  <c r="M52" i="6"/>
  <c r="N16" i="6"/>
  <c r="M16" i="6"/>
  <c r="N75" i="6"/>
  <c r="M75" i="6"/>
  <c r="M31" i="6"/>
  <c r="N31" i="6"/>
  <c r="M67" i="5"/>
  <c r="N67" i="5"/>
  <c r="N61" i="5"/>
  <c r="M61" i="5"/>
  <c r="N37" i="5"/>
  <c r="M37" i="5"/>
  <c r="M15" i="5"/>
  <c r="N15" i="5"/>
  <c r="N73" i="5"/>
  <c r="M73" i="5"/>
  <c r="N28" i="5"/>
  <c r="M28" i="5"/>
  <c r="N81" i="5"/>
  <c r="M81" i="5"/>
  <c r="N9" i="5"/>
  <c r="M9" i="5"/>
  <c r="M91" i="5"/>
  <c r="N91" i="5"/>
  <c r="N51" i="5"/>
  <c r="M51" i="5"/>
  <c r="N4" i="5"/>
  <c r="M4" i="5"/>
  <c r="M75" i="5"/>
  <c r="N75" i="5"/>
  <c r="N52" i="5"/>
  <c r="M52" i="5"/>
  <c r="M55" i="5"/>
  <c r="N55" i="5"/>
  <c r="M19" i="5"/>
  <c r="N19" i="5"/>
  <c r="N76" i="5"/>
  <c r="M76" i="5"/>
  <c r="N57" i="5"/>
  <c r="M57" i="5"/>
  <c r="N27" i="5"/>
  <c r="M27" i="5"/>
  <c r="N7" i="5"/>
  <c r="M7" i="5"/>
  <c r="N85" i="5"/>
  <c r="M85" i="5"/>
  <c r="M3" i="5"/>
  <c r="N3" i="5"/>
  <c r="M79" i="5"/>
  <c r="N79" i="5"/>
  <c r="M43" i="5"/>
  <c r="N43" i="5"/>
  <c r="I31" i="5"/>
  <c r="N30" i="5"/>
  <c r="M30" i="5"/>
  <c r="M49" i="21" l="1"/>
  <c r="N43" i="21"/>
  <c r="M43" i="21"/>
  <c r="N91" i="21"/>
  <c r="M91" i="21"/>
  <c r="N67" i="21"/>
  <c r="M67" i="21"/>
  <c r="N19" i="21"/>
  <c r="M19" i="21"/>
  <c r="N61" i="2"/>
  <c r="M61" i="2"/>
  <c r="M73" i="2"/>
  <c r="N73" i="2"/>
  <c r="N49" i="2"/>
  <c r="M49" i="2"/>
  <c r="M91" i="14"/>
  <c r="N91" i="14"/>
  <c r="N13" i="14"/>
  <c r="M13" i="14"/>
  <c r="N85" i="14"/>
  <c r="M85" i="14"/>
  <c r="N37" i="14"/>
  <c r="M37" i="14"/>
  <c r="N61" i="14"/>
  <c r="M61" i="14"/>
  <c r="M7" i="13"/>
  <c r="N7" i="13"/>
  <c r="N79" i="13"/>
  <c r="M79" i="13"/>
  <c r="N31" i="13"/>
  <c r="M31" i="13"/>
  <c r="N55" i="13"/>
  <c r="M55" i="13"/>
  <c r="M31" i="12"/>
  <c r="N31" i="12"/>
  <c r="N79" i="12"/>
  <c r="M79" i="12"/>
  <c r="N7" i="12"/>
  <c r="M7" i="12"/>
  <c r="N55" i="12"/>
  <c r="M55" i="12"/>
  <c r="N79" i="11"/>
  <c r="M79" i="11"/>
  <c r="N31" i="11"/>
  <c r="M31" i="11"/>
  <c r="M55" i="11"/>
  <c r="N55" i="11"/>
  <c r="M7" i="11"/>
  <c r="N7" i="11"/>
  <c r="N37" i="10"/>
  <c r="M37" i="10"/>
  <c r="N7" i="10"/>
  <c r="M7" i="10"/>
  <c r="N79" i="10"/>
  <c r="M79" i="10"/>
  <c r="N85" i="10"/>
  <c r="M85" i="10"/>
  <c r="N31" i="10"/>
  <c r="M31" i="10"/>
  <c r="M31" i="9"/>
  <c r="N31" i="9"/>
  <c r="N79" i="9"/>
  <c r="M79" i="9"/>
  <c r="N13" i="9"/>
  <c r="M13" i="9"/>
  <c r="N7" i="9"/>
  <c r="M7" i="9"/>
  <c r="M55" i="9"/>
  <c r="N55" i="9"/>
  <c r="N37" i="9"/>
  <c r="M37" i="9"/>
  <c r="M55" i="8"/>
  <c r="N55" i="8"/>
  <c r="N13" i="8"/>
  <c r="M13" i="8"/>
  <c r="M79" i="8"/>
  <c r="N79" i="8"/>
  <c r="N7" i="8"/>
  <c r="M7" i="8"/>
  <c r="N37" i="8"/>
  <c r="M37" i="8"/>
  <c r="N31" i="8"/>
  <c r="M31" i="8"/>
  <c r="N85" i="7"/>
  <c r="M85" i="7"/>
  <c r="N37" i="7"/>
  <c r="M37" i="7"/>
  <c r="N55" i="6"/>
  <c r="M55" i="6"/>
  <c r="N79" i="6"/>
  <c r="M79" i="6"/>
  <c r="M7" i="6"/>
  <c r="N7" i="6"/>
  <c r="N31" i="5"/>
  <c r="M31" i="5"/>
</calcChain>
</file>

<file path=xl/sharedStrings.xml><?xml version="1.0" encoding="utf-8"?>
<sst xmlns="http://schemas.openxmlformats.org/spreadsheetml/2006/main" count="12483" uniqueCount="152">
  <si>
    <t>A</t>
  </si>
  <si>
    <t>B</t>
  </si>
  <si>
    <t>C</t>
  </si>
  <si>
    <t>D</t>
  </si>
  <si>
    <t>E</t>
  </si>
  <si>
    <t>F</t>
  </si>
  <si>
    <t>G</t>
  </si>
  <si>
    <t>H</t>
  </si>
  <si>
    <t>18S</t>
  </si>
  <si>
    <t>UBQ10B</t>
  </si>
  <si>
    <t>FIRST SAMPLE</t>
  </si>
  <si>
    <t>SECOND SAMPLE</t>
  </si>
  <si>
    <t>REP 1-3, SAMP 1</t>
  </si>
  <si>
    <t>REP 1-3, SAMP 2</t>
  </si>
  <si>
    <t>P450</t>
  </si>
  <si>
    <t>DL417OC8</t>
  </si>
  <si>
    <t>EFRA</t>
  </si>
  <si>
    <t>EFRB</t>
  </si>
  <si>
    <t>ERF1A</t>
  </si>
  <si>
    <t>GSTU25</t>
  </si>
  <si>
    <t>HSR201</t>
  </si>
  <si>
    <t>JAZ6</t>
  </si>
  <si>
    <t>ORAS9A</t>
  </si>
  <si>
    <t>JAZ8B</t>
  </si>
  <si>
    <t>ORAS9B</t>
  </si>
  <si>
    <t>WRKYB</t>
  </si>
  <si>
    <t>Well</t>
  </si>
  <si>
    <t>Fluor</t>
  </si>
  <si>
    <t>Content</t>
  </si>
  <si>
    <t>Sample</t>
  </si>
  <si>
    <t>Cq</t>
  </si>
  <si>
    <t>A01</t>
  </si>
  <si>
    <t>Unkn</t>
  </si>
  <si>
    <t>NaN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</si>
  <si>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</si>
  <si>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</si>
  <si>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</si>
  <si>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</si>
  <si>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</si>
  <si>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</si>
  <si>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</si>
  <si>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</si>
  <si>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</si>
  <si>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</si>
  <si>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</si>
  <si>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</si>
  <si>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</si>
  <si>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</si>
  <si>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</si>
  <si>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</si>
  <si>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</si>
  <si>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</si>
  <si>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</si>
  <si>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</si>
  <si>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</si>
  <si>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</si>
  <si>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</si>
  <si>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</si>
  <si>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</si>
  <si>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</si>
  <si>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</si>
  <si>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</si>
  <si>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</si>
  <si>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</si>
  <si>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</si>
  <si>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</si>
  <si>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</si>
  <si>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</si>
  <si>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</si>
  <si>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</si>
  <si>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</si>
  <si>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</si>
  <si>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</si>
  <si>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</si>
  <si>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</si>
  <si>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</si>
  <si>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</si>
  <si>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</si>
  <si>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</si>
  <si>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</si>
  <si>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</si>
  <si>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</si>
  <si>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</si>
  <si>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</si>
  <si>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</si>
  <si>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</si>
  <si>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</si>
  <si>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</si>
  <si>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</si>
  <si>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</si>
  <si>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</si>
  <si>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</si>
  <si>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</si>
  <si>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</si>
  <si>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</si>
  <si>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</si>
  <si>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</si>
  <si>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</si>
  <si>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</si>
  <si>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</si>
  <si>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</si>
  <si>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</si>
  <si>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</si>
  <si>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</si>
  <si>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</si>
  <si>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</si>
  <si>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</si>
  <si>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</si>
  <si>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</si>
  <si>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</si>
  <si>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</si>
  <si>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</si>
  <si>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</si>
  <si>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</si>
  <si>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</si>
  <si>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</si>
  <si>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</si>
  <si>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</si>
  <si>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</si>
  <si>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</si>
  <si>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</si>
  <si>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</si>
  <si>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</si>
  <si>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</si>
  <si>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</si>
  <si>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</si>
  <si>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</si>
  <si>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</si>
  <si>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</si>
  <si>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FAM</t>
  </si>
  <si>
    <t>The file we want is called Quantification Cq Results</t>
  </si>
  <si>
    <t>The fluor is FAM</t>
  </si>
  <si>
    <t>Primer</t>
  </si>
  <si>
    <t>Average Cq</t>
  </si>
  <si>
    <t>std dev</t>
  </si>
  <si>
    <t>Cq outliers removed</t>
  </si>
  <si>
    <t>Cq original</t>
  </si>
  <si>
    <t>gene_vs_UBQ10B</t>
  </si>
  <si>
    <t>gene_vs_18S</t>
  </si>
  <si>
    <t>Evaporation in H1 and H3 for sample 105</t>
  </si>
  <si>
    <t>*Evaporation on this plate was really bad! Look for better seal?</t>
  </si>
  <si>
    <t>UNDETERMINED</t>
  </si>
  <si>
    <t>SYBR</t>
  </si>
  <si>
    <t>* plate probably not useable… too much evaporation at the top of the plate</t>
  </si>
  <si>
    <t>backup ub</t>
  </si>
  <si>
    <t>backup 18s</t>
  </si>
  <si>
    <t>backup 18S</t>
  </si>
  <si>
    <t>143_failed</t>
  </si>
  <si>
    <t>159_failed</t>
  </si>
  <si>
    <t>163_failed</t>
  </si>
  <si>
    <t>1701_failed</t>
  </si>
  <si>
    <t>111_failed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</si>
</sst>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3" borderId="0" xfId="1"/>
    <xf numFmtId="0" fontId="1" fillId="3" borderId="3" xfId="1" applyBorder="1"/>
    <xf numFmtId="0" fontId="1" fillId="3" borderId="1" xfId="1" applyBorder="1"/>
    <xf numFmtId="0" fontId="1" fillId="3" borderId="5" xfId="1" applyBorder="1"/>
    <xf numFmtId="0" fontId="1" fillId="3" borderId="7" xfId="1" applyBorder="1"/>
    <xf numFmtId="0" fontId="1" fillId="3" borderId="2" xfId="1" applyBorder="1"/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D7D0-60E1-374A-A1E9-AFE3F0CE04E6}">
  <dimension ref="A1:A5"/>
  <sheetViews>
    <sheetView workbookViewId="0">
      <selection activeCell="A6" sqref="A6"/>
    </sheetView>
  </sheetViews>
  <sheetFormatPr baseColWidth="10" defaultRowHeight="16" x14ac:dyDescent="0.2"/>
  <sheetData>
    <row r="1" spans="1:1" x14ac:dyDescent="0.2">
      <c r="A1" t="s">
        <v>130</v>
      </c>
    </row>
    <row r="2" spans="1:1" x14ac:dyDescent="0.2">
      <c r="A2" t="s">
        <v>131</v>
      </c>
    </row>
    <row r="5" spans="1:1" x14ac:dyDescent="0.2">
      <c r="A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D4CB-B461-0C4A-8637-D96E20EA530D}">
  <dimension ref="A1:N97"/>
  <sheetViews>
    <sheetView workbookViewId="0">
      <selection sqref="A1:XFD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30.4835527722393</v>
      </c>
      <c r="E2">
        <v>30.4835527722393</v>
      </c>
      <c r="F2" t="s">
        <v>31</v>
      </c>
      <c r="G2" s="9" t="s">
        <v>9</v>
      </c>
      <c r="H2">
        <v>100</v>
      </c>
      <c r="I2">
        <f>AVERAGE(D2:D4)</f>
        <v>30.462243389323167</v>
      </c>
      <c r="J2">
        <f>STDEV(D2:D4)</f>
        <v>0.16088656119310316</v>
      </c>
      <c r="K2">
        <f>I2</f>
        <v>30.462243389323167</v>
      </c>
      <c r="L2">
        <f>I14</f>
        <v>15.729346432802368</v>
      </c>
      <c r="M2">
        <f>I2-K2</f>
        <v>0</v>
      </c>
      <c r="N2">
        <f>I2-L2</f>
        <v>14.732896956520799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30.611413346221799</v>
      </c>
      <c r="E3">
        <v>30.611413346221799</v>
      </c>
      <c r="F3" t="s">
        <v>34</v>
      </c>
      <c r="G3" s="9" t="s">
        <v>9</v>
      </c>
      <c r="H3">
        <v>100</v>
      </c>
      <c r="I3">
        <f>I2</f>
        <v>30.462243389323167</v>
      </c>
      <c r="J3">
        <f>J2</f>
        <v>0.16088656119310316</v>
      </c>
      <c r="K3">
        <f>I2</f>
        <v>30.462243389323167</v>
      </c>
      <c r="L3">
        <f>I14</f>
        <v>15.729346432802368</v>
      </c>
      <c r="M3">
        <f t="shared" ref="M3:M66" si="0">I3-K3</f>
        <v>0</v>
      </c>
      <c r="N3">
        <f t="shared" ref="N3:N66" si="1">I3-L3</f>
        <v>14.732896956520799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30.291764049508402</v>
      </c>
      <c r="E4">
        <v>30.291764049508402</v>
      </c>
      <c r="F4" t="s">
        <v>35</v>
      </c>
      <c r="G4" s="9" t="s">
        <v>9</v>
      </c>
      <c r="H4">
        <v>100</v>
      </c>
      <c r="I4">
        <f>I2</f>
        <v>30.462243389323167</v>
      </c>
      <c r="J4">
        <f>J2</f>
        <v>0.16088656119310316</v>
      </c>
      <c r="K4">
        <f>I2</f>
        <v>30.462243389323167</v>
      </c>
      <c r="L4">
        <f>I14</f>
        <v>15.729346432802368</v>
      </c>
      <c r="M4">
        <f t="shared" si="0"/>
        <v>0</v>
      </c>
      <c r="N4">
        <f t="shared" si="1"/>
        <v>14.732896956520799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29.480042142253701</v>
      </c>
      <c r="E5">
        <v>29.480042142253701</v>
      </c>
      <c r="F5" t="s">
        <v>36</v>
      </c>
      <c r="G5" s="2" t="s">
        <v>20</v>
      </c>
      <c r="H5">
        <v>100</v>
      </c>
      <c r="I5">
        <f>AVERAGE(D5:D7)</f>
        <v>29.773706663898299</v>
      </c>
      <c r="J5">
        <f>STDEV(D5:D7)</f>
        <v>0.27299192094345825</v>
      </c>
      <c r="K5">
        <f>I2</f>
        <v>30.462243389323167</v>
      </c>
      <c r="L5">
        <f>I14</f>
        <v>15.729346432802368</v>
      </c>
      <c r="M5">
        <f t="shared" si="0"/>
        <v>-0.68853672542486777</v>
      </c>
      <c r="N5">
        <f t="shared" si="1"/>
        <v>14.044360231095931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30.019763167956999</v>
      </c>
      <c r="E6">
        <v>30.019763167956999</v>
      </c>
      <c r="F6" t="s">
        <v>37</v>
      </c>
      <c r="G6" s="2" t="s">
        <v>20</v>
      </c>
      <c r="H6">
        <v>100</v>
      </c>
      <c r="I6">
        <f>I5</f>
        <v>29.773706663898299</v>
      </c>
      <c r="J6">
        <f>J5</f>
        <v>0.27299192094345825</v>
      </c>
      <c r="K6">
        <f>I2</f>
        <v>30.462243389323167</v>
      </c>
      <c r="L6">
        <f>I14</f>
        <v>15.729346432802368</v>
      </c>
      <c r="M6">
        <f t="shared" si="0"/>
        <v>-0.68853672542486777</v>
      </c>
      <c r="N6">
        <f t="shared" si="1"/>
        <v>14.044360231095931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29.8213146814842</v>
      </c>
      <c r="E7">
        <v>29.8213146814842</v>
      </c>
      <c r="F7" t="s">
        <v>38</v>
      </c>
      <c r="G7" s="2" t="s">
        <v>20</v>
      </c>
      <c r="H7">
        <v>100</v>
      </c>
      <c r="I7">
        <f>I6</f>
        <v>29.773706663898299</v>
      </c>
      <c r="J7">
        <f>J5</f>
        <v>0.27299192094345825</v>
      </c>
      <c r="K7">
        <f>I2</f>
        <v>30.462243389323167</v>
      </c>
      <c r="L7">
        <f>I14</f>
        <v>15.729346432802368</v>
      </c>
      <c r="M7">
        <f t="shared" si="0"/>
        <v>-0.68853672542486777</v>
      </c>
      <c r="N7">
        <f t="shared" si="1"/>
        <v>14.044360231095931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32.325361546378602</v>
      </c>
      <c r="E8">
        <v>32.325361546378602</v>
      </c>
      <c r="F8" t="s">
        <v>39</v>
      </c>
      <c r="G8" s="9" t="s">
        <v>9</v>
      </c>
      <c r="H8">
        <v>102</v>
      </c>
      <c r="I8">
        <f t="shared" ref="I8" si="2">AVERAGE(D8:D10)</f>
        <v>32.398773904638603</v>
      </c>
      <c r="J8">
        <f t="shared" ref="J8" si="3">STDEV(D8:D10)</f>
        <v>0.10382075269708534</v>
      </c>
      <c r="K8">
        <f>I8</f>
        <v>32.398773904638603</v>
      </c>
      <c r="L8">
        <f>I20</f>
        <v>14.365103767458633</v>
      </c>
      <c r="M8">
        <f t="shared" si="0"/>
        <v>0</v>
      </c>
      <c r="N8">
        <f t="shared" si="1"/>
        <v>18.033670137179968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33.137022313529997</v>
      </c>
      <c r="F9" t="s">
        <v>40</v>
      </c>
      <c r="G9" s="9" t="s">
        <v>9</v>
      </c>
      <c r="H9">
        <v>102</v>
      </c>
      <c r="I9">
        <f t="shared" ref="I9:J9" si="4">I8</f>
        <v>32.398773904638603</v>
      </c>
      <c r="J9">
        <f t="shared" si="4"/>
        <v>0.10382075269708534</v>
      </c>
      <c r="K9">
        <f>I8</f>
        <v>32.398773904638603</v>
      </c>
      <c r="L9">
        <f>I20</f>
        <v>14.365103767458633</v>
      </c>
      <c r="M9">
        <f t="shared" si="0"/>
        <v>0</v>
      </c>
      <c r="N9">
        <f t="shared" si="1"/>
        <v>18.033670137179968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32.472186262898603</v>
      </c>
      <c r="E10">
        <v>32.472186262898603</v>
      </c>
      <c r="F10" t="s">
        <v>41</v>
      </c>
      <c r="G10" s="9" t="s">
        <v>9</v>
      </c>
      <c r="H10">
        <v>102</v>
      </c>
      <c r="I10">
        <f t="shared" ref="I10:J10" si="5">I8</f>
        <v>32.398773904638603</v>
      </c>
      <c r="J10">
        <f t="shared" si="5"/>
        <v>0.10382075269708534</v>
      </c>
      <c r="K10">
        <f>I8</f>
        <v>32.398773904638603</v>
      </c>
      <c r="L10">
        <f>I20</f>
        <v>14.365103767458633</v>
      </c>
      <c r="M10">
        <f t="shared" si="0"/>
        <v>0</v>
      </c>
      <c r="N10">
        <f t="shared" si="1"/>
        <v>18.033670137179968</v>
      </c>
    </row>
    <row r="11" spans="1:14" ht="17" thickBot="1" x14ac:dyDescent="0.25">
      <c r="A11" t="s">
        <v>42</v>
      </c>
      <c r="B11" t="s">
        <v>129</v>
      </c>
      <c r="C11" t="s">
        <v>32</v>
      </c>
      <c r="D11">
        <v>32.221963906459401</v>
      </c>
      <c r="E11">
        <v>32.221963906459401</v>
      </c>
      <c r="F11" t="s">
        <v>42</v>
      </c>
      <c r="G11" s="2" t="s">
        <v>20</v>
      </c>
      <c r="H11">
        <v>102</v>
      </c>
      <c r="I11">
        <f t="shared" ref="I11" si="6">AVERAGE(D11:D13)</f>
        <v>32.470896835174699</v>
      </c>
      <c r="J11">
        <f t="shared" ref="J11" si="7">STDEV(D11:D13)</f>
        <v>0.35204432391042983</v>
      </c>
      <c r="K11">
        <f>I8</f>
        <v>32.398773904638603</v>
      </c>
      <c r="L11">
        <f>I20</f>
        <v>14.365103767458633</v>
      </c>
      <c r="M11">
        <f t="shared" si="0"/>
        <v>7.2122930536096419E-2</v>
      </c>
      <c r="N11">
        <f t="shared" si="1"/>
        <v>18.105793067716064</v>
      </c>
    </row>
    <row r="12" spans="1:14" ht="17" thickBot="1" x14ac:dyDescent="0.25">
      <c r="A12" t="s">
        <v>43</v>
      </c>
      <c r="B12" t="s">
        <v>129</v>
      </c>
      <c r="C12" t="s">
        <v>32</v>
      </c>
      <c r="E12">
        <v>33.196513376527697</v>
      </c>
      <c r="F12" t="s">
        <v>43</v>
      </c>
      <c r="G12" s="2" t="s">
        <v>20</v>
      </c>
      <c r="H12">
        <v>102</v>
      </c>
      <c r="I12">
        <f t="shared" ref="I12:J13" si="8">I11</f>
        <v>32.470896835174699</v>
      </c>
      <c r="J12">
        <f t="shared" si="8"/>
        <v>0.35204432391042983</v>
      </c>
      <c r="K12">
        <f>I8</f>
        <v>32.398773904638603</v>
      </c>
      <c r="L12">
        <f>I20</f>
        <v>14.365103767458633</v>
      </c>
      <c r="M12">
        <f t="shared" si="0"/>
        <v>7.2122930536096419E-2</v>
      </c>
      <c r="N12">
        <f t="shared" si="1"/>
        <v>18.105793067716064</v>
      </c>
    </row>
    <row r="13" spans="1:14" x14ac:dyDescent="0.2">
      <c r="A13" t="s">
        <v>44</v>
      </c>
      <c r="B13" t="s">
        <v>129</v>
      </c>
      <c r="C13" t="s">
        <v>32</v>
      </c>
      <c r="D13">
        <v>32.719829763889997</v>
      </c>
      <c r="E13">
        <v>32.719829763889997</v>
      </c>
      <c r="F13" t="s">
        <v>44</v>
      </c>
      <c r="G13" s="2" t="s">
        <v>20</v>
      </c>
      <c r="H13">
        <v>102</v>
      </c>
      <c r="I13">
        <f t="shared" si="8"/>
        <v>32.470896835174699</v>
      </c>
      <c r="J13">
        <f t="shared" ref="J13" si="9">J11</f>
        <v>0.35204432391042983</v>
      </c>
      <c r="K13">
        <f>I8</f>
        <v>32.398773904638603</v>
      </c>
      <c r="L13">
        <f>I20</f>
        <v>14.365103767458633</v>
      </c>
      <c r="M13">
        <f t="shared" si="0"/>
        <v>7.2122930536096419E-2</v>
      </c>
      <c r="N13">
        <f t="shared" si="1"/>
        <v>18.105793067716064</v>
      </c>
    </row>
    <row r="14" spans="1:14" x14ac:dyDescent="0.2">
      <c r="A14" t="s">
        <v>45</v>
      </c>
      <c r="B14" t="s">
        <v>129</v>
      </c>
      <c r="C14" t="s">
        <v>32</v>
      </c>
      <c r="D14">
        <v>16.034193082877302</v>
      </c>
      <c r="E14">
        <v>16.034193082877302</v>
      </c>
      <c r="F14" t="s">
        <v>45</v>
      </c>
      <c r="G14" s="11" t="s">
        <v>8</v>
      </c>
      <c r="H14">
        <v>100</v>
      </c>
      <c r="I14">
        <f t="shared" ref="I14" si="10">AVERAGE(D14:D16)</f>
        <v>15.729346432802368</v>
      </c>
      <c r="J14">
        <f t="shared" ref="J14" si="11">STDEV(D14:D16)</f>
        <v>0.26401365576156893</v>
      </c>
      <c r="K14">
        <f>I2</f>
        <v>30.462243389323167</v>
      </c>
      <c r="L14">
        <f>I14</f>
        <v>15.729346432802368</v>
      </c>
      <c r="M14">
        <f t="shared" si="0"/>
        <v>-14.732896956520799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15.574778257617201</v>
      </c>
      <c r="E15">
        <v>15.574778257617201</v>
      </c>
      <c r="F15" t="s">
        <v>46</v>
      </c>
      <c r="G15" s="11" t="s">
        <v>8</v>
      </c>
      <c r="H15">
        <v>100</v>
      </c>
      <c r="I15">
        <f t="shared" ref="I15:J15" si="12">I14</f>
        <v>15.729346432802368</v>
      </c>
      <c r="J15">
        <f t="shared" si="12"/>
        <v>0.26401365576156893</v>
      </c>
      <c r="K15">
        <f>I2</f>
        <v>30.462243389323167</v>
      </c>
      <c r="L15">
        <f>I14</f>
        <v>15.729346432802368</v>
      </c>
      <c r="M15">
        <f t="shared" si="0"/>
        <v>-14.732896956520799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15.579067957912599</v>
      </c>
      <c r="E16">
        <v>15.579067957912599</v>
      </c>
      <c r="F16" t="s">
        <v>47</v>
      </c>
      <c r="G16" s="11" t="s">
        <v>8</v>
      </c>
      <c r="H16">
        <v>100</v>
      </c>
      <c r="I16">
        <f t="shared" ref="I16:J16" si="13">I14</f>
        <v>15.729346432802368</v>
      </c>
      <c r="J16">
        <f t="shared" si="13"/>
        <v>0.26401365576156893</v>
      </c>
      <c r="K16">
        <f>I2</f>
        <v>30.462243389323167</v>
      </c>
      <c r="L16">
        <f>I14</f>
        <v>15.729346432802368</v>
      </c>
      <c r="M16">
        <f t="shared" si="0"/>
        <v>-14.732896956520799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30.466851568102399</v>
      </c>
      <c r="E17">
        <v>30.466851568102399</v>
      </c>
      <c r="F17" t="s">
        <v>48</v>
      </c>
      <c r="G17" s="1" t="s">
        <v>21</v>
      </c>
      <c r="H17">
        <v>100</v>
      </c>
      <c r="I17">
        <f t="shared" ref="I17" si="14">AVERAGE(D17:D19)</f>
        <v>30.32505326842135</v>
      </c>
      <c r="J17">
        <f t="shared" ref="J17" si="15">STDEV(D17:D19)</f>
        <v>0.20053307853038457</v>
      </c>
      <c r="K17">
        <f>I2</f>
        <v>30.462243389323167</v>
      </c>
      <c r="L17">
        <f>I14</f>
        <v>15.729346432802368</v>
      </c>
      <c r="M17">
        <f t="shared" si="0"/>
        <v>-0.13719012090181693</v>
      </c>
      <c r="N17">
        <f t="shared" si="1"/>
        <v>14.595706835618982</v>
      </c>
    </row>
    <row r="18" spans="1:14" x14ac:dyDescent="0.2">
      <c r="A18" t="s">
        <v>49</v>
      </c>
      <c r="B18" t="s">
        <v>129</v>
      </c>
      <c r="C18" t="s">
        <v>32</v>
      </c>
      <c r="E18">
        <v>31.209665466299001</v>
      </c>
      <c r="F18" t="s">
        <v>49</v>
      </c>
      <c r="G18" s="1" t="s">
        <v>21</v>
      </c>
      <c r="H18">
        <v>100</v>
      </c>
      <c r="I18">
        <f t="shared" ref="I18:J19" si="16">I17</f>
        <v>30.32505326842135</v>
      </c>
      <c r="J18">
        <f t="shared" si="16"/>
        <v>0.20053307853038457</v>
      </c>
      <c r="K18">
        <f>I2</f>
        <v>30.462243389323167</v>
      </c>
      <c r="L18">
        <f>I14</f>
        <v>15.729346432802368</v>
      </c>
      <c r="M18">
        <f t="shared" si="0"/>
        <v>-0.13719012090181693</v>
      </c>
      <c r="N18">
        <f t="shared" si="1"/>
        <v>14.595706835618982</v>
      </c>
    </row>
    <row r="19" spans="1:14" x14ac:dyDescent="0.2">
      <c r="A19" t="s">
        <v>50</v>
      </c>
      <c r="B19" t="s">
        <v>129</v>
      </c>
      <c r="C19" t="s">
        <v>32</v>
      </c>
      <c r="D19">
        <v>30.1832549687403</v>
      </c>
      <c r="E19">
        <v>30.1832549687403</v>
      </c>
      <c r="F19" t="s">
        <v>50</v>
      </c>
      <c r="G19" s="1" t="s">
        <v>21</v>
      </c>
      <c r="H19">
        <v>100</v>
      </c>
      <c r="I19">
        <f t="shared" si="16"/>
        <v>30.32505326842135</v>
      </c>
      <c r="J19">
        <f t="shared" ref="J19" si="17">J17</f>
        <v>0.20053307853038457</v>
      </c>
      <c r="K19">
        <f>I2</f>
        <v>30.462243389323167</v>
      </c>
      <c r="L19">
        <f>I14</f>
        <v>15.729346432802368</v>
      </c>
      <c r="M19">
        <f t="shared" si="0"/>
        <v>-0.13719012090181693</v>
      </c>
      <c r="N19">
        <f t="shared" si="1"/>
        <v>14.595706835618982</v>
      </c>
    </row>
    <row r="20" spans="1:14" x14ac:dyDescent="0.2">
      <c r="A20" t="s">
        <v>51</v>
      </c>
      <c r="B20" t="s">
        <v>129</v>
      </c>
      <c r="C20" t="s">
        <v>32</v>
      </c>
      <c r="D20">
        <v>14.391263112880001</v>
      </c>
      <c r="E20">
        <v>14.391263112880001</v>
      </c>
      <c r="F20" t="s">
        <v>51</v>
      </c>
      <c r="G20" s="11" t="s">
        <v>8</v>
      </c>
      <c r="H20">
        <v>102</v>
      </c>
      <c r="I20">
        <f t="shared" ref="I20" si="18">AVERAGE(D20:D22)</f>
        <v>14.365103767458633</v>
      </c>
      <c r="J20">
        <f t="shared" ref="J20" si="19">STDEV(D20:D22)</f>
        <v>2.2726124126257661E-2</v>
      </c>
      <c r="K20">
        <f>I8</f>
        <v>32.398773904638603</v>
      </c>
      <c r="L20">
        <f>I20</f>
        <v>14.365103767458633</v>
      </c>
      <c r="M20">
        <f t="shared" si="0"/>
        <v>-18.033670137179968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14.353824984291</v>
      </c>
      <c r="E21">
        <v>14.353824984291</v>
      </c>
      <c r="F21" t="s">
        <v>52</v>
      </c>
      <c r="G21" s="11" t="s">
        <v>8</v>
      </c>
      <c r="H21">
        <v>102</v>
      </c>
      <c r="I21">
        <f t="shared" ref="I21:J21" si="20">I20</f>
        <v>14.365103767458633</v>
      </c>
      <c r="J21">
        <f t="shared" si="20"/>
        <v>2.2726124126257661E-2</v>
      </c>
      <c r="K21">
        <f>I8</f>
        <v>32.398773904638603</v>
      </c>
      <c r="L21">
        <f>I20</f>
        <v>14.365103767458633</v>
      </c>
      <c r="M21">
        <f t="shared" si="0"/>
        <v>-18.033670137179968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14.3502232052049</v>
      </c>
      <c r="E22">
        <v>14.3502232052049</v>
      </c>
      <c r="F22" t="s">
        <v>53</v>
      </c>
      <c r="G22" s="11" t="s">
        <v>8</v>
      </c>
      <c r="H22">
        <v>102</v>
      </c>
      <c r="I22">
        <f t="shared" ref="I22:J22" si="21">I20</f>
        <v>14.365103767458633</v>
      </c>
      <c r="J22">
        <f t="shared" si="21"/>
        <v>2.2726124126257661E-2</v>
      </c>
      <c r="K22">
        <f>I8</f>
        <v>32.398773904638603</v>
      </c>
      <c r="L22">
        <f>I20</f>
        <v>14.365103767458633</v>
      </c>
      <c r="M22">
        <f t="shared" si="0"/>
        <v>-18.033670137179968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37.526250232186896</v>
      </c>
      <c r="E23">
        <v>37.526250232186896</v>
      </c>
      <c r="F23" t="s">
        <v>54</v>
      </c>
      <c r="G23" s="1" t="s">
        <v>21</v>
      </c>
      <c r="H23">
        <v>102</v>
      </c>
      <c r="I23">
        <f t="shared" ref="I23" si="22">AVERAGE(D23:D25)</f>
        <v>36.789315917920746</v>
      </c>
      <c r="J23">
        <f t="shared" ref="J23" si="23">STDEV(D23:D25)</f>
        <v>1.0421825018133017</v>
      </c>
      <c r="K23">
        <f>I8</f>
        <v>32.398773904638603</v>
      </c>
      <c r="L23">
        <f>I20</f>
        <v>14.365103767458633</v>
      </c>
      <c r="M23">
        <f t="shared" si="0"/>
        <v>4.3905420132821433</v>
      </c>
      <c r="N23">
        <f t="shared" si="1"/>
        <v>22.424212150462111</v>
      </c>
    </row>
    <row r="24" spans="1:14" x14ac:dyDescent="0.2">
      <c r="A24" t="s">
        <v>55</v>
      </c>
      <c r="B24" t="s">
        <v>129</v>
      </c>
      <c r="C24" t="s">
        <v>32</v>
      </c>
      <c r="D24" t="s">
        <v>33</v>
      </c>
      <c r="E24" t="s">
        <v>33</v>
      </c>
      <c r="F24" t="s">
        <v>55</v>
      </c>
      <c r="G24" s="1" t="s">
        <v>21</v>
      </c>
      <c r="H24">
        <v>102</v>
      </c>
      <c r="I24">
        <f t="shared" ref="I24:J25" si="24">I23</f>
        <v>36.789315917920746</v>
      </c>
      <c r="J24">
        <f t="shared" si="24"/>
        <v>1.0421825018133017</v>
      </c>
      <c r="K24">
        <f>I8</f>
        <v>32.398773904638603</v>
      </c>
      <c r="L24">
        <f>I20</f>
        <v>14.365103767458633</v>
      </c>
      <c r="M24">
        <f t="shared" si="0"/>
        <v>4.3905420132821433</v>
      </c>
      <c r="N24">
        <f t="shared" si="1"/>
        <v>22.424212150462111</v>
      </c>
    </row>
    <row r="25" spans="1:14" x14ac:dyDescent="0.2">
      <c r="A25" t="s">
        <v>56</v>
      </c>
      <c r="B25" t="s">
        <v>129</v>
      </c>
      <c r="C25" t="s">
        <v>32</v>
      </c>
      <c r="D25">
        <v>36.052381603654602</v>
      </c>
      <c r="E25">
        <v>36.052381603654602</v>
      </c>
      <c r="F25" t="s">
        <v>56</v>
      </c>
      <c r="G25" s="1" t="s">
        <v>21</v>
      </c>
      <c r="H25">
        <v>102</v>
      </c>
      <c r="I25">
        <f t="shared" si="24"/>
        <v>36.789315917920746</v>
      </c>
      <c r="J25">
        <f t="shared" ref="J25" si="25">J23</f>
        <v>1.0421825018133017</v>
      </c>
      <c r="K25">
        <f>I8</f>
        <v>32.398773904638603</v>
      </c>
      <c r="L25">
        <f>I20</f>
        <v>14.365103767458633</v>
      </c>
      <c r="M25">
        <f t="shared" si="0"/>
        <v>4.3905420132821433</v>
      </c>
      <c r="N25">
        <f t="shared" si="1"/>
        <v>22.424212150462111</v>
      </c>
    </row>
    <row r="26" spans="1:14" x14ac:dyDescent="0.2">
      <c r="A26" t="s">
        <v>57</v>
      </c>
      <c r="B26" t="s">
        <v>129</v>
      </c>
      <c r="C26" t="s">
        <v>32</v>
      </c>
      <c r="E26">
        <v>30.604144195298399</v>
      </c>
      <c r="F26" t="s">
        <v>57</v>
      </c>
      <c r="G26" s="4" t="s">
        <v>14</v>
      </c>
      <c r="H26">
        <v>100</v>
      </c>
      <c r="I26">
        <f t="shared" ref="I26" si="26">AVERAGE(D26:D28)</f>
        <v>29.774727247352349</v>
      </c>
      <c r="J26">
        <f t="shared" ref="J26" si="27">STDEV(D26:D28)</f>
        <v>1.0016659743050915E-2</v>
      </c>
      <c r="K26">
        <f>I2</f>
        <v>30.462243389323167</v>
      </c>
      <c r="L26">
        <f>I14</f>
        <v>15.729346432802368</v>
      </c>
      <c r="M26">
        <f t="shared" si="0"/>
        <v>-0.68751614197081778</v>
      </c>
      <c r="N26">
        <f t="shared" si="1"/>
        <v>14.045380814549981</v>
      </c>
    </row>
    <row r="27" spans="1:14" x14ac:dyDescent="0.2">
      <c r="A27" t="s">
        <v>58</v>
      </c>
      <c r="B27" t="s">
        <v>129</v>
      </c>
      <c r="C27" t="s">
        <v>32</v>
      </c>
      <c r="D27">
        <v>29.767644399323199</v>
      </c>
      <c r="E27">
        <v>29.767644399323199</v>
      </c>
      <c r="F27" t="s">
        <v>58</v>
      </c>
      <c r="G27" s="4" t="s">
        <v>14</v>
      </c>
      <c r="H27">
        <v>100</v>
      </c>
      <c r="I27">
        <f t="shared" ref="I27:J27" si="28">I26</f>
        <v>29.774727247352349</v>
      </c>
      <c r="J27">
        <f t="shared" si="28"/>
        <v>1.0016659743050915E-2</v>
      </c>
      <c r="K27">
        <f>I2</f>
        <v>30.462243389323167</v>
      </c>
      <c r="L27">
        <f>I14</f>
        <v>15.729346432802368</v>
      </c>
      <c r="M27">
        <f t="shared" si="0"/>
        <v>-0.68751614197081778</v>
      </c>
      <c r="N27">
        <f t="shared" si="1"/>
        <v>14.045380814549981</v>
      </c>
    </row>
    <row r="28" spans="1:14" x14ac:dyDescent="0.2">
      <c r="A28" t="s">
        <v>59</v>
      </c>
      <c r="B28" t="s">
        <v>129</v>
      </c>
      <c r="C28" t="s">
        <v>32</v>
      </c>
      <c r="D28">
        <v>29.781810095381498</v>
      </c>
      <c r="E28">
        <v>29.781810095381498</v>
      </c>
      <c r="F28" t="s">
        <v>59</v>
      </c>
      <c r="G28" s="4" t="s">
        <v>14</v>
      </c>
      <c r="H28">
        <v>100</v>
      </c>
      <c r="I28">
        <f t="shared" ref="I28:J28" si="29">I26</f>
        <v>29.774727247352349</v>
      </c>
      <c r="J28">
        <f t="shared" si="29"/>
        <v>1.0016659743050915E-2</v>
      </c>
      <c r="K28">
        <f>I2</f>
        <v>30.462243389323167</v>
      </c>
      <c r="L28">
        <f>I14</f>
        <v>15.729346432802368</v>
      </c>
      <c r="M28">
        <f t="shared" si="0"/>
        <v>-0.68751614197081778</v>
      </c>
      <c r="N28">
        <f t="shared" si="1"/>
        <v>14.045380814549981</v>
      </c>
    </row>
    <row r="29" spans="1:14" x14ac:dyDescent="0.2">
      <c r="A29" t="s">
        <v>60</v>
      </c>
      <c r="B29" t="s">
        <v>129</v>
      </c>
      <c r="C29" t="s">
        <v>32</v>
      </c>
      <c r="D29">
        <v>32.652024859618798</v>
      </c>
      <c r="E29">
        <v>32.652024859618798</v>
      </c>
      <c r="F29" t="s">
        <v>60</v>
      </c>
      <c r="G29" s="1" t="s">
        <v>23</v>
      </c>
      <c r="H29">
        <v>100</v>
      </c>
      <c r="I29">
        <f t="shared" ref="I29" si="30">AVERAGE(D29:D31)</f>
        <v>32.450634946575448</v>
      </c>
      <c r="J29">
        <f t="shared" ref="J29" si="31">STDEV(D29:D31)</f>
        <v>0.28480834635104396</v>
      </c>
      <c r="K29">
        <f>I2</f>
        <v>30.462243389323167</v>
      </c>
      <c r="L29">
        <f>I14</f>
        <v>15.729346432802368</v>
      </c>
      <c r="M29">
        <f t="shared" si="0"/>
        <v>1.9883915572522817</v>
      </c>
      <c r="N29">
        <f t="shared" si="1"/>
        <v>16.721288513773082</v>
      </c>
    </row>
    <row r="30" spans="1:14" x14ac:dyDescent="0.2">
      <c r="A30" t="s">
        <v>61</v>
      </c>
      <c r="B30" t="s">
        <v>129</v>
      </c>
      <c r="C30" t="s">
        <v>32</v>
      </c>
      <c r="E30">
        <v>33.008092293521997</v>
      </c>
      <c r="F30" t="s">
        <v>61</v>
      </c>
      <c r="G30" s="1" t="s">
        <v>23</v>
      </c>
      <c r="H30">
        <v>100</v>
      </c>
      <c r="I30">
        <f t="shared" ref="I30:J31" si="32">I29</f>
        <v>32.450634946575448</v>
      </c>
      <c r="J30">
        <f t="shared" si="32"/>
        <v>0.28480834635104396</v>
      </c>
      <c r="K30">
        <f>I2</f>
        <v>30.462243389323167</v>
      </c>
      <c r="L30">
        <f>I14</f>
        <v>15.729346432802368</v>
      </c>
      <c r="M30">
        <f t="shared" si="0"/>
        <v>1.9883915572522817</v>
      </c>
      <c r="N30">
        <f t="shared" si="1"/>
        <v>16.721288513773082</v>
      </c>
    </row>
    <row r="31" spans="1:14" x14ac:dyDescent="0.2">
      <c r="A31" t="s">
        <v>62</v>
      </c>
      <c r="B31" t="s">
        <v>129</v>
      </c>
      <c r="C31" t="s">
        <v>32</v>
      </c>
      <c r="D31">
        <v>32.249245033532098</v>
      </c>
      <c r="E31">
        <v>32.249245033532098</v>
      </c>
      <c r="F31" t="s">
        <v>62</v>
      </c>
      <c r="G31" s="1" t="s">
        <v>23</v>
      </c>
      <c r="H31">
        <v>100</v>
      </c>
      <c r="I31">
        <f t="shared" si="32"/>
        <v>32.450634946575448</v>
      </c>
      <c r="J31">
        <f t="shared" ref="J31" si="33">J29</f>
        <v>0.28480834635104396</v>
      </c>
      <c r="K31">
        <f>I2</f>
        <v>30.462243389323167</v>
      </c>
      <c r="L31">
        <f>I14</f>
        <v>15.729346432802368</v>
      </c>
      <c r="M31">
        <f t="shared" si="0"/>
        <v>1.9883915572522817</v>
      </c>
      <c r="N31">
        <f t="shared" si="1"/>
        <v>16.721288513773082</v>
      </c>
    </row>
    <row r="32" spans="1:14" x14ac:dyDescent="0.2">
      <c r="A32" t="s">
        <v>63</v>
      </c>
      <c r="B32" t="s">
        <v>129</v>
      </c>
      <c r="C32" t="s">
        <v>32</v>
      </c>
      <c r="D32">
        <v>33.03038680345</v>
      </c>
      <c r="E32">
        <v>33.03038680345</v>
      </c>
      <c r="F32" t="s">
        <v>63</v>
      </c>
      <c r="G32" s="4" t="s">
        <v>14</v>
      </c>
      <c r="H32">
        <v>102</v>
      </c>
      <c r="I32">
        <f t="shared" ref="I32" si="34">AVERAGE(D32:D34)</f>
        <v>32.075314039852003</v>
      </c>
      <c r="J32">
        <f t="shared" ref="J32" si="35">STDEV(D32:D34)</f>
        <v>1.3506768553334449</v>
      </c>
      <c r="K32">
        <f>I8</f>
        <v>32.398773904638603</v>
      </c>
      <c r="L32">
        <f>I20</f>
        <v>14.365103767458633</v>
      </c>
      <c r="M32">
        <f t="shared" si="0"/>
        <v>-0.32345986478659938</v>
      </c>
      <c r="N32">
        <f t="shared" si="1"/>
        <v>17.710210272393368</v>
      </c>
    </row>
    <row r="33" spans="1:14" x14ac:dyDescent="0.2">
      <c r="A33" t="s">
        <v>64</v>
      </c>
      <c r="B33" t="s">
        <v>129</v>
      </c>
      <c r="C33" t="s">
        <v>32</v>
      </c>
      <c r="E33">
        <v>37.155557474755902</v>
      </c>
      <c r="F33" t="s">
        <v>64</v>
      </c>
      <c r="G33" s="4" t="s">
        <v>14</v>
      </c>
      <c r="H33">
        <v>102</v>
      </c>
      <c r="I33">
        <f t="shared" ref="I33:J33" si="36">I32</f>
        <v>32.075314039852003</v>
      </c>
      <c r="J33">
        <f t="shared" si="36"/>
        <v>1.3506768553334449</v>
      </c>
      <c r="K33">
        <f>I8</f>
        <v>32.398773904638603</v>
      </c>
      <c r="L33">
        <f>I20</f>
        <v>14.365103767458633</v>
      </c>
      <c r="M33">
        <f t="shared" si="0"/>
        <v>-0.32345986478659938</v>
      </c>
      <c r="N33">
        <f t="shared" si="1"/>
        <v>17.710210272393368</v>
      </c>
    </row>
    <row r="34" spans="1:14" x14ac:dyDescent="0.2">
      <c r="A34" t="s">
        <v>65</v>
      </c>
      <c r="B34" t="s">
        <v>129</v>
      </c>
      <c r="C34" t="s">
        <v>32</v>
      </c>
      <c r="D34">
        <v>31.120241276253999</v>
      </c>
      <c r="E34">
        <v>31.120241276253999</v>
      </c>
      <c r="F34" t="s">
        <v>65</v>
      </c>
      <c r="G34" s="4" t="s">
        <v>14</v>
      </c>
      <c r="H34">
        <v>102</v>
      </c>
      <c r="I34">
        <f t="shared" ref="I34:J34" si="37">I32</f>
        <v>32.075314039852003</v>
      </c>
      <c r="J34">
        <f t="shared" si="37"/>
        <v>1.3506768553334449</v>
      </c>
      <c r="K34">
        <f>I8</f>
        <v>32.398773904638603</v>
      </c>
      <c r="L34">
        <f>I20</f>
        <v>14.365103767458633</v>
      </c>
      <c r="M34">
        <f t="shared" si="0"/>
        <v>-0.32345986478659938</v>
      </c>
      <c r="N34">
        <f t="shared" si="1"/>
        <v>17.710210272393368</v>
      </c>
    </row>
    <row r="35" spans="1:14" x14ac:dyDescent="0.2">
      <c r="A35" t="s">
        <v>66</v>
      </c>
      <c r="B35" t="s">
        <v>129</v>
      </c>
      <c r="C35" t="s">
        <v>32</v>
      </c>
      <c r="D35">
        <v>33.803253635768002</v>
      </c>
      <c r="E35">
        <v>33.803253635768002</v>
      </c>
      <c r="F35" t="s">
        <v>66</v>
      </c>
      <c r="G35" s="1" t="s">
        <v>23</v>
      </c>
      <c r="H35">
        <v>102</v>
      </c>
      <c r="I35">
        <f t="shared" ref="I35" si="38">AVERAGE(D35:D37)</f>
        <v>33.524462864024599</v>
      </c>
      <c r="J35">
        <f t="shared" ref="J35" si="39">STDEV(D35:D37)</f>
        <v>0.29546794313557556</v>
      </c>
      <c r="K35">
        <f>I8</f>
        <v>32.398773904638603</v>
      </c>
      <c r="L35">
        <f>I20</f>
        <v>14.365103767458633</v>
      </c>
      <c r="M35">
        <f t="shared" si="0"/>
        <v>1.1256889593859967</v>
      </c>
      <c r="N35">
        <f t="shared" si="1"/>
        <v>19.159359096565964</v>
      </c>
    </row>
    <row r="36" spans="1:14" x14ac:dyDescent="0.2">
      <c r="A36" t="s">
        <v>67</v>
      </c>
      <c r="B36" t="s">
        <v>129</v>
      </c>
      <c r="C36" t="s">
        <v>32</v>
      </c>
      <c r="D36">
        <v>33.2147498789043</v>
      </c>
      <c r="E36">
        <v>33.2147498789043</v>
      </c>
      <c r="F36" t="s">
        <v>67</v>
      </c>
      <c r="G36" s="1" t="s">
        <v>23</v>
      </c>
      <c r="H36">
        <v>102</v>
      </c>
      <c r="I36">
        <f t="shared" ref="I36:J37" si="40">I35</f>
        <v>33.524462864024599</v>
      </c>
      <c r="J36">
        <f t="shared" si="40"/>
        <v>0.29546794313557556</v>
      </c>
      <c r="K36">
        <f>I8</f>
        <v>32.398773904638603</v>
      </c>
      <c r="L36">
        <f>I20</f>
        <v>14.365103767458633</v>
      </c>
      <c r="M36">
        <f t="shared" si="0"/>
        <v>1.1256889593859967</v>
      </c>
      <c r="N36">
        <f t="shared" si="1"/>
        <v>19.159359096565964</v>
      </c>
    </row>
    <row r="37" spans="1:14" x14ac:dyDescent="0.2">
      <c r="A37" t="s">
        <v>68</v>
      </c>
      <c r="B37" t="s">
        <v>129</v>
      </c>
      <c r="C37" t="s">
        <v>32</v>
      </c>
      <c r="D37">
        <v>33.555385077401503</v>
      </c>
      <c r="E37">
        <v>33.555385077401503</v>
      </c>
      <c r="F37" t="s">
        <v>68</v>
      </c>
      <c r="G37" s="1" t="s">
        <v>23</v>
      </c>
      <c r="H37">
        <v>102</v>
      </c>
      <c r="I37">
        <f t="shared" si="40"/>
        <v>33.524462864024599</v>
      </c>
      <c r="J37">
        <f t="shared" ref="J37" si="41">J35</f>
        <v>0.29546794313557556</v>
      </c>
      <c r="K37">
        <f>I8</f>
        <v>32.398773904638603</v>
      </c>
      <c r="L37">
        <f>I20</f>
        <v>14.365103767458633</v>
      </c>
      <c r="M37">
        <f t="shared" si="0"/>
        <v>1.1256889593859967</v>
      </c>
      <c r="N37">
        <f t="shared" si="1"/>
        <v>19.159359096565964</v>
      </c>
    </row>
    <row r="38" spans="1:14" x14ac:dyDescent="0.2">
      <c r="A38" t="s">
        <v>69</v>
      </c>
      <c r="B38" t="s">
        <v>129</v>
      </c>
      <c r="C38" t="s">
        <v>32</v>
      </c>
      <c r="D38">
        <v>29.887975303385598</v>
      </c>
      <c r="E38">
        <v>29.887975303385598</v>
      </c>
      <c r="F38" t="s">
        <v>69</v>
      </c>
      <c r="G38" s="4" t="s">
        <v>15</v>
      </c>
      <c r="H38">
        <v>100</v>
      </c>
      <c r="I38">
        <f t="shared" ref="I38" si="42">AVERAGE(D38:D40)</f>
        <v>29.7866511239212</v>
      </c>
      <c r="J38">
        <f t="shared" ref="J38" si="43">STDEV(D38:D40)</f>
        <v>0.4479866646941994</v>
      </c>
      <c r="K38">
        <f>I2</f>
        <v>30.462243389323167</v>
      </c>
      <c r="L38">
        <f>I14</f>
        <v>15.729346432802368</v>
      </c>
      <c r="M38">
        <f t="shared" si="0"/>
        <v>-0.67559226540196704</v>
      </c>
      <c r="N38">
        <f t="shared" si="1"/>
        <v>14.057304691118832</v>
      </c>
    </row>
    <row r="39" spans="1:14" x14ac:dyDescent="0.2">
      <c r="A39" t="s">
        <v>70</v>
      </c>
      <c r="B39" t="s">
        <v>129</v>
      </c>
      <c r="C39" t="s">
        <v>32</v>
      </c>
      <c r="D39">
        <v>30.1752977066913</v>
      </c>
      <c r="E39">
        <v>30.1752977066913</v>
      </c>
      <c r="F39" t="s">
        <v>70</v>
      </c>
      <c r="G39" s="4" t="s">
        <v>15</v>
      </c>
      <c r="H39">
        <v>100</v>
      </c>
      <c r="I39">
        <f t="shared" ref="I39:J39" si="44">I38</f>
        <v>29.7866511239212</v>
      </c>
      <c r="J39">
        <f t="shared" si="44"/>
        <v>0.4479866646941994</v>
      </c>
      <c r="K39">
        <f>I2</f>
        <v>30.462243389323167</v>
      </c>
      <c r="L39">
        <f>I14</f>
        <v>15.729346432802368</v>
      </c>
      <c r="M39">
        <f t="shared" si="0"/>
        <v>-0.67559226540196704</v>
      </c>
      <c r="N39">
        <f t="shared" si="1"/>
        <v>14.057304691118832</v>
      </c>
    </row>
    <row r="40" spans="1:14" x14ac:dyDescent="0.2">
      <c r="A40" t="s">
        <v>71</v>
      </c>
      <c r="B40" t="s">
        <v>129</v>
      </c>
      <c r="C40" t="s">
        <v>32</v>
      </c>
      <c r="D40">
        <v>29.2966803616867</v>
      </c>
      <c r="E40">
        <v>29.2966803616867</v>
      </c>
      <c r="F40" t="s">
        <v>71</v>
      </c>
      <c r="G40" s="4" t="s">
        <v>15</v>
      </c>
      <c r="H40">
        <v>100</v>
      </c>
      <c r="I40">
        <f t="shared" ref="I40:J40" si="45">I38</f>
        <v>29.7866511239212</v>
      </c>
      <c r="J40">
        <f t="shared" si="45"/>
        <v>0.4479866646941994</v>
      </c>
      <c r="K40">
        <f>I2</f>
        <v>30.462243389323167</v>
      </c>
      <c r="L40">
        <f>I14</f>
        <v>15.729346432802368</v>
      </c>
      <c r="M40">
        <f t="shared" si="0"/>
        <v>-0.67559226540196704</v>
      </c>
      <c r="N40">
        <f t="shared" si="1"/>
        <v>14.057304691118832</v>
      </c>
    </row>
    <row r="41" spans="1:14" x14ac:dyDescent="0.2">
      <c r="A41" t="s">
        <v>72</v>
      </c>
      <c r="B41" t="s">
        <v>129</v>
      </c>
      <c r="C41" t="s">
        <v>32</v>
      </c>
      <c r="D41">
        <v>30.144605575673101</v>
      </c>
      <c r="E41">
        <v>30.144605575673101</v>
      </c>
      <c r="F41" t="s">
        <v>72</v>
      </c>
      <c r="G41" s="1" t="s">
        <v>22</v>
      </c>
      <c r="H41">
        <v>100</v>
      </c>
      <c r="I41">
        <f t="shared" ref="I41" si="46">AVERAGE(D41:D43)</f>
        <v>30.45798389968035</v>
      </c>
      <c r="J41">
        <f t="shared" ref="J41" si="47">STDEV(D41:D43)</f>
        <v>0.44318387596480252</v>
      </c>
      <c r="K41">
        <f>I2</f>
        <v>30.462243389323167</v>
      </c>
      <c r="L41">
        <f>I14</f>
        <v>15.729346432802368</v>
      </c>
      <c r="M41">
        <f t="shared" si="0"/>
        <v>-4.2594896428163054E-3</v>
      </c>
      <c r="N41">
        <f t="shared" si="1"/>
        <v>14.728637466877982</v>
      </c>
    </row>
    <row r="42" spans="1:14" x14ac:dyDescent="0.2">
      <c r="A42" t="s">
        <v>73</v>
      </c>
      <c r="B42" t="s">
        <v>129</v>
      </c>
      <c r="C42" t="s">
        <v>32</v>
      </c>
      <c r="E42">
        <v>31.113791932077199</v>
      </c>
      <c r="F42" t="s">
        <v>73</v>
      </c>
      <c r="G42" s="1" t="s">
        <v>22</v>
      </c>
      <c r="H42">
        <v>100</v>
      </c>
      <c r="I42">
        <f t="shared" ref="I42:J43" si="48">I41</f>
        <v>30.45798389968035</v>
      </c>
      <c r="J42">
        <f t="shared" si="48"/>
        <v>0.44318387596480252</v>
      </c>
      <c r="K42">
        <f>I2</f>
        <v>30.462243389323167</v>
      </c>
      <c r="L42">
        <f>I14</f>
        <v>15.729346432802368</v>
      </c>
      <c r="M42">
        <f t="shared" si="0"/>
        <v>-4.2594896428163054E-3</v>
      </c>
      <c r="N42">
        <f t="shared" si="1"/>
        <v>14.728637466877982</v>
      </c>
    </row>
    <row r="43" spans="1:14" x14ac:dyDescent="0.2">
      <c r="A43" t="s">
        <v>74</v>
      </c>
      <c r="B43" t="s">
        <v>129</v>
      </c>
      <c r="C43" t="s">
        <v>32</v>
      </c>
      <c r="D43">
        <v>30.7713622236876</v>
      </c>
      <c r="E43">
        <v>30.7713622236876</v>
      </c>
      <c r="F43" t="s">
        <v>74</v>
      </c>
      <c r="G43" s="1" t="s">
        <v>22</v>
      </c>
      <c r="H43">
        <v>100</v>
      </c>
      <c r="I43">
        <f t="shared" si="48"/>
        <v>30.45798389968035</v>
      </c>
      <c r="J43">
        <f t="shared" ref="J43" si="49">J41</f>
        <v>0.44318387596480252</v>
      </c>
      <c r="K43">
        <f>I2</f>
        <v>30.462243389323167</v>
      </c>
      <c r="L43">
        <f>I14</f>
        <v>15.729346432802368</v>
      </c>
      <c r="M43">
        <f t="shared" si="0"/>
        <v>-4.2594896428163054E-3</v>
      </c>
      <c r="N43">
        <f t="shared" si="1"/>
        <v>14.728637466877982</v>
      </c>
    </row>
    <row r="44" spans="1:14" x14ac:dyDescent="0.2">
      <c r="A44" t="s">
        <v>75</v>
      </c>
      <c r="B44" t="s">
        <v>129</v>
      </c>
      <c r="C44" t="s">
        <v>32</v>
      </c>
      <c r="D44">
        <v>34.515805029215898</v>
      </c>
      <c r="E44">
        <v>34.515805029215898</v>
      </c>
      <c r="F44" t="s">
        <v>75</v>
      </c>
      <c r="G44" s="4" t="s">
        <v>15</v>
      </c>
      <c r="H44">
        <v>102</v>
      </c>
      <c r="I44">
        <f t="shared" ref="I44" si="50">AVERAGE(D44:D46)</f>
        <v>34.434367066521098</v>
      </c>
      <c r="J44">
        <f t="shared" ref="J44" si="51">STDEV(D44:D46)</f>
        <v>0.11517067133501981</v>
      </c>
      <c r="K44">
        <f>I8</f>
        <v>32.398773904638603</v>
      </c>
      <c r="L44">
        <f>I20</f>
        <v>14.365103767458633</v>
      </c>
      <c r="M44">
        <f t="shared" si="0"/>
        <v>2.0355931618824954</v>
      </c>
      <c r="N44">
        <f t="shared" si="1"/>
        <v>20.069263299062463</v>
      </c>
    </row>
    <row r="45" spans="1:14" x14ac:dyDescent="0.2">
      <c r="A45" t="s">
        <v>76</v>
      </c>
      <c r="B45" t="s">
        <v>129</v>
      </c>
      <c r="C45" t="s">
        <v>32</v>
      </c>
      <c r="E45">
        <v>36.400042183399698</v>
      </c>
      <c r="F45" t="s">
        <v>76</v>
      </c>
      <c r="G45" s="4" t="s">
        <v>15</v>
      </c>
      <c r="H45">
        <v>102</v>
      </c>
      <c r="I45">
        <f t="shared" ref="I45:J45" si="52">I44</f>
        <v>34.434367066521098</v>
      </c>
      <c r="J45">
        <f t="shared" si="52"/>
        <v>0.11517067133501981</v>
      </c>
      <c r="K45">
        <f>I8</f>
        <v>32.398773904638603</v>
      </c>
      <c r="L45">
        <f>I20</f>
        <v>14.365103767458633</v>
      </c>
      <c r="M45">
        <f t="shared" si="0"/>
        <v>2.0355931618824954</v>
      </c>
      <c r="N45">
        <f t="shared" si="1"/>
        <v>20.069263299062463</v>
      </c>
    </row>
    <row r="46" spans="1:14" x14ac:dyDescent="0.2">
      <c r="A46" t="s">
        <v>77</v>
      </c>
      <c r="B46" t="s">
        <v>129</v>
      </c>
      <c r="C46" t="s">
        <v>32</v>
      </c>
      <c r="D46">
        <v>34.352929103826298</v>
      </c>
      <c r="E46">
        <v>34.352929103826298</v>
      </c>
      <c r="F46" t="s">
        <v>77</v>
      </c>
      <c r="G46" s="4" t="s">
        <v>15</v>
      </c>
      <c r="H46">
        <v>102</v>
      </c>
      <c r="I46">
        <f t="shared" ref="I46:J46" si="53">I44</f>
        <v>34.434367066521098</v>
      </c>
      <c r="J46">
        <f t="shared" si="53"/>
        <v>0.11517067133501981</v>
      </c>
      <c r="K46">
        <f>I8</f>
        <v>32.398773904638603</v>
      </c>
      <c r="L46">
        <f>I20</f>
        <v>14.365103767458633</v>
      </c>
      <c r="M46">
        <f t="shared" si="0"/>
        <v>2.0355931618824954</v>
      </c>
      <c r="N46">
        <f t="shared" si="1"/>
        <v>20.069263299062463</v>
      </c>
    </row>
    <row r="47" spans="1:14" x14ac:dyDescent="0.2">
      <c r="A47" t="s">
        <v>78</v>
      </c>
      <c r="B47" t="s">
        <v>129</v>
      </c>
      <c r="C47" t="s">
        <v>32</v>
      </c>
      <c r="D47" t="s">
        <v>33</v>
      </c>
      <c r="E47" t="s">
        <v>33</v>
      </c>
      <c r="F47" t="s">
        <v>78</v>
      </c>
      <c r="G47" s="1" t="s">
        <v>22</v>
      </c>
      <c r="H47">
        <v>102</v>
      </c>
      <c r="I47">
        <f t="shared" ref="I47" si="54">AVERAGE(D47:D49)</f>
        <v>39.7813704715334</v>
      </c>
      <c r="J47" t="e">
        <f t="shared" ref="J47" si="55">STDEV(D47:D49)</f>
        <v>#DIV/0!</v>
      </c>
      <c r="K47">
        <f>I8</f>
        <v>32.398773904638603</v>
      </c>
      <c r="L47">
        <f>I20</f>
        <v>14.365103767458633</v>
      </c>
      <c r="M47">
        <f t="shared" si="0"/>
        <v>7.3825965668947973</v>
      </c>
      <c r="N47">
        <f t="shared" si="1"/>
        <v>25.416266704074765</v>
      </c>
    </row>
    <row r="48" spans="1:14" x14ac:dyDescent="0.2">
      <c r="A48" t="s">
        <v>79</v>
      </c>
      <c r="B48" t="s">
        <v>129</v>
      </c>
      <c r="C48" t="s">
        <v>32</v>
      </c>
      <c r="D48">
        <v>39.7813704715334</v>
      </c>
      <c r="E48">
        <v>39.7813704715334</v>
      </c>
      <c r="F48" t="s">
        <v>79</v>
      </c>
      <c r="G48" s="1" t="s">
        <v>22</v>
      </c>
      <c r="H48">
        <v>102</v>
      </c>
      <c r="I48">
        <f t="shared" ref="I48:J49" si="56">I47</f>
        <v>39.7813704715334</v>
      </c>
      <c r="J48" t="e">
        <f t="shared" si="56"/>
        <v>#DIV/0!</v>
      </c>
      <c r="K48">
        <f>I8</f>
        <v>32.398773904638603</v>
      </c>
      <c r="L48">
        <f>I20</f>
        <v>14.365103767458633</v>
      </c>
      <c r="M48">
        <f t="shared" si="0"/>
        <v>7.3825965668947973</v>
      </c>
      <c r="N48">
        <f t="shared" si="1"/>
        <v>25.416266704074765</v>
      </c>
    </row>
    <row r="49" spans="1:14" x14ac:dyDescent="0.2">
      <c r="A49" t="s">
        <v>80</v>
      </c>
      <c r="B49" t="s">
        <v>129</v>
      </c>
      <c r="C49" t="s">
        <v>32</v>
      </c>
      <c r="D49" t="s">
        <v>33</v>
      </c>
      <c r="E49" t="s">
        <v>33</v>
      </c>
      <c r="F49" t="s">
        <v>80</v>
      </c>
      <c r="G49" s="1" t="s">
        <v>22</v>
      </c>
      <c r="H49">
        <v>102</v>
      </c>
      <c r="I49">
        <f t="shared" si="56"/>
        <v>39.7813704715334</v>
      </c>
      <c r="J49" t="e">
        <f t="shared" ref="J49" si="57">J47</f>
        <v>#DIV/0!</v>
      </c>
      <c r="K49">
        <f>I8</f>
        <v>32.398773904638603</v>
      </c>
      <c r="L49">
        <f>I20</f>
        <v>14.365103767458633</v>
      </c>
      <c r="M49">
        <f t="shared" si="0"/>
        <v>7.3825965668947973</v>
      </c>
      <c r="N49">
        <f t="shared" si="1"/>
        <v>25.416266704074765</v>
      </c>
    </row>
    <row r="50" spans="1:14" x14ac:dyDescent="0.2">
      <c r="A50" t="s">
        <v>81</v>
      </c>
      <c r="B50" t="s">
        <v>129</v>
      </c>
      <c r="C50" t="s">
        <v>32</v>
      </c>
      <c r="D50">
        <v>29.445398544589001</v>
      </c>
      <c r="E50">
        <v>29.445398544589001</v>
      </c>
      <c r="F50" t="s">
        <v>81</v>
      </c>
      <c r="G50" s="4" t="s">
        <v>16</v>
      </c>
      <c r="H50">
        <v>100</v>
      </c>
      <c r="I50">
        <f t="shared" ref="I50" si="58">AVERAGE(D50:D52)</f>
        <v>29.363288189725967</v>
      </c>
      <c r="J50">
        <f t="shared" ref="J50" si="59">STDEV(D50:D52)</f>
        <v>0.26725573942471503</v>
      </c>
      <c r="K50">
        <f>I2</f>
        <v>30.462243389323167</v>
      </c>
      <c r="L50">
        <f>I14</f>
        <v>15.729346432802368</v>
      </c>
      <c r="M50">
        <f t="shared" si="0"/>
        <v>-1.0989551995971993</v>
      </c>
      <c r="N50">
        <f t="shared" si="1"/>
        <v>13.633941756923599</v>
      </c>
    </row>
    <row r="51" spans="1:14" x14ac:dyDescent="0.2">
      <c r="A51" t="s">
        <v>82</v>
      </c>
      <c r="B51" t="s">
        <v>129</v>
      </c>
      <c r="C51" t="s">
        <v>32</v>
      </c>
      <c r="D51">
        <v>29.064611104309801</v>
      </c>
      <c r="E51">
        <v>29.064611104309801</v>
      </c>
      <c r="F51" t="s">
        <v>82</v>
      </c>
      <c r="G51" s="4" t="s">
        <v>16</v>
      </c>
      <c r="H51">
        <v>100</v>
      </c>
      <c r="I51">
        <f t="shared" ref="I51:J51" si="60">I50</f>
        <v>29.363288189725967</v>
      </c>
      <c r="J51">
        <f t="shared" si="60"/>
        <v>0.26725573942471503</v>
      </c>
      <c r="K51">
        <f>I2</f>
        <v>30.462243389323167</v>
      </c>
      <c r="L51">
        <f>I14</f>
        <v>15.729346432802368</v>
      </c>
      <c r="M51">
        <f t="shared" si="0"/>
        <v>-1.0989551995971993</v>
      </c>
      <c r="N51">
        <f t="shared" si="1"/>
        <v>13.633941756923599</v>
      </c>
    </row>
    <row r="52" spans="1:14" x14ac:dyDescent="0.2">
      <c r="A52" t="s">
        <v>83</v>
      </c>
      <c r="B52" t="s">
        <v>129</v>
      </c>
      <c r="C52" t="s">
        <v>32</v>
      </c>
      <c r="D52">
        <v>29.5798549202791</v>
      </c>
      <c r="E52">
        <v>29.5798549202791</v>
      </c>
      <c r="F52" t="s">
        <v>83</v>
      </c>
      <c r="G52" s="4" t="s">
        <v>16</v>
      </c>
      <c r="H52">
        <v>100</v>
      </c>
      <c r="I52">
        <f t="shared" ref="I52:J52" si="61">I50</f>
        <v>29.363288189725967</v>
      </c>
      <c r="J52">
        <f t="shared" si="61"/>
        <v>0.26725573942471503</v>
      </c>
      <c r="K52">
        <f>I2</f>
        <v>30.462243389323167</v>
      </c>
      <c r="L52">
        <f>I14</f>
        <v>15.729346432802368</v>
      </c>
      <c r="M52">
        <f t="shared" si="0"/>
        <v>-1.0989551995971993</v>
      </c>
      <c r="N52">
        <f t="shared" si="1"/>
        <v>13.633941756923599</v>
      </c>
    </row>
    <row r="53" spans="1:14" x14ac:dyDescent="0.2">
      <c r="A53" t="s">
        <v>84</v>
      </c>
      <c r="B53" t="s">
        <v>129</v>
      </c>
      <c r="C53" t="s">
        <v>32</v>
      </c>
      <c r="D53">
        <v>29.1738711534957</v>
      </c>
      <c r="E53">
        <v>29.1738711534957</v>
      </c>
      <c r="F53" t="s">
        <v>84</v>
      </c>
      <c r="G53" s="1" t="s">
        <v>24</v>
      </c>
      <c r="H53">
        <v>100</v>
      </c>
      <c r="I53">
        <f t="shared" ref="I53" si="62">AVERAGE(D53:D55)</f>
        <v>29.572749931639169</v>
      </c>
      <c r="J53">
        <f t="shared" ref="J53" si="63">STDEV(D53:D55)</f>
        <v>0.34635117604586418</v>
      </c>
      <c r="K53">
        <f>I2</f>
        <v>30.462243389323167</v>
      </c>
      <c r="L53">
        <f>I14</f>
        <v>15.729346432802368</v>
      </c>
      <c r="M53">
        <f t="shared" si="0"/>
        <v>-0.88949345768399724</v>
      </c>
      <c r="N53">
        <f t="shared" si="1"/>
        <v>13.843403498836802</v>
      </c>
    </row>
    <row r="54" spans="1:14" x14ac:dyDescent="0.2">
      <c r="A54" t="s">
        <v>85</v>
      </c>
      <c r="B54" t="s">
        <v>129</v>
      </c>
      <c r="C54" t="s">
        <v>32</v>
      </c>
      <c r="D54">
        <v>29.797307589131201</v>
      </c>
      <c r="E54">
        <v>29.797307589131201</v>
      </c>
      <c r="F54" t="s">
        <v>85</v>
      </c>
      <c r="G54" s="1" t="s">
        <v>24</v>
      </c>
      <c r="H54">
        <v>100</v>
      </c>
      <c r="I54">
        <f t="shared" ref="I54:J55" si="64">I53</f>
        <v>29.572749931639169</v>
      </c>
      <c r="J54">
        <f t="shared" si="64"/>
        <v>0.34635117604586418</v>
      </c>
      <c r="K54">
        <f>I2</f>
        <v>30.462243389323167</v>
      </c>
      <c r="L54">
        <f>I14</f>
        <v>15.729346432802368</v>
      </c>
      <c r="M54">
        <f t="shared" si="0"/>
        <v>-0.88949345768399724</v>
      </c>
      <c r="N54">
        <f t="shared" si="1"/>
        <v>13.843403498836802</v>
      </c>
    </row>
    <row r="55" spans="1:14" x14ac:dyDescent="0.2">
      <c r="A55" t="s">
        <v>86</v>
      </c>
      <c r="B55" t="s">
        <v>129</v>
      </c>
      <c r="C55" t="s">
        <v>32</v>
      </c>
      <c r="D55">
        <v>29.7470710522906</v>
      </c>
      <c r="E55">
        <v>29.7470710522906</v>
      </c>
      <c r="F55" t="s">
        <v>86</v>
      </c>
      <c r="G55" s="1" t="s">
        <v>24</v>
      </c>
      <c r="H55">
        <v>100</v>
      </c>
      <c r="I55">
        <f t="shared" si="64"/>
        <v>29.572749931639169</v>
      </c>
      <c r="J55">
        <f t="shared" ref="J55" si="65">J53</f>
        <v>0.34635117604586418</v>
      </c>
      <c r="K55">
        <f>I2</f>
        <v>30.462243389323167</v>
      </c>
      <c r="L55">
        <f>I14</f>
        <v>15.729346432802368</v>
      </c>
      <c r="M55">
        <f t="shared" si="0"/>
        <v>-0.88949345768399724</v>
      </c>
      <c r="N55">
        <f t="shared" si="1"/>
        <v>13.843403498836802</v>
      </c>
    </row>
    <row r="56" spans="1:14" x14ac:dyDescent="0.2">
      <c r="A56" t="s">
        <v>87</v>
      </c>
      <c r="B56" t="s">
        <v>129</v>
      </c>
      <c r="C56" t="s">
        <v>32</v>
      </c>
      <c r="D56">
        <v>32.074960122716298</v>
      </c>
      <c r="E56">
        <v>32.074960122716298</v>
      </c>
      <c r="F56" t="s">
        <v>87</v>
      </c>
      <c r="G56" s="4" t="s">
        <v>16</v>
      </c>
      <c r="H56">
        <v>102</v>
      </c>
      <c r="I56">
        <f t="shared" ref="I56" si="66">AVERAGE(D56:D58)</f>
        <v>32.127081967807932</v>
      </c>
      <c r="J56">
        <f t="shared" ref="J56" si="67">STDEV(D56:D58)</f>
        <v>0.23628893731753828</v>
      </c>
      <c r="K56">
        <f>I8</f>
        <v>32.398773904638603</v>
      </c>
      <c r="L56">
        <f>I20</f>
        <v>14.365103767458633</v>
      </c>
      <c r="M56">
        <f t="shared" si="0"/>
        <v>-0.2716919368306705</v>
      </c>
      <c r="N56">
        <f t="shared" si="1"/>
        <v>17.761978200349297</v>
      </c>
    </row>
    <row r="57" spans="1:14" x14ac:dyDescent="0.2">
      <c r="A57" t="s">
        <v>88</v>
      </c>
      <c r="B57" t="s">
        <v>129</v>
      </c>
      <c r="C57" t="s">
        <v>32</v>
      </c>
      <c r="D57">
        <v>32.385080267347703</v>
      </c>
      <c r="E57">
        <v>32.385080267347703</v>
      </c>
      <c r="F57" t="s">
        <v>88</v>
      </c>
      <c r="G57" s="4" t="s">
        <v>16</v>
      </c>
      <c r="H57">
        <v>102</v>
      </c>
      <c r="I57">
        <f t="shared" ref="I57:J57" si="68">I56</f>
        <v>32.127081967807932</v>
      </c>
      <c r="J57">
        <f t="shared" si="68"/>
        <v>0.23628893731753828</v>
      </c>
      <c r="K57">
        <f>I8</f>
        <v>32.398773904638603</v>
      </c>
      <c r="L57">
        <f>I20</f>
        <v>14.365103767458633</v>
      </c>
      <c r="M57">
        <f t="shared" si="0"/>
        <v>-0.2716919368306705</v>
      </c>
      <c r="N57">
        <f t="shared" si="1"/>
        <v>17.761978200349297</v>
      </c>
    </row>
    <row r="58" spans="1:14" x14ac:dyDescent="0.2">
      <c r="A58" t="s">
        <v>89</v>
      </c>
      <c r="B58" t="s">
        <v>129</v>
      </c>
      <c r="C58" t="s">
        <v>32</v>
      </c>
      <c r="D58">
        <v>31.921205513359801</v>
      </c>
      <c r="E58">
        <v>31.921205513359801</v>
      </c>
      <c r="F58" t="s">
        <v>89</v>
      </c>
      <c r="G58" s="4" t="s">
        <v>16</v>
      </c>
      <c r="H58">
        <v>102</v>
      </c>
      <c r="I58">
        <f t="shared" ref="I58:J58" si="69">I56</f>
        <v>32.127081967807932</v>
      </c>
      <c r="J58">
        <f t="shared" si="69"/>
        <v>0.23628893731753828</v>
      </c>
      <c r="K58">
        <f>I8</f>
        <v>32.398773904638603</v>
      </c>
      <c r="L58">
        <f>I20</f>
        <v>14.365103767458633</v>
      </c>
      <c r="M58">
        <f t="shared" si="0"/>
        <v>-0.2716919368306705</v>
      </c>
      <c r="N58">
        <f t="shared" si="1"/>
        <v>17.761978200349297</v>
      </c>
    </row>
    <row r="59" spans="1:14" x14ac:dyDescent="0.2">
      <c r="A59" t="s">
        <v>90</v>
      </c>
      <c r="B59" t="s">
        <v>129</v>
      </c>
      <c r="C59" t="s">
        <v>32</v>
      </c>
      <c r="D59">
        <v>36.520763383624598</v>
      </c>
      <c r="E59">
        <v>36.520763383624598</v>
      </c>
      <c r="F59" t="s">
        <v>90</v>
      </c>
      <c r="G59" s="1" t="s">
        <v>24</v>
      </c>
      <c r="H59">
        <v>102</v>
      </c>
      <c r="I59">
        <f t="shared" ref="I59" si="70">AVERAGE(D59:D61)</f>
        <v>34.889798412741726</v>
      </c>
      <c r="J59">
        <f t="shared" ref="J59" si="71">STDEV(D59:D61)</f>
        <v>1.7019974832511442</v>
      </c>
      <c r="K59">
        <f>I8</f>
        <v>32.398773904638603</v>
      </c>
      <c r="L59">
        <f>I20</f>
        <v>14.365103767458633</v>
      </c>
      <c r="M59">
        <f t="shared" si="0"/>
        <v>2.4910245081031235</v>
      </c>
      <c r="N59">
        <f t="shared" si="1"/>
        <v>20.524694645283091</v>
      </c>
    </row>
    <row r="60" spans="1:14" x14ac:dyDescent="0.2">
      <c r="A60" t="s">
        <v>91</v>
      </c>
      <c r="B60" t="s">
        <v>129</v>
      </c>
      <c r="C60" t="s">
        <v>32</v>
      </c>
      <c r="D60">
        <v>33.124705280346497</v>
      </c>
      <c r="E60">
        <v>33.124705280346497</v>
      </c>
      <c r="F60" t="s">
        <v>91</v>
      </c>
      <c r="G60" s="1" t="s">
        <v>24</v>
      </c>
      <c r="H60">
        <v>102</v>
      </c>
      <c r="I60">
        <f t="shared" ref="I60:J61" si="72">I59</f>
        <v>34.889798412741726</v>
      </c>
      <c r="J60">
        <f t="shared" si="72"/>
        <v>1.7019974832511442</v>
      </c>
      <c r="K60">
        <f>I8</f>
        <v>32.398773904638603</v>
      </c>
      <c r="L60">
        <f>I20</f>
        <v>14.365103767458633</v>
      </c>
      <c r="M60">
        <f t="shared" si="0"/>
        <v>2.4910245081031235</v>
      </c>
      <c r="N60">
        <f t="shared" si="1"/>
        <v>20.524694645283091</v>
      </c>
    </row>
    <row r="61" spans="1:14" x14ac:dyDescent="0.2">
      <c r="A61" t="s">
        <v>92</v>
      </c>
      <c r="B61" t="s">
        <v>129</v>
      </c>
      <c r="C61" t="s">
        <v>32</v>
      </c>
      <c r="D61">
        <v>35.023926574254098</v>
      </c>
      <c r="E61">
        <v>35.023926574254098</v>
      </c>
      <c r="F61" t="s">
        <v>92</v>
      </c>
      <c r="G61" s="1" t="s">
        <v>24</v>
      </c>
      <c r="H61">
        <v>102</v>
      </c>
      <c r="I61">
        <f t="shared" si="72"/>
        <v>34.889798412741726</v>
      </c>
      <c r="J61">
        <f t="shared" ref="J61" si="73">J59</f>
        <v>1.7019974832511442</v>
      </c>
      <c r="K61">
        <f>I8</f>
        <v>32.398773904638603</v>
      </c>
      <c r="L61">
        <f>I20</f>
        <v>14.365103767458633</v>
      </c>
      <c r="M61">
        <f t="shared" si="0"/>
        <v>2.4910245081031235</v>
      </c>
      <c r="N61">
        <f t="shared" si="1"/>
        <v>20.524694645283091</v>
      </c>
    </row>
    <row r="62" spans="1:14" x14ac:dyDescent="0.2">
      <c r="A62" t="s">
        <v>93</v>
      </c>
      <c r="B62" t="s">
        <v>129</v>
      </c>
      <c r="C62" t="s">
        <v>32</v>
      </c>
      <c r="D62">
        <v>30.618450425045001</v>
      </c>
      <c r="E62">
        <v>30.618450425045001</v>
      </c>
      <c r="F62" t="s">
        <v>93</v>
      </c>
      <c r="G62" s="4" t="s">
        <v>17</v>
      </c>
      <c r="H62">
        <v>100</v>
      </c>
      <c r="I62">
        <f t="shared" ref="I62" si="74">AVERAGE(D62:D64)</f>
        <v>29.971769318423199</v>
      </c>
      <c r="J62">
        <f t="shared" ref="J62" si="75">STDEV(D62:D64)</f>
        <v>0.62484467592952531</v>
      </c>
      <c r="K62">
        <f>I2</f>
        <v>30.462243389323167</v>
      </c>
      <c r="L62">
        <f>I14</f>
        <v>15.729346432802368</v>
      </c>
      <c r="M62">
        <f t="shared" si="0"/>
        <v>-0.49047407089996753</v>
      </c>
      <c r="N62">
        <f t="shared" si="1"/>
        <v>14.242422885620831</v>
      </c>
    </row>
    <row r="63" spans="1:14" x14ac:dyDescent="0.2">
      <c r="A63" t="s">
        <v>94</v>
      </c>
      <c r="B63" t="s">
        <v>129</v>
      </c>
      <c r="C63" t="s">
        <v>32</v>
      </c>
      <c r="D63">
        <v>29.925527175052299</v>
      </c>
      <c r="E63">
        <v>29.925527175052299</v>
      </c>
      <c r="F63" t="s">
        <v>94</v>
      </c>
      <c r="G63" s="4" t="s">
        <v>17</v>
      </c>
      <c r="H63">
        <v>100</v>
      </c>
      <c r="I63">
        <f t="shared" ref="I63:J63" si="76">I62</f>
        <v>29.971769318423199</v>
      </c>
      <c r="J63">
        <f t="shared" si="76"/>
        <v>0.62484467592952531</v>
      </c>
      <c r="K63">
        <f>I2</f>
        <v>30.462243389323167</v>
      </c>
      <c r="L63">
        <f>I14</f>
        <v>15.729346432802368</v>
      </c>
      <c r="M63">
        <f t="shared" si="0"/>
        <v>-0.49047407089996753</v>
      </c>
      <c r="N63">
        <f t="shared" si="1"/>
        <v>14.242422885620831</v>
      </c>
    </row>
    <row r="64" spans="1:14" x14ac:dyDescent="0.2">
      <c r="A64" t="s">
        <v>95</v>
      </c>
      <c r="B64" t="s">
        <v>129</v>
      </c>
      <c r="C64" t="s">
        <v>32</v>
      </c>
      <c r="D64">
        <v>29.371330355172301</v>
      </c>
      <c r="E64">
        <v>29.371330355172301</v>
      </c>
      <c r="F64" t="s">
        <v>95</v>
      </c>
      <c r="G64" s="4" t="s">
        <v>17</v>
      </c>
      <c r="H64">
        <v>100</v>
      </c>
      <c r="I64">
        <f t="shared" ref="I64:J64" si="77">I62</f>
        <v>29.971769318423199</v>
      </c>
      <c r="J64">
        <f t="shared" si="77"/>
        <v>0.62484467592952531</v>
      </c>
      <c r="K64">
        <f>I2</f>
        <v>30.462243389323167</v>
      </c>
      <c r="L64">
        <f>I14</f>
        <v>15.729346432802368</v>
      </c>
      <c r="M64">
        <f t="shared" si="0"/>
        <v>-0.49047407089996753</v>
      </c>
      <c r="N64">
        <f t="shared" si="1"/>
        <v>14.242422885620831</v>
      </c>
    </row>
    <row r="65" spans="1:14" x14ac:dyDescent="0.2">
      <c r="A65" t="s">
        <v>96</v>
      </c>
      <c r="B65" t="s">
        <v>129</v>
      </c>
      <c r="C65" t="s">
        <v>32</v>
      </c>
      <c r="D65">
        <v>30.0564847690809</v>
      </c>
      <c r="E65">
        <v>30.0564847690809</v>
      </c>
      <c r="F65" t="s">
        <v>96</v>
      </c>
      <c r="G65" s="1" t="s">
        <v>25</v>
      </c>
      <c r="H65">
        <v>100</v>
      </c>
      <c r="I65">
        <f t="shared" ref="I65" si="78">AVERAGE(D65:D67)</f>
        <v>30.094855276989296</v>
      </c>
      <c r="J65">
        <f t="shared" ref="J65" si="79">STDEV(D65:D67)</f>
        <v>5.0109819232616801E-2</v>
      </c>
      <c r="K65">
        <f>I2</f>
        <v>30.462243389323167</v>
      </c>
      <c r="L65">
        <f>I14</f>
        <v>15.729346432802368</v>
      </c>
      <c r="M65">
        <f t="shared" si="0"/>
        <v>-0.36738811233387025</v>
      </c>
      <c r="N65">
        <f t="shared" si="1"/>
        <v>14.365508844186929</v>
      </c>
    </row>
    <row r="66" spans="1:14" x14ac:dyDescent="0.2">
      <c r="A66" t="s">
        <v>97</v>
      </c>
      <c r="B66" t="s">
        <v>129</v>
      </c>
      <c r="C66" t="s">
        <v>32</v>
      </c>
      <c r="D66">
        <v>30.151547491306399</v>
      </c>
      <c r="E66">
        <v>30.151547491306399</v>
      </c>
      <c r="F66" t="s">
        <v>97</v>
      </c>
      <c r="G66" s="1" t="s">
        <v>25</v>
      </c>
      <c r="H66">
        <v>100</v>
      </c>
      <c r="I66">
        <f t="shared" ref="I66:J67" si="80">I65</f>
        <v>30.094855276989296</v>
      </c>
      <c r="J66">
        <f t="shared" si="80"/>
        <v>5.0109819232616801E-2</v>
      </c>
      <c r="K66">
        <f>I2</f>
        <v>30.462243389323167</v>
      </c>
      <c r="L66">
        <f>I14</f>
        <v>15.729346432802368</v>
      </c>
      <c r="M66">
        <f t="shared" si="0"/>
        <v>-0.36738811233387025</v>
      </c>
      <c r="N66">
        <f t="shared" si="1"/>
        <v>14.365508844186929</v>
      </c>
    </row>
    <row r="67" spans="1:14" x14ac:dyDescent="0.2">
      <c r="A67" t="s">
        <v>98</v>
      </c>
      <c r="B67" t="s">
        <v>129</v>
      </c>
      <c r="C67" t="s">
        <v>32</v>
      </c>
      <c r="D67">
        <v>30.076533570580601</v>
      </c>
      <c r="E67">
        <v>30.076533570580601</v>
      </c>
      <c r="F67" t="s">
        <v>98</v>
      </c>
      <c r="G67" s="1" t="s">
        <v>25</v>
      </c>
      <c r="H67">
        <v>100</v>
      </c>
      <c r="I67">
        <f t="shared" si="80"/>
        <v>30.094855276989296</v>
      </c>
      <c r="J67">
        <f t="shared" ref="J67" si="81">J65</f>
        <v>5.0109819232616801E-2</v>
      </c>
      <c r="K67">
        <f>I2</f>
        <v>30.462243389323167</v>
      </c>
      <c r="L67">
        <f>I14</f>
        <v>15.729346432802368</v>
      </c>
      <c r="M67">
        <f t="shared" ref="M67:M97" si="82">I67-K67</f>
        <v>-0.36738811233387025</v>
      </c>
      <c r="N67">
        <f t="shared" ref="N67:N97" si="83">I67-L67</f>
        <v>14.365508844186929</v>
      </c>
    </row>
    <row r="68" spans="1:14" x14ac:dyDescent="0.2">
      <c r="A68" t="s">
        <v>99</v>
      </c>
      <c r="B68" t="s">
        <v>129</v>
      </c>
      <c r="C68" t="s">
        <v>32</v>
      </c>
      <c r="D68">
        <v>31.1894594375864</v>
      </c>
      <c r="E68">
        <v>31.1894594375864</v>
      </c>
      <c r="F68" t="s">
        <v>99</v>
      </c>
      <c r="G68" s="4" t="s">
        <v>17</v>
      </c>
      <c r="H68">
        <v>102</v>
      </c>
      <c r="I68">
        <f t="shared" ref="I68" si="84">AVERAGE(D68:D70)</f>
        <v>31.303758416478001</v>
      </c>
      <c r="J68">
        <f t="shared" ref="J68" si="85">STDEV(D68:D70)</f>
        <v>0.13032988059289199</v>
      </c>
      <c r="K68">
        <f>I8</f>
        <v>32.398773904638603</v>
      </c>
      <c r="L68">
        <f>I20</f>
        <v>14.365103767458633</v>
      </c>
      <c r="M68">
        <f t="shared" si="82"/>
        <v>-1.0950154881606018</v>
      </c>
      <c r="N68">
        <f t="shared" si="83"/>
        <v>16.938654649019369</v>
      </c>
    </row>
    <row r="69" spans="1:14" x14ac:dyDescent="0.2">
      <c r="A69" t="s">
        <v>100</v>
      </c>
      <c r="B69" t="s">
        <v>129</v>
      </c>
      <c r="C69" t="s">
        <v>32</v>
      </c>
      <c r="D69">
        <v>31.276127688044799</v>
      </c>
      <c r="E69">
        <v>31.276127688044799</v>
      </c>
      <c r="F69" t="s">
        <v>100</v>
      </c>
      <c r="G69" s="4" t="s">
        <v>17</v>
      </c>
      <c r="H69">
        <v>102</v>
      </c>
      <c r="I69">
        <f t="shared" ref="I69:J69" si="86">I68</f>
        <v>31.303758416478001</v>
      </c>
      <c r="J69">
        <f t="shared" si="86"/>
        <v>0.13032988059289199</v>
      </c>
      <c r="K69">
        <f>I8</f>
        <v>32.398773904638603</v>
      </c>
      <c r="L69">
        <f>I20</f>
        <v>14.365103767458633</v>
      </c>
      <c r="M69">
        <f t="shared" si="82"/>
        <v>-1.0950154881606018</v>
      </c>
      <c r="N69">
        <f t="shared" si="83"/>
        <v>16.938654649019369</v>
      </c>
    </row>
    <row r="70" spans="1:14" x14ac:dyDescent="0.2">
      <c r="A70" t="s">
        <v>101</v>
      </c>
      <c r="B70" t="s">
        <v>129</v>
      </c>
      <c r="C70" t="s">
        <v>32</v>
      </c>
      <c r="D70">
        <v>31.4456881238028</v>
      </c>
      <c r="E70">
        <v>31.4456881238028</v>
      </c>
      <c r="F70" t="s">
        <v>101</v>
      </c>
      <c r="G70" s="4" t="s">
        <v>17</v>
      </c>
      <c r="H70">
        <v>102</v>
      </c>
      <c r="I70">
        <f t="shared" ref="I70:J70" si="87">I68</f>
        <v>31.303758416478001</v>
      </c>
      <c r="J70">
        <f t="shared" si="87"/>
        <v>0.13032988059289199</v>
      </c>
      <c r="K70">
        <f>I8</f>
        <v>32.398773904638603</v>
      </c>
      <c r="L70">
        <f>I20</f>
        <v>14.365103767458633</v>
      </c>
      <c r="M70">
        <f t="shared" si="82"/>
        <v>-1.0950154881606018</v>
      </c>
      <c r="N70">
        <f t="shared" si="83"/>
        <v>16.938654649019369</v>
      </c>
    </row>
    <row r="71" spans="1:14" x14ac:dyDescent="0.2">
      <c r="A71" t="s">
        <v>102</v>
      </c>
      <c r="B71" t="s">
        <v>129</v>
      </c>
      <c r="C71" t="s">
        <v>32</v>
      </c>
      <c r="D71">
        <v>31.946427508728799</v>
      </c>
      <c r="E71">
        <v>31.946427508728799</v>
      </c>
      <c r="F71" t="s">
        <v>102</v>
      </c>
      <c r="G71" s="1" t="s">
        <v>25</v>
      </c>
      <c r="H71">
        <v>102</v>
      </c>
      <c r="I71">
        <f t="shared" ref="I71" si="88">AVERAGE(D71:D73)</f>
        <v>32.095061331620649</v>
      </c>
      <c r="J71">
        <f t="shared" ref="J71" si="89">STDEV(D71:D73)</f>
        <v>0.21019996816101613</v>
      </c>
      <c r="K71">
        <f>I8</f>
        <v>32.398773904638603</v>
      </c>
      <c r="L71">
        <f>I20</f>
        <v>14.365103767458633</v>
      </c>
      <c r="M71">
        <f t="shared" si="82"/>
        <v>-0.30371257301795396</v>
      </c>
      <c r="N71">
        <f t="shared" si="83"/>
        <v>17.729957564162014</v>
      </c>
    </row>
    <row r="72" spans="1:14" x14ac:dyDescent="0.2">
      <c r="A72" t="s">
        <v>103</v>
      </c>
      <c r="B72" t="s">
        <v>129</v>
      </c>
      <c r="C72" t="s">
        <v>32</v>
      </c>
      <c r="E72">
        <v>32.929252698106303</v>
      </c>
      <c r="F72" t="s">
        <v>103</v>
      </c>
      <c r="G72" s="1" t="s">
        <v>25</v>
      </c>
      <c r="H72">
        <v>102</v>
      </c>
      <c r="I72">
        <f t="shared" ref="I72:J73" si="90">I71</f>
        <v>32.095061331620649</v>
      </c>
      <c r="J72">
        <f t="shared" si="90"/>
        <v>0.21019996816101613</v>
      </c>
      <c r="K72">
        <f>I8</f>
        <v>32.398773904638603</v>
      </c>
      <c r="L72">
        <f>I20</f>
        <v>14.365103767458633</v>
      </c>
      <c r="M72">
        <f t="shared" si="82"/>
        <v>-0.30371257301795396</v>
      </c>
      <c r="N72">
        <f t="shared" si="83"/>
        <v>17.729957564162014</v>
      </c>
    </row>
    <row r="73" spans="1:14" x14ac:dyDescent="0.2">
      <c r="A73" t="s">
        <v>104</v>
      </c>
      <c r="B73" t="s">
        <v>129</v>
      </c>
      <c r="C73" t="s">
        <v>32</v>
      </c>
      <c r="D73">
        <v>32.243695154512501</v>
      </c>
      <c r="E73">
        <v>32.243695154512501</v>
      </c>
      <c r="F73" t="s">
        <v>104</v>
      </c>
      <c r="G73" s="1" t="s">
        <v>25</v>
      </c>
      <c r="H73">
        <v>102</v>
      </c>
      <c r="I73">
        <f t="shared" si="90"/>
        <v>32.095061331620649</v>
      </c>
      <c r="J73">
        <f t="shared" ref="J73" si="91">J71</f>
        <v>0.21019996816101613</v>
      </c>
      <c r="K73">
        <f>I8</f>
        <v>32.398773904638603</v>
      </c>
      <c r="L73">
        <f>I20</f>
        <v>14.365103767458633</v>
      </c>
      <c r="M73">
        <f t="shared" si="82"/>
        <v>-0.30371257301795396</v>
      </c>
      <c r="N73">
        <f t="shared" si="83"/>
        <v>17.729957564162014</v>
      </c>
    </row>
    <row r="74" spans="1:14" x14ac:dyDescent="0.2">
      <c r="A74" t="s">
        <v>105</v>
      </c>
      <c r="B74" t="s">
        <v>129</v>
      </c>
      <c r="C74" t="s">
        <v>32</v>
      </c>
      <c r="E74">
        <v>30.9111109813825</v>
      </c>
      <c r="F74" t="s">
        <v>105</v>
      </c>
      <c r="G74" s="4" t="s">
        <v>18</v>
      </c>
      <c r="H74">
        <v>100</v>
      </c>
      <c r="I74">
        <f t="shared" ref="I74" si="92">AVERAGE(D74:D76)</f>
        <v>30.2184928279808</v>
      </c>
      <c r="J74">
        <f>STDEV(D74:D76)</f>
        <v>0.29233937797630355</v>
      </c>
      <c r="K74">
        <f>I2</f>
        <v>30.462243389323167</v>
      </c>
      <c r="L74">
        <f>I14</f>
        <v>15.729346432802368</v>
      </c>
      <c r="M74">
        <f t="shared" si="82"/>
        <v>-0.24375056134236672</v>
      </c>
      <c r="N74">
        <f t="shared" si="83"/>
        <v>14.489146395178432</v>
      </c>
    </row>
    <row r="75" spans="1:14" x14ac:dyDescent="0.2">
      <c r="A75" t="s">
        <v>106</v>
      </c>
      <c r="B75" t="s">
        <v>129</v>
      </c>
      <c r="C75" t="s">
        <v>32</v>
      </c>
      <c r="D75">
        <v>30.425207984555701</v>
      </c>
      <c r="E75">
        <v>30.425207984555701</v>
      </c>
      <c r="F75" t="s">
        <v>106</v>
      </c>
      <c r="G75" s="4" t="s">
        <v>18</v>
      </c>
      <c r="H75">
        <v>100</v>
      </c>
      <c r="I75">
        <f t="shared" ref="I75:J75" si="93">I74</f>
        <v>30.2184928279808</v>
      </c>
      <c r="J75">
        <f t="shared" si="93"/>
        <v>0.29233937797630355</v>
      </c>
      <c r="K75">
        <f>I2</f>
        <v>30.462243389323167</v>
      </c>
      <c r="L75">
        <f>I14</f>
        <v>15.729346432802368</v>
      </c>
      <c r="M75">
        <f t="shared" si="82"/>
        <v>-0.24375056134236672</v>
      </c>
      <c r="N75">
        <f t="shared" si="83"/>
        <v>14.489146395178432</v>
      </c>
    </row>
    <row r="76" spans="1:14" x14ac:dyDescent="0.2">
      <c r="A76" t="s">
        <v>107</v>
      </c>
      <c r="B76" t="s">
        <v>129</v>
      </c>
      <c r="C76" t="s">
        <v>32</v>
      </c>
      <c r="D76">
        <v>30.011777671405898</v>
      </c>
      <c r="E76">
        <v>30.011777671405898</v>
      </c>
      <c r="F76" t="s">
        <v>107</v>
      </c>
      <c r="G76" s="4" t="s">
        <v>18</v>
      </c>
      <c r="H76">
        <v>100</v>
      </c>
      <c r="I76">
        <f t="shared" ref="I76:J76" si="94">I74</f>
        <v>30.2184928279808</v>
      </c>
      <c r="J76">
        <f t="shared" si="94"/>
        <v>0.29233937797630355</v>
      </c>
      <c r="K76">
        <f>I2</f>
        <v>30.462243389323167</v>
      </c>
      <c r="L76">
        <f>I14</f>
        <v>15.729346432802368</v>
      </c>
      <c r="M76">
        <f t="shared" si="82"/>
        <v>-0.24375056134236672</v>
      </c>
      <c r="N76">
        <f t="shared" si="83"/>
        <v>14.489146395178432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30.462243389323167</v>
      </c>
      <c r="L77">
        <f>I14</f>
        <v>15.729346432802368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30.462243389323167</v>
      </c>
      <c r="L78">
        <f>I14</f>
        <v>15.729346432802368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30.462243389323167</v>
      </c>
      <c r="L79">
        <f>I14</f>
        <v>15.729346432802368</v>
      </c>
      <c r="M79" t="e">
        <f t="shared" si="82"/>
        <v>#DIV/0!</v>
      </c>
      <c r="N79" t="e">
        <f t="shared" si="83"/>
        <v>#DIV/0!</v>
      </c>
    </row>
    <row r="80" spans="1:14" x14ac:dyDescent="0.2">
      <c r="A80" t="s">
        <v>111</v>
      </c>
      <c r="B80" t="s">
        <v>129</v>
      </c>
      <c r="C80" t="s">
        <v>32</v>
      </c>
      <c r="D80" t="s">
        <v>33</v>
      </c>
      <c r="E80" t="s">
        <v>33</v>
      </c>
      <c r="F80" t="s">
        <v>111</v>
      </c>
      <c r="G80" s="4" t="s">
        <v>18</v>
      </c>
      <c r="H80">
        <v>102</v>
      </c>
      <c r="I80">
        <f t="shared" ref="I80" si="99">AVERAGE(D80:D82)</f>
        <v>34.502300061010203</v>
      </c>
      <c r="J80" t="e">
        <f t="shared" ref="J80" si="100">STDEV(D80:D82)</f>
        <v>#DIV/0!</v>
      </c>
      <c r="K80">
        <f>I8</f>
        <v>32.398773904638603</v>
      </c>
      <c r="L80">
        <f>I20</f>
        <v>14.365103767458633</v>
      </c>
      <c r="M80">
        <f t="shared" si="82"/>
        <v>2.1035261563716006</v>
      </c>
      <c r="N80">
        <f t="shared" si="83"/>
        <v>20.137196293551568</v>
      </c>
    </row>
    <row r="81" spans="1:14" x14ac:dyDescent="0.2">
      <c r="A81" t="s">
        <v>112</v>
      </c>
      <c r="B81" t="s">
        <v>129</v>
      </c>
      <c r="C81" t="s">
        <v>32</v>
      </c>
      <c r="D81">
        <v>34.502300061010203</v>
      </c>
      <c r="E81">
        <v>34.502300061010203</v>
      </c>
      <c r="F81" t="s">
        <v>112</v>
      </c>
      <c r="G81" s="4" t="s">
        <v>18</v>
      </c>
      <c r="H81">
        <v>102</v>
      </c>
      <c r="I81">
        <f t="shared" ref="I81:J81" si="101">I80</f>
        <v>34.502300061010203</v>
      </c>
      <c r="J81" t="e">
        <f t="shared" si="101"/>
        <v>#DIV/0!</v>
      </c>
      <c r="K81">
        <f>I8</f>
        <v>32.398773904638603</v>
      </c>
      <c r="L81">
        <f>I20</f>
        <v>14.365103767458633</v>
      </c>
      <c r="M81">
        <f t="shared" si="82"/>
        <v>2.1035261563716006</v>
      </c>
      <c r="N81">
        <f t="shared" si="83"/>
        <v>20.137196293551568</v>
      </c>
    </row>
    <row r="82" spans="1:14" x14ac:dyDescent="0.2">
      <c r="A82" t="s">
        <v>113</v>
      </c>
      <c r="B82" t="s">
        <v>129</v>
      </c>
      <c r="C82" t="s">
        <v>32</v>
      </c>
      <c r="D82" t="s">
        <v>33</v>
      </c>
      <c r="E82" t="s">
        <v>33</v>
      </c>
      <c r="F82" t="s">
        <v>113</v>
      </c>
      <c r="G82" s="4" t="s">
        <v>18</v>
      </c>
      <c r="H82">
        <v>102</v>
      </c>
      <c r="I82">
        <f t="shared" ref="I82:J82" si="102">I80</f>
        <v>34.502300061010203</v>
      </c>
      <c r="J82" t="e">
        <f t="shared" si="102"/>
        <v>#DIV/0!</v>
      </c>
      <c r="K82">
        <f>I8</f>
        <v>32.398773904638603</v>
      </c>
      <c r="L82">
        <f>I20</f>
        <v>14.365103767458633</v>
      </c>
      <c r="M82">
        <f t="shared" si="82"/>
        <v>2.1035261563716006</v>
      </c>
      <c r="N82">
        <f t="shared" si="83"/>
        <v>20.137196293551568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32.398773904638603</v>
      </c>
      <c r="L83">
        <f>I20</f>
        <v>14.365103767458633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32.398773904638603</v>
      </c>
      <c r="L84">
        <f>I20</f>
        <v>14.365103767458633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32.398773904638603</v>
      </c>
      <c r="L85">
        <f>I20</f>
        <v>14.365103767458633</v>
      </c>
      <c r="M85" t="e">
        <f t="shared" si="82"/>
        <v>#DIV/0!</v>
      </c>
      <c r="N85" t="e">
        <f t="shared" si="83"/>
        <v>#DIV/0!</v>
      </c>
    </row>
    <row r="86" spans="1:14" ht="17" thickBot="1" x14ac:dyDescent="0.25">
      <c r="A86" t="s">
        <v>117</v>
      </c>
      <c r="B86" t="s">
        <v>129</v>
      </c>
      <c r="C86" t="s">
        <v>32</v>
      </c>
      <c r="E86">
        <v>33.022045090688998</v>
      </c>
      <c r="F86" t="s">
        <v>117</v>
      </c>
      <c r="G86" s="6" t="s">
        <v>19</v>
      </c>
      <c r="H86">
        <v>100</v>
      </c>
      <c r="I86">
        <f t="shared" ref="I86" si="107">AVERAGE(D86:D88)</f>
        <v>30.223970842406249</v>
      </c>
      <c r="J86">
        <f t="shared" ref="J86" si="108">STDEV(D86:D88)</f>
        <v>0.32275342197820139</v>
      </c>
      <c r="K86">
        <f>I2</f>
        <v>30.462243389323167</v>
      </c>
      <c r="L86">
        <f>I14</f>
        <v>15.729346432802368</v>
      </c>
      <c r="M86">
        <f t="shared" si="82"/>
        <v>-0.23827254691691735</v>
      </c>
      <c r="N86">
        <f t="shared" si="83"/>
        <v>14.494624409603881</v>
      </c>
    </row>
    <row r="87" spans="1:14" ht="17" thickBot="1" x14ac:dyDescent="0.25">
      <c r="A87" t="s">
        <v>118</v>
      </c>
      <c r="B87" t="s">
        <v>129</v>
      </c>
      <c r="C87" t="s">
        <v>32</v>
      </c>
      <c r="D87">
        <v>30.452191975738199</v>
      </c>
      <c r="E87">
        <v>30.452191975738199</v>
      </c>
      <c r="F87" t="s">
        <v>118</v>
      </c>
      <c r="G87" s="6" t="s">
        <v>19</v>
      </c>
      <c r="H87">
        <v>100</v>
      </c>
      <c r="I87">
        <f t="shared" ref="I87:J87" si="109">I86</f>
        <v>30.223970842406249</v>
      </c>
      <c r="J87">
        <f t="shared" si="109"/>
        <v>0.32275342197820139</v>
      </c>
      <c r="K87">
        <f>I2</f>
        <v>30.462243389323167</v>
      </c>
      <c r="L87">
        <f>I14</f>
        <v>15.729346432802368</v>
      </c>
      <c r="M87">
        <f t="shared" si="82"/>
        <v>-0.23827254691691735</v>
      </c>
      <c r="N87">
        <f t="shared" si="83"/>
        <v>14.494624409603881</v>
      </c>
    </row>
    <row r="88" spans="1:14" ht="17" thickBot="1" x14ac:dyDescent="0.25">
      <c r="A88" t="s">
        <v>119</v>
      </c>
      <c r="B88" t="s">
        <v>129</v>
      </c>
      <c r="C88" t="s">
        <v>32</v>
      </c>
      <c r="D88">
        <v>29.9957497090743</v>
      </c>
      <c r="E88">
        <v>29.9957497090743</v>
      </c>
      <c r="F88" t="s">
        <v>119</v>
      </c>
      <c r="G88" s="6" t="s">
        <v>19</v>
      </c>
      <c r="H88">
        <v>100</v>
      </c>
      <c r="I88">
        <f t="shared" ref="I88:J88" si="110">I86</f>
        <v>30.223970842406249</v>
      </c>
      <c r="J88">
        <f t="shared" si="110"/>
        <v>0.32275342197820139</v>
      </c>
      <c r="K88">
        <f>I2</f>
        <v>30.462243389323167</v>
      </c>
      <c r="L88">
        <f>I14</f>
        <v>15.729346432802368</v>
      </c>
      <c r="M88">
        <f t="shared" si="82"/>
        <v>-0.23827254691691735</v>
      </c>
      <c r="N88">
        <f t="shared" si="83"/>
        <v>14.494624409603881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30.462243389323167</v>
      </c>
      <c r="L89">
        <f>I14</f>
        <v>15.729346432802368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30.462243389323167</v>
      </c>
      <c r="L90">
        <f>I14</f>
        <v>15.729346432802368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30.462243389323167</v>
      </c>
      <c r="L91">
        <f>I14</f>
        <v>15.729346432802368</v>
      </c>
      <c r="M91" t="e">
        <f t="shared" si="82"/>
        <v>#DIV/0!</v>
      </c>
      <c r="N91" t="e">
        <f t="shared" si="8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35.259955127581399</v>
      </c>
      <c r="E92">
        <v>35.259955127581399</v>
      </c>
      <c r="F92" t="s">
        <v>123</v>
      </c>
      <c r="G92" s="6" t="s">
        <v>19</v>
      </c>
      <c r="H92">
        <v>102</v>
      </c>
      <c r="I92">
        <f t="shared" ref="I92" si="115">AVERAGE(D92:D94)</f>
        <v>35.361205655653052</v>
      </c>
      <c r="J92">
        <f t="shared" ref="J92" si="116">STDEV(D92:D94)</f>
        <v>0.14318986999636368</v>
      </c>
      <c r="K92">
        <f>I8</f>
        <v>32.398773904638603</v>
      </c>
      <c r="L92">
        <f>I20</f>
        <v>14.365103767458633</v>
      </c>
      <c r="M92">
        <f t="shared" si="82"/>
        <v>2.9624317510144493</v>
      </c>
      <c r="N92">
        <f t="shared" si="83"/>
        <v>20.996101888194417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35.462456183724697</v>
      </c>
      <c r="E93">
        <v>35.462456183724697</v>
      </c>
      <c r="F93" t="s">
        <v>124</v>
      </c>
      <c r="G93" s="6" t="s">
        <v>19</v>
      </c>
      <c r="H93">
        <v>102</v>
      </c>
      <c r="I93">
        <f t="shared" ref="I93:J93" si="117">I92</f>
        <v>35.361205655653052</v>
      </c>
      <c r="J93">
        <f t="shared" si="117"/>
        <v>0.14318986999636368</v>
      </c>
      <c r="K93">
        <f>I8</f>
        <v>32.398773904638603</v>
      </c>
      <c r="L93">
        <f>I20</f>
        <v>14.365103767458633</v>
      </c>
      <c r="M93">
        <f t="shared" si="82"/>
        <v>2.9624317510144493</v>
      </c>
      <c r="N93">
        <f t="shared" si="83"/>
        <v>20.996101888194417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39.495344127118997</v>
      </c>
      <c r="F94" t="s">
        <v>125</v>
      </c>
      <c r="G94" s="6" t="s">
        <v>19</v>
      </c>
      <c r="H94">
        <v>102</v>
      </c>
      <c r="I94">
        <f t="shared" ref="I94:J94" si="118">I92</f>
        <v>35.361205655653052</v>
      </c>
      <c r="J94">
        <f t="shared" si="118"/>
        <v>0.14318986999636368</v>
      </c>
      <c r="K94">
        <f>I8</f>
        <v>32.398773904638603</v>
      </c>
      <c r="L94">
        <f>I20</f>
        <v>14.365103767458633</v>
      </c>
      <c r="M94">
        <f t="shared" si="82"/>
        <v>2.9624317510144493</v>
      </c>
      <c r="N94">
        <f t="shared" si="83"/>
        <v>20.996101888194417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32.398773904638603</v>
      </c>
      <c r="L95">
        <f>I20</f>
        <v>14.365103767458633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32.398773904638603</v>
      </c>
      <c r="L96">
        <f>I20</f>
        <v>14.365103767458633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32.398773904638603</v>
      </c>
      <c r="L97">
        <f>I20</f>
        <v>14.365103767458633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22" priority="1" operator="greaterThan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E6C8-8391-8F4E-8DA5-2FED4EA9E09D}">
  <dimension ref="A1:M11"/>
  <sheetViews>
    <sheetView workbookViewId="0">
      <selection activeCell="A3" sqref="A3:M11"/>
    </sheetView>
  </sheetViews>
  <sheetFormatPr baseColWidth="10" defaultRowHeight="16" x14ac:dyDescent="0.2"/>
  <sheetData>
    <row r="1" spans="1:13" x14ac:dyDescent="0.2">
      <c r="B1" s="23" t="s">
        <v>10</v>
      </c>
      <c r="C1" s="23"/>
      <c r="D1" s="23"/>
      <c r="E1" s="23"/>
      <c r="F1" s="23"/>
      <c r="G1" s="23"/>
      <c r="H1" s="23" t="s">
        <v>11</v>
      </c>
      <c r="I1" s="23"/>
      <c r="J1" s="23"/>
      <c r="K1" s="23"/>
      <c r="L1" s="23"/>
      <c r="M1" s="23"/>
    </row>
    <row r="2" spans="1:13" x14ac:dyDescent="0.2">
      <c r="B2" s="23" t="s">
        <v>12</v>
      </c>
      <c r="C2" s="23"/>
      <c r="D2" s="23"/>
      <c r="E2" s="23" t="s">
        <v>12</v>
      </c>
      <c r="F2" s="23"/>
      <c r="G2" s="23"/>
      <c r="H2" s="23" t="s">
        <v>13</v>
      </c>
      <c r="I2" s="23"/>
      <c r="J2" s="23"/>
      <c r="K2" s="23" t="s">
        <v>13</v>
      </c>
      <c r="L2" s="23"/>
      <c r="M2" s="23"/>
    </row>
    <row r="3" spans="1:13" ht="17" thickBot="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 x14ac:dyDescent="0.2">
      <c r="A4" t="s">
        <v>0</v>
      </c>
      <c r="B4" s="9" t="s">
        <v>9</v>
      </c>
      <c r="C4" s="10"/>
      <c r="D4" s="10"/>
      <c r="E4" s="2" t="s">
        <v>20</v>
      </c>
      <c r="F4" s="2"/>
      <c r="G4" s="2"/>
      <c r="H4" s="9" t="s">
        <v>9</v>
      </c>
      <c r="I4" s="10"/>
      <c r="J4" s="10"/>
      <c r="K4" s="2" t="s">
        <v>20</v>
      </c>
      <c r="L4" s="13"/>
      <c r="M4" s="3"/>
    </row>
    <row r="5" spans="1:13" x14ac:dyDescent="0.2">
      <c r="A5" t="s">
        <v>1</v>
      </c>
      <c r="B5" s="11" t="s">
        <v>8</v>
      </c>
      <c r="C5" s="12"/>
      <c r="D5" s="12"/>
      <c r="E5" s="1" t="s">
        <v>21</v>
      </c>
      <c r="F5" s="1"/>
      <c r="G5" s="1"/>
      <c r="H5" s="11" t="s">
        <v>8</v>
      </c>
      <c r="I5" s="12"/>
      <c r="J5" s="12"/>
      <c r="K5" s="1" t="s">
        <v>21</v>
      </c>
      <c r="L5" s="14"/>
      <c r="M5" s="5"/>
    </row>
    <row r="6" spans="1:13" x14ac:dyDescent="0.2">
      <c r="A6" t="s">
        <v>2</v>
      </c>
      <c r="B6" s="4" t="s">
        <v>14</v>
      </c>
      <c r="C6" s="1"/>
      <c r="D6" s="1"/>
      <c r="E6" s="1" t="s">
        <v>23</v>
      </c>
      <c r="F6" s="1"/>
      <c r="G6" s="1"/>
      <c r="H6" s="1"/>
      <c r="I6" s="1"/>
      <c r="J6" s="1"/>
      <c r="K6" s="1" t="s">
        <v>23</v>
      </c>
      <c r="L6" s="14"/>
      <c r="M6" s="5"/>
    </row>
    <row r="7" spans="1:13" x14ac:dyDescent="0.2">
      <c r="A7" t="s">
        <v>3</v>
      </c>
      <c r="B7" s="4" t="s">
        <v>15</v>
      </c>
      <c r="C7" s="1"/>
      <c r="D7" s="1"/>
      <c r="E7" s="1" t="s">
        <v>22</v>
      </c>
      <c r="F7" s="1"/>
      <c r="G7" s="1"/>
      <c r="H7" s="1"/>
      <c r="I7" s="1"/>
      <c r="J7" s="1"/>
      <c r="K7" s="1" t="s">
        <v>22</v>
      </c>
      <c r="L7" s="14"/>
      <c r="M7" s="5"/>
    </row>
    <row r="8" spans="1:13" x14ac:dyDescent="0.2">
      <c r="A8" t="s">
        <v>4</v>
      </c>
      <c r="B8" s="4" t="s">
        <v>16</v>
      </c>
      <c r="C8" s="1"/>
      <c r="D8" s="1"/>
      <c r="E8" s="1" t="s">
        <v>24</v>
      </c>
      <c r="F8" s="1"/>
      <c r="G8" s="1"/>
      <c r="H8" s="1"/>
      <c r="I8" s="1"/>
      <c r="J8" s="1"/>
      <c r="K8" s="1" t="s">
        <v>24</v>
      </c>
      <c r="L8" s="14"/>
      <c r="M8" s="5"/>
    </row>
    <row r="9" spans="1:13" x14ac:dyDescent="0.2">
      <c r="A9" t="s">
        <v>5</v>
      </c>
      <c r="B9" s="4" t="s">
        <v>17</v>
      </c>
      <c r="C9" s="1"/>
      <c r="D9" s="1"/>
      <c r="E9" s="1" t="s">
        <v>25</v>
      </c>
      <c r="F9" s="1"/>
      <c r="G9" s="1"/>
      <c r="H9" s="1"/>
      <c r="I9" s="1"/>
      <c r="J9" s="1"/>
      <c r="K9" s="1" t="s">
        <v>25</v>
      </c>
      <c r="L9" s="14"/>
      <c r="M9" s="5"/>
    </row>
    <row r="10" spans="1:13" x14ac:dyDescent="0.2">
      <c r="A10" t="s">
        <v>6</v>
      </c>
      <c r="B10" s="4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4"/>
      <c r="M10" s="5"/>
    </row>
    <row r="11" spans="1:13" ht="17" thickBot="1" x14ac:dyDescent="0.25">
      <c r="A11" t="s">
        <v>7</v>
      </c>
      <c r="B11" s="6" t="s">
        <v>19</v>
      </c>
      <c r="C11" s="7"/>
      <c r="D11" s="7"/>
      <c r="E11" s="7"/>
      <c r="F11" s="7"/>
      <c r="G11" s="7"/>
      <c r="H11" s="7"/>
      <c r="I11" s="7"/>
      <c r="J11" s="7"/>
      <c r="K11" s="7"/>
      <c r="L11" s="15"/>
      <c r="M11" s="8"/>
    </row>
  </sheetData>
  <mergeCells count="6">
    <mergeCell ref="B1:G1"/>
    <mergeCell ref="H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2769-EB21-DB4A-A793-2458A01CE6C4}">
  <dimension ref="A1:G97"/>
  <sheetViews>
    <sheetView workbookViewId="0">
      <selection sqref="A1:C1048576"/>
    </sheetView>
  </sheetViews>
  <sheetFormatPr baseColWidth="10" defaultRowHeight="16" x14ac:dyDescent="0.2"/>
  <sheetData>
    <row r="1" spans="1:7" ht="17" thickBot="1" x14ac:dyDescent="0.25">
      <c r="A1" t="s">
        <v>26</v>
      </c>
      <c r="B1" t="s">
        <v>132</v>
      </c>
      <c r="C1" t="s">
        <v>29</v>
      </c>
      <c r="D1" t="s">
        <v>26</v>
      </c>
      <c r="E1" t="s">
        <v>27</v>
      </c>
      <c r="F1" t="s">
        <v>28</v>
      </c>
      <c r="G1" t="s">
        <v>30</v>
      </c>
    </row>
    <row r="2" spans="1:7" ht="17" thickBot="1" x14ac:dyDescent="0.25">
      <c r="A2" t="s">
        <v>31</v>
      </c>
      <c r="B2" s="9" t="s">
        <v>9</v>
      </c>
      <c r="C2">
        <v>100</v>
      </c>
      <c r="D2" t="s">
        <v>31</v>
      </c>
      <c r="E2" t="s">
        <v>129</v>
      </c>
      <c r="F2" t="s">
        <v>32</v>
      </c>
      <c r="G2">
        <v>30.4835527722393</v>
      </c>
    </row>
    <row r="3" spans="1:7" ht="17" thickBot="1" x14ac:dyDescent="0.25">
      <c r="A3" t="s">
        <v>34</v>
      </c>
      <c r="B3" s="9" t="s">
        <v>9</v>
      </c>
      <c r="C3">
        <v>100</v>
      </c>
      <c r="D3" t="s">
        <v>34</v>
      </c>
      <c r="E3" t="s">
        <v>129</v>
      </c>
      <c r="F3" t="s">
        <v>32</v>
      </c>
      <c r="G3">
        <v>30.611413346221799</v>
      </c>
    </row>
    <row r="4" spans="1:7" ht="17" thickBot="1" x14ac:dyDescent="0.25">
      <c r="A4" t="s">
        <v>35</v>
      </c>
      <c r="B4" s="9" t="s">
        <v>9</v>
      </c>
      <c r="C4">
        <v>100</v>
      </c>
      <c r="D4" t="s">
        <v>35</v>
      </c>
      <c r="E4" t="s">
        <v>129</v>
      </c>
      <c r="F4" t="s">
        <v>32</v>
      </c>
      <c r="G4">
        <v>30.291764049508402</v>
      </c>
    </row>
    <row r="5" spans="1:7" ht="17" thickBot="1" x14ac:dyDescent="0.25">
      <c r="A5" t="s">
        <v>36</v>
      </c>
      <c r="B5" s="2" t="s">
        <v>20</v>
      </c>
      <c r="C5">
        <v>100</v>
      </c>
      <c r="D5" t="s">
        <v>36</v>
      </c>
      <c r="E5" t="s">
        <v>129</v>
      </c>
      <c r="F5" t="s">
        <v>32</v>
      </c>
      <c r="G5">
        <v>29.480042142253701</v>
      </c>
    </row>
    <row r="6" spans="1:7" ht="17" thickBot="1" x14ac:dyDescent="0.25">
      <c r="A6" t="s">
        <v>37</v>
      </c>
      <c r="B6" s="2" t="s">
        <v>20</v>
      </c>
      <c r="C6">
        <v>100</v>
      </c>
      <c r="D6" t="s">
        <v>37</v>
      </c>
      <c r="E6" t="s">
        <v>129</v>
      </c>
      <c r="F6" t="s">
        <v>32</v>
      </c>
      <c r="G6">
        <v>30.019763167956999</v>
      </c>
    </row>
    <row r="7" spans="1:7" ht="17" thickBot="1" x14ac:dyDescent="0.25">
      <c r="A7" t="s">
        <v>38</v>
      </c>
      <c r="B7" s="2" t="s">
        <v>20</v>
      </c>
      <c r="C7">
        <v>100</v>
      </c>
      <c r="D7" t="s">
        <v>38</v>
      </c>
      <c r="E7" t="s">
        <v>129</v>
      </c>
      <c r="F7" t="s">
        <v>32</v>
      </c>
      <c r="G7">
        <v>29.8213146814842</v>
      </c>
    </row>
    <row r="8" spans="1:7" ht="17" thickBot="1" x14ac:dyDescent="0.25">
      <c r="A8" t="s">
        <v>39</v>
      </c>
      <c r="B8" s="9" t="s">
        <v>9</v>
      </c>
      <c r="C8">
        <v>102</v>
      </c>
      <c r="D8" t="s">
        <v>39</v>
      </c>
      <c r="E8" t="s">
        <v>129</v>
      </c>
      <c r="F8" t="s">
        <v>32</v>
      </c>
      <c r="G8">
        <v>32.325361546378602</v>
      </c>
    </row>
    <row r="9" spans="1:7" ht="17" thickBot="1" x14ac:dyDescent="0.25">
      <c r="A9" t="s">
        <v>40</v>
      </c>
      <c r="B9" s="9" t="s">
        <v>9</v>
      </c>
      <c r="C9">
        <v>102</v>
      </c>
      <c r="D9" t="s">
        <v>40</v>
      </c>
      <c r="E9" t="s">
        <v>129</v>
      </c>
      <c r="F9" t="s">
        <v>32</v>
      </c>
      <c r="G9">
        <v>33.137022313529997</v>
      </c>
    </row>
    <row r="10" spans="1:7" ht="17" thickBot="1" x14ac:dyDescent="0.25">
      <c r="A10" t="s">
        <v>41</v>
      </c>
      <c r="B10" s="9" t="s">
        <v>9</v>
      </c>
      <c r="C10">
        <v>102</v>
      </c>
      <c r="D10" t="s">
        <v>41</v>
      </c>
      <c r="E10" t="s">
        <v>129</v>
      </c>
      <c r="F10" t="s">
        <v>32</v>
      </c>
      <c r="G10">
        <v>32.472186262898603</v>
      </c>
    </row>
    <row r="11" spans="1:7" ht="17" thickBot="1" x14ac:dyDescent="0.25">
      <c r="A11" t="s">
        <v>42</v>
      </c>
      <c r="B11" s="2" t="s">
        <v>20</v>
      </c>
      <c r="C11">
        <v>102</v>
      </c>
      <c r="D11" t="s">
        <v>42</v>
      </c>
      <c r="E11" t="s">
        <v>129</v>
      </c>
      <c r="F11" t="s">
        <v>32</v>
      </c>
      <c r="G11">
        <v>32.221963906459401</v>
      </c>
    </row>
    <row r="12" spans="1:7" ht="17" thickBot="1" x14ac:dyDescent="0.25">
      <c r="A12" t="s">
        <v>43</v>
      </c>
      <c r="B12" s="2" t="s">
        <v>20</v>
      </c>
      <c r="C12">
        <v>102</v>
      </c>
      <c r="D12" t="s">
        <v>43</v>
      </c>
      <c r="E12" t="s">
        <v>129</v>
      </c>
      <c r="F12" t="s">
        <v>32</v>
      </c>
      <c r="G12">
        <v>33.196513376527697</v>
      </c>
    </row>
    <row r="13" spans="1:7" x14ac:dyDescent="0.2">
      <c r="A13" t="s">
        <v>44</v>
      </c>
      <c r="B13" s="2" t="s">
        <v>20</v>
      </c>
      <c r="C13">
        <v>102</v>
      </c>
      <c r="D13" t="s">
        <v>44</v>
      </c>
      <c r="E13" t="s">
        <v>129</v>
      </c>
      <c r="F13" t="s">
        <v>32</v>
      </c>
      <c r="G13">
        <v>32.719829763889997</v>
      </c>
    </row>
    <row r="14" spans="1:7" x14ac:dyDescent="0.2">
      <c r="A14" t="s">
        <v>45</v>
      </c>
      <c r="B14" s="11" t="s">
        <v>8</v>
      </c>
      <c r="C14">
        <v>100</v>
      </c>
      <c r="D14" t="s">
        <v>45</v>
      </c>
      <c r="E14" t="s">
        <v>129</v>
      </c>
      <c r="F14" t="s">
        <v>32</v>
      </c>
      <c r="G14">
        <v>16.034193082877302</v>
      </c>
    </row>
    <row r="15" spans="1:7" x14ac:dyDescent="0.2">
      <c r="A15" t="s">
        <v>46</v>
      </c>
      <c r="B15" s="11" t="s">
        <v>8</v>
      </c>
      <c r="C15">
        <v>100</v>
      </c>
      <c r="D15" t="s">
        <v>46</v>
      </c>
      <c r="E15" t="s">
        <v>129</v>
      </c>
      <c r="F15" t="s">
        <v>32</v>
      </c>
      <c r="G15">
        <v>15.574778257617201</v>
      </c>
    </row>
    <row r="16" spans="1:7" x14ac:dyDescent="0.2">
      <c r="A16" t="s">
        <v>47</v>
      </c>
      <c r="B16" s="11" t="s">
        <v>8</v>
      </c>
      <c r="C16">
        <v>100</v>
      </c>
      <c r="D16" t="s">
        <v>47</v>
      </c>
      <c r="E16" t="s">
        <v>129</v>
      </c>
      <c r="F16" t="s">
        <v>32</v>
      </c>
      <c r="G16">
        <v>15.579067957912599</v>
      </c>
    </row>
    <row r="17" spans="1:7" x14ac:dyDescent="0.2">
      <c r="A17" t="s">
        <v>48</v>
      </c>
      <c r="B17" s="1" t="s">
        <v>21</v>
      </c>
      <c r="C17">
        <v>100</v>
      </c>
      <c r="D17" t="s">
        <v>48</v>
      </c>
      <c r="E17" t="s">
        <v>129</v>
      </c>
      <c r="F17" t="s">
        <v>32</v>
      </c>
      <c r="G17">
        <v>30.466851568102399</v>
      </c>
    </row>
    <row r="18" spans="1:7" x14ac:dyDescent="0.2">
      <c r="A18" t="s">
        <v>49</v>
      </c>
      <c r="B18" s="1" t="s">
        <v>21</v>
      </c>
      <c r="C18">
        <v>100</v>
      </c>
      <c r="D18" t="s">
        <v>49</v>
      </c>
      <c r="E18" t="s">
        <v>129</v>
      </c>
      <c r="F18" t="s">
        <v>32</v>
      </c>
      <c r="G18">
        <v>31.209665466299001</v>
      </c>
    </row>
    <row r="19" spans="1:7" x14ac:dyDescent="0.2">
      <c r="A19" t="s">
        <v>50</v>
      </c>
      <c r="B19" s="1" t="s">
        <v>21</v>
      </c>
      <c r="C19">
        <v>100</v>
      </c>
      <c r="D19" t="s">
        <v>50</v>
      </c>
      <c r="E19" t="s">
        <v>129</v>
      </c>
      <c r="F19" t="s">
        <v>32</v>
      </c>
      <c r="G19">
        <v>30.1832549687403</v>
      </c>
    </row>
    <row r="20" spans="1:7" x14ac:dyDescent="0.2">
      <c r="A20" t="s">
        <v>51</v>
      </c>
      <c r="B20" s="11" t="s">
        <v>8</v>
      </c>
      <c r="C20">
        <v>102</v>
      </c>
      <c r="D20" t="s">
        <v>51</v>
      </c>
      <c r="E20" t="s">
        <v>129</v>
      </c>
      <c r="F20" t="s">
        <v>32</v>
      </c>
      <c r="G20">
        <v>14.391263112880001</v>
      </c>
    </row>
    <row r="21" spans="1:7" x14ac:dyDescent="0.2">
      <c r="A21" t="s">
        <v>52</v>
      </c>
      <c r="B21" s="11" t="s">
        <v>8</v>
      </c>
      <c r="C21">
        <v>102</v>
      </c>
      <c r="D21" t="s">
        <v>52</v>
      </c>
      <c r="E21" t="s">
        <v>129</v>
      </c>
      <c r="F21" t="s">
        <v>32</v>
      </c>
      <c r="G21">
        <v>14.353824984291</v>
      </c>
    </row>
    <row r="22" spans="1:7" x14ac:dyDescent="0.2">
      <c r="A22" t="s">
        <v>53</v>
      </c>
      <c r="B22" s="11" t="s">
        <v>8</v>
      </c>
      <c r="C22">
        <v>102</v>
      </c>
      <c r="D22" t="s">
        <v>53</v>
      </c>
      <c r="E22" t="s">
        <v>129</v>
      </c>
      <c r="F22" t="s">
        <v>32</v>
      </c>
      <c r="G22">
        <v>14.3502232052049</v>
      </c>
    </row>
    <row r="23" spans="1:7" x14ac:dyDescent="0.2">
      <c r="A23" t="s">
        <v>54</v>
      </c>
      <c r="B23" s="1" t="s">
        <v>21</v>
      </c>
      <c r="C23">
        <v>102</v>
      </c>
      <c r="D23" t="s">
        <v>54</v>
      </c>
      <c r="E23" t="s">
        <v>129</v>
      </c>
      <c r="F23" t="s">
        <v>32</v>
      </c>
      <c r="G23">
        <v>37.526250232186896</v>
      </c>
    </row>
    <row r="24" spans="1:7" x14ac:dyDescent="0.2">
      <c r="A24" t="s">
        <v>55</v>
      </c>
      <c r="B24" s="1" t="s">
        <v>21</v>
      </c>
      <c r="C24">
        <v>102</v>
      </c>
      <c r="D24" t="s">
        <v>55</v>
      </c>
      <c r="E24" t="s">
        <v>129</v>
      </c>
      <c r="F24" t="s">
        <v>32</v>
      </c>
      <c r="G24" t="s">
        <v>33</v>
      </c>
    </row>
    <row r="25" spans="1:7" x14ac:dyDescent="0.2">
      <c r="A25" t="s">
        <v>56</v>
      </c>
      <c r="B25" s="1" t="s">
        <v>21</v>
      </c>
      <c r="C25">
        <v>102</v>
      </c>
      <c r="D25" t="s">
        <v>56</v>
      </c>
      <c r="E25" t="s">
        <v>129</v>
      </c>
      <c r="F25" t="s">
        <v>32</v>
      </c>
      <c r="G25">
        <v>36.052381603654602</v>
      </c>
    </row>
    <row r="26" spans="1:7" x14ac:dyDescent="0.2">
      <c r="A26" t="s">
        <v>57</v>
      </c>
      <c r="B26" s="4" t="s">
        <v>14</v>
      </c>
      <c r="C26">
        <v>100</v>
      </c>
      <c r="D26" t="s">
        <v>57</v>
      </c>
      <c r="E26" t="s">
        <v>129</v>
      </c>
      <c r="F26" t="s">
        <v>32</v>
      </c>
      <c r="G26">
        <v>30.604144195298399</v>
      </c>
    </row>
    <row r="27" spans="1:7" x14ac:dyDescent="0.2">
      <c r="A27" t="s">
        <v>58</v>
      </c>
      <c r="B27" s="4" t="s">
        <v>14</v>
      </c>
      <c r="C27">
        <v>100</v>
      </c>
      <c r="D27" t="s">
        <v>58</v>
      </c>
      <c r="E27" t="s">
        <v>129</v>
      </c>
      <c r="F27" t="s">
        <v>32</v>
      </c>
      <c r="G27">
        <v>29.767644399323199</v>
      </c>
    </row>
    <row r="28" spans="1:7" x14ac:dyDescent="0.2">
      <c r="A28" t="s">
        <v>59</v>
      </c>
      <c r="B28" s="4" t="s">
        <v>14</v>
      </c>
      <c r="C28">
        <v>100</v>
      </c>
      <c r="D28" t="s">
        <v>59</v>
      </c>
      <c r="E28" t="s">
        <v>129</v>
      </c>
      <c r="F28" t="s">
        <v>32</v>
      </c>
      <c r="G28">
        <v>29.781810095381498</v>
      </c>
    </row>
    <row r="29" spans="1:7" x14ac:dyDescent="0.2">
      <c r="A29" t="s">
        <v>60</v>
      </c>
      <c r="B29" s="1" t="s">
        <v>23</v>
      </c>
      <c r="C29">
        <v>100</v>
      </c>
      <c r="D29" t="s">
        <v>60</v>
      </c>
      <c r="E29" t="s">
        <v>129</v>
      </c>
      <c r="F29" t="s">
        <v>32</v>
      </c>
      <c r="G29">
        <v>32.652024859618798</v>
      </c>
    </row>
    <row r="30" spans="1:7" x14ac:dyDescent="0.2">
      <c r="A30" t="s">
        <v>61</v>
      </c>
      <c r="B30" s="1" t="s">
        <v>23</v>
      </c>
      <c r="C30">
        <v>100</v>
      </c>
      <c r="D30" t="s">
        <v>61</v>
      </c>
      <c r="E30" t="s">
        <v>129</v>
      </c>
      <c r="F30" t="s">
        <v>32</v>
      </c>
      <c r="G30">
        <v>33.008092293521997</v>
      </c>
    </row>
    <row r="31" spans="1:7" x14ac:dyDescent="0.2">
      <c r="A31" t="s">
        <v>62</v>
      </c>
      <c r="B31" s="1" t="s">
        <v>23</v>
      </c>
      <c r="C31">
        <v>100</v>
      </c>
      <c r="D31" t="s">
        <v>62</v>
      </c>
      <c r="E31" t="s">
        <v>129</v>
      </c>
      <c r="F31" t="s">
        <v>32</v>
      </c>
      <c r="G31">
        <v>32.249245033532098</v>
      </c>
    </row>
    <row r="32" spans="1:7" x14ac:dyDescent="0.2">
      <c r="A32" t="s">
        <v>63</v>
      </c>
      <c r="B32" s="4" t="s">
        <v>14</v>
      </c>
      <c r="C32">
        <v>102</v>
      </c>
      <c r="D32" t="s">
        <v>63</v>
      </c>
      <c r="E32" t="s">
        <v>129</v>
      </c>
      <c r="F32" t="s">
        <v>32</v>
      </c>
      <c r="G32">
        <v>33.03038680345</v>
      </c>
    </row>
    <row r="33" spans="1:7" x14ac:dyDescent="0.2">
      <c r="A33" t="s">
        <v>64</v>
      </c>
      <c r="B33" s="4" t="s">
        <v>14</v>
      </c>
      <c r="C33">
        <v>102</v>
      </c>
      <c r="D33" t="s">
        <v>64</v>
      </c>
      <c r="E33" t="s">
        <v>129</v>
      </c>
      <c r="F33" t="s">
        <v>32</v>
      </c>
      <c r="G33">
        <v>37.155557474755902</v>
      </c>
    </row>
    <row r="34" spans="1:7" x14ac:dyDescent="0.2">
      <c r="A34" t="s">
        <v>65</v>
      </c>
      <c r="B34" s="4" t="s">
        <v>14</v>
      </c>
      <c r="C34">
        <v>102</v>
      </c>
      <c r="D34" t="s">
        <v>65</v>
      </c>
      <c r="E34" t="s">
        <v>129</v>
      </c>
      <c r="F34" t="s">
        <v>32</v>
      </c>
      <c r="G34">
        <v>31.120241276253999</v>
      </c>
    </row>
    <row r="35" spans="1:7" x14ac:dyDescent="0.2">
      <c r="A35" t="s">
        <v>66</v>
      </c>
      <c r="B35" s="1" t="s">
        <v>23</v>
      </c>
      <c r="C35">
        <v>102</v>
      </c>
      <c r="D35" t="s">
        <v>66</v>
      </c>
      <c r="E35" t="s">
        <v>129</v>
      </c>
      <c r="F35" t="s">
        <v>32</v>
      </c>
      <c r="G35">
        <v>33.803253635768002</v>
      </c>
    </row>
    <row r="36" spans="1:7" x14ac:dyDescent="0.2">
      <c r="A36" t="s">
        <v>67</v>
      </c>
      <c r="B36" s="1" t="s">
        <v>23</v>
      </c>
      <c r="C36">
        <v>102</v>
      </c>
      <c r="D36" t="s">
        <v>67</v>
      </c>
      <c r="E36" t="s">
        <v>129</v>
      </c>
      <c r="F36" t="s">
        <v>32</v>
      </c>
      <c r="G36">
        <v>33.2147498789043</v>
      </c>
    </row>
    <row r="37" spans="1:7" x14ac:dyDescent="0.2">
      <c r="A37" t="s">
        <v>68</v>
      </c>
      <c r="B37" s="1" t="s">
        <v>23</v>
      </c>
      <c r="C37">
        <v>102</v>
      </c>
      <c r="D37" t="s">
        <v>68</v>
      </c>
      <c r="E37" t="s">
        <v>129</v>
      </c>
      <c r="F37" t="s">
        <v>32</v>
      </c>
      <c r="G37">
        <v>33.555385077401503</v>
      </c>
    </row>
    <row r="38" spans="1:7" x14ac:dyDescent="0.2">
      <c r="A38" t="s">
        <v>69</v>
      </c>
      <c r="B38" s="4" t="s">
        <v>15</v>
      </c>
      <c r="C38">
        <v>100</v>
      </c>
      <c r="D38" t="s">
        <v>69</v>
      </c>
      <c r="E38" t="s">
        <v>129</v>
      </c>
      <c r="F38" t="s">
        <v>32</v>
      </c>
      <c r="G38">
        <v>29.887975303385598</v>
      </c>
    </row>
    <row r="39" spans="1:7" x14ac:dyDescent="0.2">
      <c r="A39" t="s">
        <v>70</v>
      </c>
      <c r="B39" s="4" t="s">
        <v>15</v>
      </c>
      <c r="C39">
        <v>100</v>
      </c>
      <c r="D39" t="s">
        <v>70</v>
      </c>
      <c r="E39" t="s">
        <v>129</v>
      </c>
      <c r="F39" t="s">
        <v>32</v>
      </c>
      <c r="G39">
        <v>30.1752977066913</v>
      </c>
    </row>
    <row r="40" spans="1:7" x14ac:dyDescent="0.2">
      <c r="A40" t="s">
        <v>71</v>
      </c>
      <c r="B40" s="4" t="s">
        <v>15</v>
      </c>
      <c r="C40">
        <v>100</v>
      </c>
      <c r="D40" t="s">
        <v>71</v>
      </c>
      <c r="E40" t="s">
        <v>129</v>
      </c>
      <c r="F40" t="s">
        <v>32</v>
      </c>
      <c r="G40">
        <v>29.2966803616867</v>
      </c>
    </row>
    <row r="41" spans="1:7" x14ac:dyDescent="0.2">
      <c r="A41" t="s">
        <v>72</v>
      </c>
      <c r="B41" s="1" t="s">
        <v>22</v>
      </c>
      <c r="C41">
        <v>100</v>
      </c>
      <c r="D41" t="s">
        <v>72</v>
      </c>
      <c r="E41" t="s">
        <v>129</v>
      </c>
      <c r="F41" t="s">
        <v>32</v>
      </c>
      <c r="G41">
        <v>30.144605575673101</v>
      </c>
    </row>
    <row r="42" spans="1:7" x14ac:dyDescent="0.2">
      <c r="A42" t="s">
        <v>73</v>
      </c>
      <c r="B42" s="1" t="s">
        <v>22</v>
      </c>
      <c r="C42">
        <v>100</v>
      </c>
      <c r="D42" t="s">
        <v>73</v>
      </c>
      <c r="E42" t="s">
        <v>129</v>
      </c>
      <c r="F42" t="s">
        <v>32</v>
      </c>
      <c r="G42">
        <v>31.113791932077199</v>
      </c>
    </row>
    <row r="43" spans="1:7" x14ac:dyDescent="0.2">
      <c r="A43" t="s">
        <v>74</v>
      </c>
      <c r="B43" s="1" t="s">
        <v>22</v>
      </c>
      <c r="C43">
        <v>100</v>
      </c>
      <c r="D43" t="s">
        <v>74</v>
      </c>
      <c r="E43" t="s">
        <v>129</v>
      </c>
      <c r="F43" t="s">
        <v>32</v>
      </c>
      <c r="G43">
        <v>30.7713622236876</v>
      </c>
    </row>
    <row r="44" spans="1:7" x14ac:dyDescent="0.2">
      <c r="A44" t="s">
        <v>75</v>
      </c>
      <c r="B44" s="4" t="s">
        <v>15</v>
      </c>
      <c r="C44">
        <v>102</v>
      </c>
      <c r="D44" t="s">
        <v>75</v>
      </c>
      <c r="E44" t="s">
        <v>129</v>
      </c>
      <c r="F44" t="s">
        <v>32</v>
      </c>
      <c r="G44">
        <v>34.515805029215898</v>
      </c>
    </row>
    <row r="45" spans="1:7" x14ac:dyDescent="0.2">
      <c r="A45" t="s">
        <v>76</v>
      </c>
      <c r="B45" s="4" t="s">
        <v>15</v>
      </c>
      <c r="C45">
        <v>102</v>
      </c>
      <c r="D45" t="s">
        <v>76</v>
      </c>
      <c r="E45" t="s">
        <v>129</v>
      </c>
      <c r="F45" t="s">
        <v>32</v>
      </c>
      <c r="G45">
        <v>36.400042183399698</v>
      </c>
    </row>
    <row r="46" spans="1:7" x14ac:dyDescent="0.2">
      <c r="A46" t="s">
        <v>77</v>
      </c>
      <c r="B46" s="4" t="s">
        <v>15</v>
      </c>
      <c r="C46">
        <v>102</v>
      </c>
      <c r="D46" t="s">
        <v>77</v>
      </c>
      <c r="E46" t="s">
        <v>129</v>
      </c>
      <c r="F46" t="s">
        <v>32</v>
      </c>
      <c r="G46">
        <v>34.352929103826298</v>
      </c>
    </row>
    <row r="47" spans="1:7" x14ac:dyDescent="0.2">
      <c r="A47" t="s">
        <v>78</v>
      </c>
      <c r="B47" s="1" t="s">
        <v>22</v>
      </c>
      <c r="C47">
        <v>102</v>
      </c>
      <c r="D47" t="s">
        <v>78</v>
      </c>
      <c r="E47" t="s">
        <v>129</v>
      </c>
      <c r="F47" t="s">
        <v>32</v>
      </c>
      <c r="G47" t="s">
        <v>33</v>
      </c>
    </row>
    <row r="48" spans="1:7" x14ac:dyDescent="0.2">
      <c r="A48" t="s">
        <v>79</v>
      </c>
      <c r="B48" s="1" t="s">
        <v>22</v>
      </c>
      <c r="C48">
        <v>102</v>
      </c>
      <c r="D48" t="s">
        <v>79</v>
      </c>
      <c r="E48" t="s">
        <v>129</v>
      </c>
      <c r="F48" t="s">
        <v>32</v>
      </c>
      <c r="G48">
        <v>39.7813704715334</v>
      </c>
    </row>
    <row r="49" spans="1:7" x14ac:dyDescent="0.2">
      <c r="A49" t="s">
        <v>80</v>
      </c>
      <c r="B49" s="1" t="s">
        <v>22</v>
      </c>
      <c r="C49">
        <v>102</v>
      </c>
      <c r="D49" t="s">
        <v>80</v>
      </c>
      <c r="E49" t="s">
        <v>129</v>
      </c>
      <c r="F49" t="s">
        <v>32</v>
      </c>
      <c r="G49" t="s">
        <v>33</v>
      </c>
    </row>
    <row r="50" spans="1:7" x14ac:dyDescent="0.2">
      <c r="A50" t="s">
        <v>81</v>
      </c>
      <c r="B50" s="4" t="s">
        <v>16</v>
      </c>
      <c r="C50">
        <v>100</v>
      </c>
      <c r="D50" t="s">
        <v>81</v>
      </c>
      <c r="E50" t="s">
        <v>129</v>
      </c>
      <c r="F50" t="s">
        <v>32</v>
      </c>
      <c r="G50">
        <v>29.445398544589001</v>
      </c>
    </row>
    <row r="51" spans="1:7" x14ac:dyDescent="0.2">
      <c r="A51" t="s">
        <v>82</v>
      </c>
      <c r="B51" s="4" t="s">
        <v>16</v>
      </c>
      <c r="C51">
        <v>100</v>
      </c>
      <c r="D51" t="s">
        <v>82</v>
      </c>
      <c r="E51" t="s">
        <v>129</v>
      </c>
      <c r="F51" t="s">
        <v>32</v>
      </c>
      <c r="G51">
        <v>29.064611104309801</v>
      </c>
    </row>
    <row r="52" spans="1:7" x14ac:dyDescent="0.2">
      <c r="A52" t="s">
        <v>83</v>
      </c>
      <c r="B52" s="4" t="s">
        <v>16</v>
      </c>
      <c r="C52">
        <v>100</v>
      </c>
      <c r="D52" t="s">
        <v>83</v>
      </c>
      <c r="E52" t="s">
        <v>129</v>
      </c>
      <c r="F52" t="s">
        <v>32</v>
      </c>
      <c r="G52">
        <v>29.5798549202791</v>
      </c>
    </row>
    <row r="53" spans="1:7" x14ac:dyDescent="0.2">
      <c r="A53" t="s">
        <v>84</v>
      </c>
      <c r="B53" s="1" t="s">
        <v>24</v>
      </c>
      <c r="C53">
        <v>100</v>
      </c>
      <c r="D53" t="s">
        <v>84</v>
      </c>
      <c r="E53" t="s">
        <v>129</v>
      </c>
      <c r="F53" t="s">
        <v>32</v>
      </c>
      <c r="G53">
        <v>29.1738711534957</v>
      </c>
    </row>
    <row r="54" spans="1:7" x14ac:dyDescent="0.2">
      <c r="A54" t="s">
        <v>85</v>
      </c>
      <c r="B54" s="1" t="s">
        <v>24</v>
      </c>
      <c r="C54">
        <v>100</v>
      </c>
      <c r="D54" t="s">
        <v>85</v>
      </c>
      <c r="E54" t="s">
        <v>129</v>
      </c>
      <c r="F54" t="s">
        <v>32</v>
      </c>
      <c r="G54">
        <v>29.797307589131201</v>
      </c>
    </row>
    <row r="55" spans="1:7" x14ac:dyDescent="0.2">
      <c r="A55" t="s">
        <v>86</v>
      </c>
      <c r="B55" s="1" t="s">
        <v>24</v>
      </c>
      <c r="C55">
        <v>100</v>
      </c>
      <c r="D55" t="s">
        <v>86</v>
      </c>
      <c r="E55" t="s">
        <v>129</v>
      </c>
      <c r="F55" t="s">
        <v>32</v>
      </c>
      <c r="G55">
        <v>29.7470710522906</v>
      </c>
    </row>
    <row r="56" spans="1:7" x14ac:dyDescent="0.2">
      <c r="A56" t="s">
        <v>87</v>
      </c>
      <c r="B56" s="4" t="s">
        <v>16</v>
      </c>
      <c r="C56">
        <v>102</v>
      </c>
      <c r="D56" t="s">
        <v>87</v>
      </c>
      <c r="E56" t="s">
        <v>129</v>
      </c>
      <c r="F56" t="s">
        <v>32</v>
      </c>
      <c r="G56">
        <v>32.074960122716298</v>
      </c>
    </row>
    <row r="57" spans="1:7" x14ac:dyDescent="0.2">
      <c r="A57" t="s">
        <v>88</v>
      </c>
      <c r="B57" s="4" t="s">
        <v>16</v>
      </c>
      <c r="C57">
        <v>102</v>
      </c>
      <c r="D57" t="s">
        <v>88</v>
      </c>
      <c r="E57" t="s">
        <v>129</v>
      </c>
      <c r="F57" t="s">
        <v>32</v>
      </c>
      <c r="G57">
        <v>32.385080267347703</v>
      </c>
    </row>
    <row r="58" spans="1:7" x14ac:dyDescent="0.2">
      <c r="A58" t="s">
        <v>89</v>
      </c>
      <c r="B58" s="4" t="s">
        <v>16</v>
      </c>
      <c r="C58">
        <v>102</v>
      </c>
      <c r="D58" t="s">
        <v>89</v>
      </c>
      <c r="E58" t="s">
        <v>129</v>
      </c>
      <c r="F58" t="s">
        <v>32</v>
      </c>
      <c r="G58">
        <v>31.921205513359801</v>
      </c>
    </row>
    <row r="59" spans="1:7" x14ac:dyDescent="0.2">
      <c r="A59" t="s">
        <v>90</v>
      </c>
      <c r="B59" s="1" t="s">
        <v>24</v>
      </c>
      <c r="C59">
        <v>102</v>
      </c>
      <c r="D59" t="s">
        <v>90</v>
      </c>
      <c r="E59" t="s">
        <v>129</v>
      </c>
      <c r="F59" t="s">
        <v>32</v>
      </c>
      <c r="G59">
        <v>36.520763383624598</v>
      </c>
    </row>
    <row r="60" spans="1:7" x14ac:dyDescent="0.2">
      <c r="A60" t="s">
        <v>91</v>
      </c>
      <c r="B60" s="1" t="s">
        <v>24</v>
      </c>
      <c r="C60">
        <v>102</v>
      </c>
      <c r="D60" t="s">
        <v>91</v>
      </c>
      <c r="E60" t="s">
        <v>129</v>
      </c>
      <c r="F60" t="s">
        <v>32</v>
      </c>
      <c r="G60">
        <v>33.124705280346497</v>
      </c>
    </row>
    <row r="61" spans="1:7" x14ac:dyDescent="0.2">
      <c r="A61" t="s">
        <v>92</v>
      </c>
      <c r="B61" s="1" t="s">
        <v>24</v>
      </c>
      <c r="C61">
        <v>102</v>
      </c>
      <c r="D61" t="s">
        <v>92</v>
      </c>
      <c r="E61" t="s">
        <v>129</v>
      </c>
      <c r="F61" t="s">
        <v>32</v>
      </c>
      <c r="G61">
        <v>35.023926574254098</v>
      </c>
    </row>
    <row r="62" spans="1:7" x14ac:dyDescent="0.2">
      <c r="A62" t="s">
        <v>93</v>
      </c>
      <c r="B62" s="4" t="s">
        <v>17</v>
      </c>
      <c r="C62">
        <v>100</v>
      </c>
      <c r="D62" t="s">
        <v>93</v>
      </c>
      <c r="E62" t="s">
        <v>129</v>
      </c>
      <c r="F62" t="s">
        <v>32</v>
      </c>
      <c r="G62">
        <v>30.618450425045001</v>
      </c>
    </row>
    <row r="63" spans="1:7" x14ac:dyDescent="0.2">
      <c r="A63" t="s">
        <v>94</v>
      </c>
      <c r="B63" s="4" t="s">
        <v>17</v>
      </c>
      <c r="C63">
        <v>100</v>
      </c>
      <c r="D63" t="s">
        <v>94</v>
      </c>
      <c r="E63" t="s">
        <v>129</v>
      </c>
      <c r="F63" t="s">
        <v>32</v>
      </c>
      <c r="G63">
        <v>29.925527175052299</v>
      </c>
    </row>
    <row r="64" spans="1:7" x14ac:dyDescent="0.2">
      <c r="A64" t="s">
        <v>95</v>
      </c>
      <c r="B64" s="4" t="s">
        <v>17</v>
      </c>
      <c r="C64">
        <v>100</v>
      </c>
      <c r="D64" t="s">
        <v>95</v>
      </c>
      <c r="E64" t="s">
        <v>129</v>
      </c>
      <c r="F64" t="s">
        <v>32</v>
      </c>
      <c r="G64">
        <v>29.371330355172301</v>
      </c>
    </row>
    <row r="65" spans="1:7" x14ac:dyDescent="0.2">
      <c r="A65" t="s">
        <v>96</v>
      </c>
      <c r="B65" s="1" t="s">
        <v>25</v>
      </c>
      <c r="C65">
        <v>100</v>
      </c>
      <c r="D65" t="s">
        <v>96</v>
      </c>
      <c r="E65" t="s">
        <v>129</v>
      </c>
      <c r="F65" t="s">
        <v>32</v>
      </c>
      <c r="G65">
        <v>30.0564847690809</v>
      </c>
    </row>
    <row r="66" spans="1:7" x14ac:dyDescent="0.2">
      <c r="A66" t="s">
        <v>97</v>
      </c>
      <c r="B66" s="1" t="s">
        <v>25</v>
      </c>
      <c r="C66">
        <v>100</v>
      </c>
      <c r="D66" t="s">
        <v>97</v>
      </c>
      <c r="E66" t="s">
        <v>129</v>
      </c>
      <c r="F66" t="s">
        <v>32</v>
      </c>
      <c r="G66">
        <v>30.151547491306399</v>
      </c>
    </row>
    <row r="67" spans="1:7" x14ac:dyDescent="0.2">
      <c r="A67" t="s">
        <v>98</v>
      </c>
      <c r="B67" s="1" t="s">
        <v>25</v>
      </c>
      <c r="C67">
        <v>100</v>
      </c>
      <c r="D67" t="s">
        <v>98</v>
      </c>
      <c r="E67" t="s">
        <v>129</v>
      </c>
      <c r="F67" t="s">
        <v>32</v>
      </c>
      <c r="G67">
        <v>30.076533570580601</v>
      </c>
    </row>
    <row r="68" spans="1:7" x14ac:dyDescent="0.2">
      <c r="A68" t="s">
        <v>99</v>
      </c>
      <c r="B68" s="4" t="s">
        <v>17</v>
      </c>
      <c r="C68">
        <v>102</v>
      </c>
      <c r="D68" t="s">
        <v>99</v>
      </c>
      <c r="E68" t="s">
        <v>129</v>
      </c>
      <c r="F68" t="s">
        <v>32</v>
      </c>
      <c r="G68">
        <v>31.1894594375864</v>
      </c>
    </row>
    <row r="69" spans="1:7" x14ac:dyDescent="0.2">
      <c r="A69" t="s">
        <v>100</v>
      </c>
      <c r="B69" s="4" t="s">
        <v>17</v>
      </c>
      <c r="C69">
        <v>102</v>
      </c>
      <c r="D69" t="s">
        <v>100</v>
      </c>
      <c r="E69" t="s">
        <v>129</v>
      </c>
      <c r="F69" t="s">
        <v>32</v>
      </c>
      <c r="G69">
        <v>31.276127688044799</v>
      </c>
    </row>
    <row r="70" spans="1:7" x14ac:dyDescent="0.2">
      <c r="A70" t="s">
        <v>101</v>
      </c>
      <c r="B70" s="4" t="s">
        <v>17</v>
      </c>
      <c r="C70">
        <v>102</v>
      </c>
      <c r="D70" t="s">
        <v>101</v>
      </c>
      <c r="E70" t="s">
        <v>129</v>
      </c>
      <c r="F70" t="s">
        <v>32</v>
      </c>
      <c r="G70">
        <v>31.4456881238028</v>
      </c>
    </row>
    <row r="71" spans="1:7" x14ac:dyDescent="0.2">
      <c r="A71" t="s">
        <v>102</v>
      </c>
      <c r="B71" s="1" t="s">
        <v>25</v>
      </c>
      <c r="C71">
        <v>102</v>
      </c>
      <c r="D71" t="s">
        <v>102</v>
      </c>
      <c r="E71" t="s">
        <v>129</v>
      </c>
      <c r="F71" t="s">
        <v>32</v>
      </c>
      <c r="G71">
        <v>31.946427508728799</v>
      </c>
    </row>
    <row r="72" spans="1:7" x14ac:dyDescent="0.2">
      <c r="A72" t="s">
        <v>103</v>
      </c>
      <c r="B72" s="1" t="s">
        <v>25</v>
      </c>
      <c r="C72">
        <v>102</v>
      </c>
      <c r="D72" t="s">
        <v>103</v>
      </c>
      <c r="E72" t="s">
        <v>129</v>
      </c>
      <c r="F72" t="s">
        <v>32</v>
      </c>
      <c r="G72">
        <v>32.929252698106303</v>
      </c>
    </row>
    <row r="73" spans="1:7" x14ac:dyDescent="0.2">
      <c r="A73" t="s">
        <v>104</v>
      </c>
      <c r="B73" s="1" t="s">
        <v>25</v>
      </c>
      <c r="C73">
        <v>102</v>
      </c>
      <c r="D73" t="s">
        <v>104</v>
      </c>
      <c r="E73" t="s">
        <v>129</v>
      </c>
      <c r="F73" t="s">
        <v>32</v>
      </c>
      <c r="G73">
        <v>32.243695154512501</v>
      </c>
    </row>
    <row r="74" spans="1:7" x14ac:dyDescent="0.2">
      <c r="A74" t="s">
        <v>105</v>
      </c>
      <c r="B74" s="4" t="s">
        <v>18</v>
      </c>
      <c r="C74">
        <v>100</v>
      </c>
      <c r="D74" t="s">
        <v>105</v>
      </c>
      <c r="E74" t="s">
        <v>129</v>
      </c>
      <c r="F74" t="s">
        <v>32</v>
      </c>
      <c r="G74">
        <v>30.9111109813825</v>
      </c>
    </row>
    <row r="75" spans="1:7" x14ac:dyDescent="0.2">
      <c r="A75" t="s">
        <v>106</v>
      </c>
      <c r="B75" s="4" t="s">
        <v>18</v>
      </c>
      <c r="C75">
        <v>100</v>
      </c>
      <c r="D75" t="s">
        <v>106</v>
      </c>
      <c r="E75" t="s">
        <v>129</v>
      </c>
      <c r="F75" t="s">
        <v>32</v>
      </c>
      <c r="G75">
        <v>30.425207984555701</v>
      </c>
    </row>
    <row r="76" spans="1:7" x14ac:dyDescent="0.2">
      <c r="A76" t="s">
        <v>107</v>
      </c>
      <c r="B76" s="4" t="s">
        <v>18</v>
      </c>
      <c r="C76">
        <v>100</v>
      </c>
      <c r="D76" t="s">
        <v>107</v>
      </c>
      <c r="E76" t="s">
        <v>129</v>
      </c>
      <c r="F76" t="s">
        <v>32</v>
      </c>
      <c r="G76">
        <v>30.011777671405898</v>
      </c>
    </row>
    <row r="77" spans="1:7" x14ac:dyDescent="0.2">
      <c r="A77" t="s">
        <v>108</v>
      </c>
      <c r="D77" t="s">
        <v>108</v>
      </c>
      <c r="E77" t="s">
        <v>129</v>
      </c>
      <c r="F77" t="s">
        <v>32</v>
      </c>
      <c r="G77" t="s">
        <v>33</v>
      </c>
    </row>
    <row r="78" spans="1:7" x14ac:dyDescent="0.2">
      <c r="A78" t="s">
        <v>109</v>
      </c>
      <c r="D78" t="s">
        <v>109</v>
      </c>
      <c r="E78" t="s">
        <v>129</v>
      </c>
      <c r="F78" t="s">
        <v>32</v>
      </c>
      <c r="G78" t="s">
        <v>33</v>
      </c>
    </row>
    <row r="79" spans="1:7" x14ac:dyDescent="0.2">
      <c r="A79" t="s">
        <v>110</v>
      </c>
      <c r="D79" t="s">
        <v>110</v>
      </c>
      <c r="E79" t="s">
        <v>129</v>
      </c>
      <c r="F79" t="s">
        <v>32</v>
      </c>
      <c r="G79" t="s">
        <v>33</v>
      </c>
    </row>
    <row r="80" spans="1:7" x14ac:dyDescent="0.2">
      <c r="A80" t="s">
        <v>111</v>
      </c>
      <c r="B80" s="4" t="s">
        <v>18</v>
      </c>
      <c r="C80">
        <v>102</v>
      </c>
      <c r="D80" t="s">
        <v>111</v>
      </c>
      <c r="E80" t="s">
        <v>129</v>
      </c>
      <c r="F80" t="s">
        <v>32</v>
      </c>
      <c r="G80" t="s">
        <v>33</v>
      </c>
    </row>
    <row r="81" spans="1:7" x14ac:dyDescent="0.2">
      <c r="A81" t="s">
        <v>112</v>
      </c>
      <c r="B81" s="4" t="s">
        <v>18</v>
      </c>
      <c r="C81">
        <v>102</v>
      </c>
      <c r="D81" t="s">
        <v>112</v>
      </c>
      <c r="E81" t="s">
        <v>129</v>
      </c>
      <c r="F81" t="s">
        <v>32</v>
      </c>
      <c r="G81">
        <v>34.502300061010203</v>
      </c>
    </row>
    <row r="82" spans="1:7" x14ac:dyDescent="0.2">
      <c r="A82" t="s">
        <v>113</v>
      </c>
      <c r="B82" s="4" t="s">
        <v>18</v>
      </c>
      <c r="C82">
        <v>102</v>
      </c>
      <c r="D82" t="s">
        <v>113</v>
      </c>
      <c r="E82" t="s">
        <v>129</v>
      </c>
      <c r="F82" t="s">
        <v>32</v>
      </c>
      <c r="G82" t="s">
        <v>33</v>
      </c>
    </row>
    <row r="83" spans="1:7" x14ac:dyDescent="0.2">
      <c r="A83" t="s">
        <v>114</v>
      </c>
      <c r="D83" t="s">
        <v>114</v>
      </c>
      <c r="E83" t="s">
        <v>129</v>
      </c>
      <c r="F83" t="s">
        <v>32</v>
      </c>
      <c r="G83" t="s">
        <v>33</v>
      </c>
    </row>
    <row r="84" spans="1:7" x14ac:dyDescent="0.2">
      <c r="A84" t="s">
        <v>115</v>
      </c>
      <c r="D84" t="s">
        <v>115</v>
      </c>
      <c r="E84" t="s">
        <v>129</v>
      </c>
      <c r="F84" t="s">
        <v>32</v>
      </c>
      <c r="G84" t="s">
        <v>33</v>
      </c>
    </row>
    <row r="85" spans="1:7" x14ac:dyDescent="0.2">
      <c r="A85" t="s">
        <v>116</v>
      </c>
      <c r="D85" t="s">
        <v>116</v>
      </c>
      <c r="E85" t="s">
        <v>129</v>
      </c>
      <c r="F85" t="s">
        <v>32</v>
      </c>
      <c r="G85" t="s">
        <v>33</v>
      </c>
    </row>
    <row r="86" spans="1:7" ht="17" thickBot="1" x14ac:dyDescent="0.25">
      <c r="A86" t="s">
        <v>117</v>
      </c>
      <c r="B86" s="6" t="s">
        <v>19</v>
      </c>
      <c r="C86">
        <v>100</v>
      </c>
      <c r="D86" t="s">
        <v>117</v>
      </c>
      <c r="E86" t="s">
        <v>129</v>
      </c>
      <c r="F86" t="s">
        <v>32</v>
      </c>
      <c r="G86">
        <v>33.022045090688998</v>
      </c>
    </row>
    <row r="87" spans="1:7" ht="17" thickBot="1" x14ac:dyDescent="0.25">
      <c r="A87" t="s">
        <v>118</v>
      </c>
      <c r="B87" s="6" t="s">
        <v>19</v>
      </c>
      <c r="C87">
        <v>100</v>
      </c>
      <c r="D87" t="s">
        <v>118</v>
      </c>
      <c r="E87" t="s">
        <v>129</v>
      </c>
      <c r="F87" t="s">
        <v>32</v>
      </c>
      <c r="G87">
        <v>30.452191975738199</v>
      </c>
    </row>
    <row r="88" spans="1:7" ht="17" thickBot="1" x14ac:dyDescent="0.25">
      <c r="A88" t="s">
        <v>119</v>
      </c>
      <c r="B88" s="6" t="s">
        <v>19</v>
      </c>
      <c r="C88">
        <v>100</v>
      </c>
      <c r="D88" t="s">
        <v>119</v>
      </c>
      <c r="E88" t="s">
        <v>129</v>
      </c>
      <c r="F88" t="s">
        <v>32</v>
      </c>
      <c r="G88">
        <v>29.9957497090743</v>
      </c>
    </row>
    <row r="89" spans="1:7" x14ac:dyDescent="0.2">
      <c r="A89" t="s">
        <v>120</v>
      </c>
      <c r="D89" t="s">
        <v>120</v>
      </c>
      <c r="E89" t="s">
        <v>129</v>
      </c>
      <c r="F89" t="s">
        <v>32</v>
      </c>
      <c r="G89" t="s">
        <v>33</v>
      </c>
    </row>
    <row r="90" spans="1:7" x14ac:dyDescent="0.2">
      <c r="A90" t="s">
        <v>121</v>
      </c>
      <c r="D90" t="s">
        <v>121</v>
      </c>
      <c r="E90" t="s">
        <v>129</v>
      </c>
      <c r="F90" t="s">
        <v>32</v>
      </c>
      <c r="G90" t="s">
        <v>33</v>
      </c>
    </row>
    <row r="91" spans="1:7" x14ac:dyDescent="0.2">
      <c r="A91" t="s">
        <v>122</v>
      </c>
      <c r="D91" t="s">
        <v>122</v>
      </c>
      <c r="E91" t="s">
        <v>129</v>
      </c>
      <c r="F91" t="s">
        <v>32</v>
      </c>
      <c r="G91" t="s">
        <v>33</v>
      </c>
    </row>
    <row r="92" spans="1:7" ht="17" thickBot="1" x14ac:dyDescent="0.25">
      <c r="A92" t="s">
        <v>123</v>
      </c>
      <c r="B92" s="6" t="s">
        <v>19</v>
      </c>
      <c r="C92">
        <v>102</v>
      </c>
      <c r="D92" t="s">
        <v>123</v>
      </c>
      <c r="E92" t="s">
        <v>129</v>
      </c>
      <c r="F92" t="s">
        <v>32</v>
      </c>
      <c r="G92">
        <v>35.259955127581399</v>
      </c>
    </row>
    <row r="93" spans="1:7" ht="17" thickBot="1" x14ac:dyDescent="0.25">
      <c r="A93" t="s">
        <v>124</v>
      </c>
      <c r="B93" s="6" t="s">
        <v>19</v>
      </c>
      <c r="C93">
        <v>102</v>
      </c>
      <c r="D93" t="s">
        <v>124</v>
      </c>
      <c r="E93" t="s">
        <v>129</v>
      </c>
      <c r="F93" t="s">
        <v>32</v>
      </c>
      <c r="G93">
        <v>35.462456183724697</v>
      </c>
    </row>
    <row r="94" spans="1:7" ht="17" thickBot="1" x14ac:dyDescent="0.25">
      <c r="A94" t="s">
        <v>125</v>
      </c>
      <c r="B94" s="6" t="s">
        <v>19</v>
      </c>
      <c r="C94">
        <v>102</v>
      </c>
      <c r="D94" t="s">
        <v>125</v>
      </c>
      <c r="E94" t="s">
        <v>129</v>
      </c>
      <c r="F94" t="s">
        <v>32</v>
      </c>
      <c r="G94">
        <v>39.495344127118997</v>
      </c>
    </row>
    <row r="95" spans="1:7" x14ac:dyDescent="0.2">
      <c r="A95" t="s">
        <v>126</v>
      </c>
      <c r="D95" t="s">
        <v>126</v>
      </c>
      <c r="E95" t="s">
        <v>129</v>
      </c>
      <c r="F95" t="s">
        <v>32</v>
      </c>
      <c r="G95" t="s">
        <v>33</v>
      </c>
    </row>
    <row r="96" spans="1:7" x14ac:dyDescent="0.2">
      <c r="A96" t="s">
        <v>127</v>
      </c>
      <c r="D96" t="s">
        <v>127</v>
      </c>
      <c r="E96" t="s">
        <v>129</v>
      </c>
      <c r="F96" t="s">
        <v>32</v>
      </c>
      <c r="G96" t="s">
        <v>33</v>
      </c>
    </row>
    <row r="97" spans="1:7" x14ac:dyDescent="0.2">
      <c r="A97" t="s">
        <v>128</v>
      </c>
      <c r="D97" t="s">
        <v>128</v>
      </c>
      <c r="E97" t="s">
        <v>129</v>
      </c>
      <c r="F97" t="s">
        <v>32</v>
      </c>
      <c r="G9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DD9C-8032-C344-844C-DE0D02A39C04}">
  <dimension ref="A1:N97"/>
  <sheetViews>
    <sheetView workbookViewId="0">
      <selection sqref="A1:H97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30.4835527722393</v>
      </c>
      <c r="E2">
        <v>30.4835527722393</v>
      </c>
      <c r="F2" t="s">
        <v>31</v>
      </c>
      <c r="G2" s="9" t="s">
        <v>9</v>
      </c>
      <c r="H2">
        <v>100</v>
      </c>
      <c r="I2">
        <f>AVERAGE(D2:D4)</f>
        <v>30.462243389323167</v>
      </c>
      <c r="J2">
        <f>STDEV(D2:D4)</f>
        <v>0.16088656119310316</v>
      </c>
      <c r="K2">
        <f>I2</f>
        <v>30.462243389323167</v>
      </c>
      <c r="L2">
        <f>I14</f>
        <v>15.729346432802368</v>
      </c>
      <c r="M2">
        <f>I2-K2</f>
        <v>0</v>
      </c>
      <c r="N2">
        <f>I2-L2</f>
        <v>14.732896956520799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30.611413346221799</v>
      </c>
      <c r="E3">
        <v>30.611413346221799</v>
      </c>
      <c r="F3" t="s">
        <v>34</v>
      </c>
      <c r="G3" s="9" t="s">
        <v>9</v>
      </c>
      <c r="H3">
        <v>100</v>
      </c>
      <c r="I3">
        <f>I2</f>
        <v>30.462243389323167</v>
      </c>
      <c r="J3">
        <f>J2</f>
        <v>0.16088656119310316</v>
      </c>
      <c r="K3">
        <f>I2</f>
        <v>30.462243389323167</v>
      </c>
      <c r="L3">
        <f>I14</f>
        <v>15.729346432802368</v>
      </c>
      <c r="M3">
        <f t="shared" ref="M3:M66" si="0">I3-K3</f>
        <v>0</v>
      </c>
      <c r="N3">
        <f t="shared" ref="N3:N66" si="1">I3-L3</f>
        <v>14.732896956520799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30.291764049508402</v>
      </c>
      <c r="E4">
        <v>30.291764049508402</v>
      </c>
      <c r="F4" t="s">
        <v>35</v>
      </c>
      <c r="G4" s="9" t="s">
        <v>9</v>
      </c>
      <c r="H4">
        <v>100</v>
      </c>
      <c r="I4">
        <f>I2</f>
        <v>30.462243389323167</v>
      </c>
      <c r="J4">
        <f>J2</f>
        <v>0.16088656119310316</v>
      </c>
      <c r="K4">
        <f>I2</f>
        <v>30.462243389323167</v>
      </c>
      <c r="L4">
        <f>I14</f>
        <v>15.729346432802368</v>
      </c>
      <c r="M4">
        <f t="shared" si="0"/>
        <v>0</v>
      </c>
      <c r="N4">
        <f t="shared" si="1"/>
        <v>14.732896956520799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29.480042142253701</v>
      </c>
      <c r="E5">
        <v>29.480042142253701</v>
      </c>
      <c r="F5" t="s">
        <v>36</v>
      </c>
      <c r="G5" s="2" t="s">
        <v>20</v>
      </c>
      <c r="H5">
        <v>100</v>
      </c>
      <c r="I5">
        <f>AVERAGE(D5:D7)</f>
        <v>29.773706663898299</v>
      </c>
      <c r="J5">
        <f>STDEV(D5:D7)</f>
        <v>0.27299192094345825</v>
      </c>
      <c r="K5">
        <f>I2</f>
        <v>30.462243389323167</v>
      </c>
      <c r="L5">
        <f>I14</f>
        <v>15.729346432802368</v>
      </c>
      <c r="M5">
        <f t="shared" si="0"/>
        <v>-0.68853672542486777</v>
      </c>
      <c r="N5">
        <f t="shared" si="1"/>
        <v>14.044360231095931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30.019763167956999</v>
      </c>
      <c r="E6">
        <v>30.019763167956999</v>
      </c>
      <c r="F6" t="s">
        <v>37</v>
      </c>
      <c r="G6" s="2" t="s">
        <v>20</v>
      </c>
      <c r="H6">
        <v>100</v>
      </c>
      <c r="I6">
        <f>I5</f>
        <v>29.773706663898299</v>
      </c>
      <c r="J6">
        <f>J5</f>
        <v>0.27299192094345825</v>
      </c>
      <c r="K6">
        <f>I2</f>
        <v>30.462243389323167</v>
      </c>
      <c r="L6">
        <f>I14</f>
        <v>15.729346432802368</v>
      </c>
      <c r="M6">
        <f t="shared" si="0"/>
        <v>-0.68853672542486777</v>
      </c>
      <c r="N6">
        <f t="shared" si="1"/>
        <v>14.044360231095931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29.8213146814842</v>
      </c>
      <c r="E7">
        <v>29.8213146814842</v>
      </c>
      <c r="F7" t="s">
        <v>38</v>
      </c>
      <c r="G7" s="2" t="s">
        <v>20</v>
      </c>
      <c r="H7">
        <v>100</v>
      </c>
      <c r="I7">
        <f>I6</f>
        <v>29.773706663898299</v>
      </c>
      <c r="J7">
        <f>J5</f>
        <v>0.27299192094345825</v>
      </c>
      <c r="K7">
        <f>I2</f>
        <v>30.462243389323167</v>
      </c>
      <c r="L7">
        <f>I14</f>
        <v>15.729346432802368</v>
      </c>
      <c r="M7">
        <f t="shared" si="0"/>
        <v>-0.68853672542486777</v>
      </c>
      <c r="N7">
        <f t="shared" si="1"/>
        <v>14.044360231095931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32.325361546378602</v>
      </c>
      <c r="E8">
        <v>32.325361546378602</v>
      </c>
      <c r="F8" t="s">
        <v>39</v>
      </c>
      <c r="G8" s="9" t="s">
        <v>9</v>
      </c>
      <c r="H8">
        <v>102</v>
      </c>
      <c r="I8">
        <f t="shared" ref="I8" si="2">AVERAGE(D8:D10)</f>
        <v>32.398773904638603</v>
      </c>
      <c r="J8">
        <f t="shared" ref="J8" si="3">STDEV(D8:D10)</f>
        <v>0.10382075269708534</v>
      </c>
      <c r="K8">
        <f>I8</f>
        <v>32.398773904638603</v>
      </c>
      <c r="L8">
        <f>I20</f>
        <v>14.365103767458633</v>
      </c>
      <c r="M8">
        <f t="shared" si="0"/>
        <v>0</v>
      </c>
      <c r="N8">
        <f t="shared" si="1"/>
        <v>18.033670137179968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33.137022313529997</v>
      </c>
      <c r="F9" t="s">
        <v>40</v>
      </c>
      <c r="G9" s="9" t="s">
        <v>9</v>
      </c>
      <c r="H9">
        <v>102</v>
      </c>
      <c r="I9">
        <f t="shared" ref="I9" si="4">I8</f>
        <v>32.398773904638603</v>
      </c>
      <c r="J9">
        <f t="shared" ref="J9" si="5">J8</f>
        <v>0.10382075269708534</v>
      </c>
      <c r="K9">
        <f>I8</f>
        <v>32.398773904638603</v>
      </c>
      <c r="L9">
        <f>I20</f>
        <v>14.365103767458633</v>
      </c>
      <c r="M9">
        <f t="shared" si="0"/>
        <v>0</v>
      </c>
      <c r="N9">
        <f t="shared" si="1"/>
        <v>18.033670137179968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32.472186262898603</v>
      </c>
      <c r="E10">
        <v>32.472186262898603</v>
      </c>
      <c r="F10" t="s">
        <v>41</v>
      </c>
      <c r="G10" s="9" t="s">
        <v>9</v>
      </c>
      <c r="H10">
        <v>102</v>
      </c>
      <c r="I10">
        <f t="shared" ref="I10:J10" si="6">I8</f>
        <v>32.398773904638603</v>
      </c>
      <c r="J10">
        <f t="shared" si="6"/>
        <v>0.10382075269708534</v>
      </c>
      <c r="K10">
        <f>I8</f>
        <v>32.398773904638603</v>
      </c>
      <c r="L10">
        <f>I20</f>
        <v>14.365103767458633</v>
      </c>
      <c r="M10">
        <f t="shared" si="0"/>
        <v>0</v>
      </c>
      <c r="N10">
        <f t="shared" si="1"/>
        <v>18.033670137179968</v>
      </c>
    </row>
    <row r="11" spans="1:14" ht="17" thickBot="1" x14ac:dyDescent="0.25">
      <c r="A11" t="s">
        <v>42</v>
      </c>
      <c r="B11" t="s">
        <v>129</v>
      </c>
      <c r="C11" t="s">
        <v>32</v>
      </c>
      <c r="D11">
        <v>32.221963906459401</v>
      </c>
      <c r="E11">
        <v>32.221963906459401</v>
      </c>
      <c r="F11" t="s">
        <v>42</v>
      </c>
      <c r="G11" s="2" t="s">
        <v>20</v>
      </c>
      <c r="H11">
        <v>102</v>
      </c>
      <c r="I11">
        <f t="shared" ref="I11" si="7">AVERAGE(D11:D13)</f>
        <v>32.470896835174699</v>
      </c>
      <c r="J11">
        <f t="shared" ref="J11" si="8">STDEV(D11:D13)</f>
        <v>0.35204432391042983</v>
      </c>
      <c r="K11">
        <f>I8</f>
        <v>32.398773904638603</v>
      </c>
      <c r="L11">
        <f>I20</f>
        <v>14.365103767458633</v>
      </c>
      <c r="M11">
        <f t="shared" si="0"/>
        <v>7.2122930536096419E-2</v>
      </c>
      <c r="N11">
        <f t="shared" si="1"/>
        <v>18.105793067716064</v>
      </c>
    </row>
    <row r="12" spans="1:14" ht="17" thickBot="1" x14ac:dyDescent="0.25">
      <c r="A12" t="s">
        <v>43</v>
      </c>
      <c r="B12" t="s">
        <v>129</v>
      </c>
      <c r="C12" t="s">
        <v>32</v>
      </c>
      <c r="E12">
        <v>33.196513376527697</v>
      </c>
      <c r="F12" t="s">
        <v>43</v>
      </c>
      <c r="G12" s="2" t="s">
        <v>20</v>
      </c>
      <c r="H12">
        <v>102</v>
      </c>
      <c r="I12">
        <f t="shared" ref="I12:I13" si="9">I11</f>
        <v>32.470896835174699</v>
      </c>
      <c r="J12">
        <f t="shared" ref="J12" si="10">J11</f>
        <v>0.35204432391042983</v>
      </c>
      <c r="K12">
        <f>I8</f>
        <v>32.398773904638603</v>
      </c>
      <c r="L12">
        <f>I20</f>
        <v>14.365103767458633</v>
      </c>
      <c r="M12">
        <f t="shared" si="0"/>
        <v>7.2122930536096419E-2</v>
      </c>
      <c r="N12">
        <f t="shared" si="1"/>
        <v>18.105793067716064</v>
      </c>
    </row>
    <row r="13" spans="1:14" x14ac:dyDescent="0.2">
      <c r="A13" t="s">
        <v>44</v>
      </c>
      <c r="B13" t="s">
        <v>129</v>
      </c>
      <c r="C13" t="s">
        <v>32</v>
      </c>
      <c r="D13">
        <v>32.719829763889997</v>
      </c>
      <c r="E13">
        <v>32.719829763889997</v>
      </c>
      <c r="F13" t="s">
        <v>44</v>
      </c>
      <c r="G13" s="2" t="s">
        <v>20</v>
      </c>
      <c r="H13">
        <v>102</v>
      </c>
      <c r="I13">
        <f t="shared" si="9"/>
        <v>32.470896835174699</v>
      </c>
      <c r="J13">
        <f t="shared" ref="J13" si="11">J11</f>
        <v>0.35204432391042983</v>
      </c>
      <c r="K13">
        <f>I8</f>
        <v>32.398773904638603</v>
      </c>
      <c r="L13">
        <f>I20</f>
        <v>14.365103767458633</v>
      </c>
      <c r="M13">
        <f t="shared" si="0"/>
        <v>7.2122930536096419E-2</v>
      </c>
      <c r="N13">
        <f t="shared" si="1"/>
        <v>18.105793067716064</v>
      </c>
    </row>
    <row r="14" spans="1:14" x14ac:dyDescent="0.2">
      <c r="A14" t="s">
        <v>45</v>
      </c>
      <c r="B14" t="s">
        <v>129</v>
      </c>
      <c r="C14" t="s">
        <v>32</v>
      </c>
      <c r="D14">
        <v>16.034193082877302</v>
      </c>
      <c r="E14">
        <v>16.034193082877302</v>
      </c>
      <c r="F14" t="s">
        <v>45</v>
      </c>
      <c r="G14" s="11" t="s">
        <v>8</v>
      </c>
      <c r="H14">
        <v>100</v>
      </c>
      <c r="I14">
        <f t="shared" ref="I14" si="12">AVERAGE(D14:D16)</f>
        <v>15.729346432802368</v>
      </c>
      <c r="J14">
        <f t="shared" ref="J14" si="13">STDEV(D14:D16)</f>
        <v>0.26401365576156893</v>
      </c>
      <c r="K14">
        <f>I2</f>
        <v>30.462243389323167</v>
      </c>
      <c r="L14">
        <f>I14</f>
        <v>15.729346432802368</v>
      </c>
      <c r="M14">
        <f t="shared" si="0"/>
        <v>-14.732896956520799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15.574778257617201</v>
      </c>
      <c r="E15">
        <v>15.574778257617201</v>
      </c>
      <c r="F15" t="s">
        <v>46</v>
      </c>
      <c r="G15" s="11" t="s">
        <v>8</v>
      </c>
      <c r="H15">
        <v>100</v>
      </c>
      <c r="I15">
        <f t="shared" ref="I15" si="14">I14</f>
        <v>15.729346432802368</v>
      </c>
      <c r="J15">
        <f t="shared" ref="J15" si="15">J14</f>
        <v>0.26401365576156893</v>
      </c>
      <c r="K15">
        <f>I2</f>
        <v>30.462243389323167</v>
      </c>
      <c r="L15">
        <f>I14</f>
        <v>15.729346432802368</v>
      </c>
      <c r="M15">
        <f t="shared" si="0"/>
        <v>-14.732896956520799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15.579067957912599</v>
      </c>
      <c r="E16">
        <v>15.579067957912599</v>
      </c>
      <c r="F16" t="s">
        <v>47</v>
      </c>
      <c r="G16" s="11" t="s">
        <v>8</v>
      </c>
      <c r="H16">
        <v>100</v>
      </c>
      <c r="I16">
        <f t="shared" ref="I16:J16" si="16">I14</f>
        <v>15.729346432802368</v>
      </c>
      <c r="J16">
        <f t="shared" si="16"/>
        <v>0.26401365576156893</v>
      </c>
      <c r="K16">
        <f>I2</f>
        <v>30.462243389323167</v>
      </c>
      <c r="L16">
        <f>I14</f>
        <v>15.729346432802368</v>
      </c>
      <c r="M16">
        <f t="shared" si="0"/>
        <v>-14.732896956520799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30.466851568102399</v>
      </c>
      <c r="E17">
        <v>30.466851568102399</v>
      </c>
      <c r="F17" t="s">
        <v>48</v>
      </c>
      <c r="G17" s="1" t="s">
        <v>21</v>
      </c>
      <c r="H17">
        <v>100</v>
      </c>
      <c r="I17">
        <f t="shared" ref="I17" si="17">AVERAGE(D17:D19)</f>
        <v>30.32505326842135</v>
      </c>
      <c r="J17">
        <f t="shared" ref="J17" si="18">STDEV(D17:D19)</f>
        <v>0.20053307853038457</v>
      </c>
      <c r="K17">
        <f>I2</f>
        <v>30.462243389323167</v>
      </c>
      <c r="L17">
        <f>I14</f>
        <v>15.729346432802368</v>
      </c>
      <c r="M17">
        <f t="shared" si="0"/>
        <v>-0.13719012090181693</v>
      </c>
      <c r="N17">
        <f t="shared" si="1"/>
        <v>14.595706835618982</v>
      </c>
    </row>
    <row r="18" spans="1:14" x14ac:dyDescent="0.2">
      <c r="A18" t="s">
        <v>49</v>
      </c>
      <c r="B18" t="s">
        <v>129</v>
      </c>
      <c r="C18" t="s">
        <v>32</v>
      </c>
      <c r="E18">
        <v>31.209665466299001</v>
      </c>
      <c r="F18" t="s">
        <v>49</v>
      </c>
      <c r="G18" s="1" t="s">
        <v>21</v>
      </c>
      <c r="H18">
        <v>100</v>
      </c>
      <c r="I18">
        <f t="shared" ref="I18:I19" si="19">I17</f>
        <v>30.32505326842135</v>
      </c>
      <c r="J18">
        <f t="shared" ref="J18" si="20">J17</f>
        <v>0.20053307853038457</v>
      </c>
      <c r="K18">
        <f>I2</f>
        <v>30.462243389323167</v>
      </c>
      <c r="L18">
        <f>I14</f>
        <v>15.729346432802368</v>
      </c>
      <c r="M18">
        <f t="shared" si="0"/>
        <v>-0.13719012090181693</v>
      </c>
      <c r="N18">
        <f t="shared" si="1"/>
        <v>14.595706835618982</v>
      </c>
    </row>
    <row r="19" spans="1:14" x14ac:dyDescent="0.2">
      <c r="A19" t="s">
        <v>50</v>
      </c>
      <c r="B19" t="s">
        <v>129</v>
      </c>
      <c r="C19" t="s">
        <v>32</v>
      </c>
      <c r="D19">
        <v>30.1832549687403</v>
      </c>
      <c r="E19">
        <v>30.1832549687403</v>
      </c>
      <c r="F19" t="s">
        <v>50</v>
      </c>
      <c r="G19" s="1" t="s">
        <v>21</v>
      </c>
      <c r="H19">
        <v>100</v>
      </c>
      <c r="I19">
        <f t="shared" si="19"/>
        <v>30.32505326842135</v>
      </c>
      <c r="J19">
        <f t="shared" ref="J19" si="21">J17</f>
        <v>0.20053307853038457</v>
      </c>
      <c r="K19">
        <f>I2</f>
        <v>30.462243389323167</v>
      </c>
      <c r="L19">
        <f>I14</f>
        <v>15.729346432802368</v>
      </c>
      <c r="M19">
        <f t="shared" si="0"/>
        <v>-0.13719012090181693</v>
      </c>
      <c r="N19">
        <f t="shared" si="1"/>
        <v>14.595706835618982</v>
      </c>
    </row>
    <row r="20" spans="1:14" x14ac:dyDescent="0.2">
      <c r="A20" t="s">
        <v>51</v>
      </c>
      <c r="B20" t="s">
        <v>129</v>
      </c>
      <c r="C20" t="s">
        <v>32</v>
      </c>
      <c r="D20">
        <v>14.391263112880001</v>
      </c>
      <c r="E20">
        <v>14.391263112880001</v>
      </c>
      <c r="F20" t="s">
        <v>51</v>
      </c>
      <c r="G20" s="11" t="s">
        <v>8</v>
      </c>
      <c r="H20">
        <v>102</v>
      </c>
      <c r="I20">
        <f t="shared" ref="I20" si="22">AVERAGE(D20:D22)</f>
        <v>14.365103767458633</v>
      </c>
      <c r="J20">
        <f t="shared" ref="J20" si="23">STDEV(D20:D22)</f>
        <v>2.2726124126257661E-2</v>
      </c>
      <c r="K20">
        <f>I8</f>
        <v>32.398773904638603</v>
      </c>
      <c r="L20">
        <f>I20</f>
        <v>14.365103767458633</v>
      </c>
      <c r="M20">
        <f t="shared" si="0"/>
        <v>-18.033670137179968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14.353824984291</v>
      </c>
      <c r="E21">
        <v>14.353824984291</v>
      </c>
      <c r="F21" t="s">
        <v>52</v>
      </c>
      <c r="G21" s="11" t="s">
        <v>8</v>
      </c>
      <c r="H21">
        <v>102</v>
      </c>
      <c r="I21">
        <f t="shared" ref="I21" si="24">I20</f>
        <v>14.365103767458633</v>
      </c>
      <c r="J21">
        <f t="shared" ref="J21" si="25">J20</f>
        <v>2.2726124126257661E-2</v>
      </c>
      <c r="K21">
        <f>I8</f>
        <v>32.398773904638603</v>
      </c>
      <c r="L21">
        <f>I20</f>
        <v>14.365103767458633</v>
      </c>
      <c r="M21">
        <f t="shared" si="0"/>
        <v>-18.033670137179968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14.3502232052049</v>
      </c>
      <c r="E22">
        <v>14.3502232052049</v>
      </c>
      <c r="F22" t="s">
        <v>53</v>
      </c>
      <c r="G22" s="11" t="s">
        <v>8</v>
      </c>
      <c r="H22">
        <v>102</v>
      </c>
      <c r="I22">
        <f t="shared" ref="I22:J22" si="26">I20</f>
        <v>14.365103767458633</v>
      </c>
      <c r="J22">
        <f t="shared" si="26"/>
        <v>2.2726124126257661E-2</v>
      </c>
      <c r="K22">
        <f>I8</f>
        <v>32.398773904638603</v>
      </c>
      <c r="L22">
        <f>I20</f>
        <v>14.365103767458633</v>
      </c>
      <c r="M22">
        <f t="shared" si="0"/>
        <v>-18.033670137179968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E23">
        <v>37.526250232186896</v>
      </c>
      <c r="F23" t="s">
        <v>54</v>
      </c>
      <c r="G23" s="1" t="s">
        <v>21</v>
      </c>
      <c r="H23">
        <v>102</v>
      </c>
      <c r="I23" t="e">
        <f t="shared" ref="I23" si="27">AVERAGE(D23:D25)</f>
        <v>#DIV/0!</v>
      </c>
      <c r="J23" t="e">
        <f t="shared" ref="J23" si="28">STDEV(D23:D25)</f>
        <v>#DIV/0!</v>
      </c>
      <c r="K23">
        <f>I8</f>
        <v>32.398773904638603</v>
      </c>
      <c r="L23">
        <f>I20</f>
        <v>14.365103767458633</v>
      </c>
      <c r="M23" t="e">
        <f t="shared" si="0"/>
        <v>#DIV/0!</v>
      </c>
      <c r="N23" t="e">
        <f t="shared" si="1"/>
        <v>#DIV/0!</v>
      </c>
    </row>
    <row r="24" spans="1:14" x14ac:dyDescent="0.2">
      <c r="A24" t="s">
        <v>55</v>
      </c>
      <c r="B24" t="s">
        <v>129</v>
      </c>
      <c r="C24" t="s">
        <v>32</v>
      </c>
      <c r="E24" t="s">
        <v>33</v>
      </c>
      <c r="F24" t="s">
        <v>55</v>
      </c>
      <c r="G24" s="1" t="s">
        <v>21</v>
      </c>
      <c r="H24">
        <v>102</v>
      </c>
      <c r="I24" t="e">
        <f t="shared" ref="I24:I25" si="29">I23</f>
        <v>#DIV/0!</v>
      </c>
      <c r="J24" t="e">
        <f t="shared" ref="J24" si="30">J23</f>
        <v>#DIV/0!</v>
      </c>
      <c r="K24">
        <f>I8</f>
        <v>32.398773904638603</v>
      </c>
      <c r="L24">
        <f>I20</f>
        <v>14.365103767458633</v>
      </c>
      <c r="M24" t="e">
        <f t="shared" si="0"/>
        <v>#DIV/0!</v>
      </c>
      <c r="N24" t="e">
        <f t="shared" si="1"/>
        <v>#DIV/0!</v>
      </c>
    </row>
    <row r="25" spans="1:14" x14ac:dyDescent="0.2">
      <c r="A25" t="s">
        <v>56</v>
      </c>
      <c r="B25" t="s">
        <v>129</v>
      </c>
      <c r="C25" t="s">
        <v>32</v>
      </c>
      <c r="E25">
        <v>36.052381603654602</v>
      </c>
      <c r="F25" t="s">
        <v>56</v>
      </c>
      <c r="G25" s="1" t="s">
        <v>21</v>
      </c>
      <c r="H25">
        <v>102</v>
      </c>
      <c r="I25" t="e">
        <f t="shared" si="29"/>
        <v>#DIV/0!</v>
      </c>
      <c r="J25" t="e">
        <f t="shared" ref="J25" si="31">J23</f>
        <v>#DIV/0!</v>
      </c>
      <c r="K25">
        <f>I8</f>
        <v>32.398773904638603</v>
      </c>
      <c r="L25">
        <f>I20</f>
        <v>14.365103767458633</v>
      </c>
      <c r="M25" t="e">
        <f t="shared" si="0"/>
        <v>#DIV/0!</v>
      </c>
      <c r="N25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E26">
        <v>30.604144195298399</v>
      </c>
      <c r="F26" t="s">
        <v>57</v>
      </c>
      <c r="G26" s="4" t="s">
        <v>14</v>
      </c>
      <c r="H26">
        <v>100</v>
      </c>
      <c r="I26">
        <f t="shared" ref="I26" si="32">AVERAGE(D26:D28)</f>
        <v>29.774727247352349</v>
      </c>
      <c r="J26">
        <f t="shared" ref="J26" si="33">STDEV(D26:D28)</f>
        <v>1.0016659743050915E-2</v>
      </c>
      <c r="K26">
        <f>I2</f>
        <v>30.462243389323167</v>
      </c>
      <c r="L26">
        <f>I14</f>
        <v>15.729346432802368</v>
      </c>
      <c r="M26">
        <f t="shared" si="0"/>
        <v>-0.68751614197081778</v>
      </c>
      <c r="N26">
        <f t="shared" si="1"/>
        <v>14.045380814549981</v>
      </c>
    </row>
    <row r="27" spans="1:14" x14ac:dyDescent="0.2">
      <c r="A27" t="s">
        <v>58</v>
      </c>
      <c r="B27" t="s">
        <v>129</v>
      </c>
      <c r="C27" t="s">
        <v>32</v>
      </c>
      <c r="D27">
        <v>29.767644399323199</v>
      </c>
      <c r="E27">
        <v>29.767644399323199</v>
      </c>
      <c r="F27" t="s">
        <v>58</v>
      </c>
      <c r="G27" s="4" t="s">
        <v>14</v>
      </c>
      <c r="H27">
        <v>100</v>
      </c>
      <c r="I27">
        <f t="shared" ref="I27" si="34">I26</f>
        <v>29.774727247352349</v>
      </c>
      <c r="J27">
        <f t="shared" ref="J27" si="35">J26</f>
        <v>1.0016659743050915E-2</v>
      </c>
      <c r="K27">
        <f>I2</f>
        <v>30.462243389323167</v>
      </c>
      <c r="L27">
        <f>I14</f>
        <v>15.729346432802368</v>
      </c>
      <c r="M27">
        <f t="shared" si="0"/>
        <v>-0.68751614197081778</v>
      </c>
      <c r="N27">
        <f t="shared" si="1"/>
        <v>14.045380814549981</v>
      </c>
    </row>
    <row r="28" spans="1:14" x14ac:dyDescent="0.2">
      <c r="A28" t="s">
        <v>59</v>
      </c>
      <c r="B28" t="s">
        <v>129</v>
      </c>
      <c r="C28" t="s">
        <v>32</v>
      </c>
      <c r="D28">
        <v>29.781810095381498</v>
      </c>
      <c r="E28">
        <v>29.781810095381498</v>
      </c>
      <c r="F28" t="s">
        <v>59</v>
      </c>
      <c r="G28" s="4" t="s">
        <v>14</v>
      </c>
      <c r="H28">
        <v>100</v>
      </c>
      <c r="I28">
        <f t="shared" ref="I28:J28" si="36">I26</f>
        <v>29.774727247352349</v>
      </c>
      <c r="J28">
        <f t="shared" si="36"/>
        <v>1.0016659743050915E-2</v>
      </c>
      <c r="K28">
        <f>I2</f>
        <v>30.462243389323167</v>
      </c>
      <c r="L28">
        <f>I14</f>
        <v>15.729346432802368</v>
      </c>
      <c r="M28">
        <f t="shared" si="0"/>
        <v>-0.68751614197081778</v>
      </c>
      <c r="N28">
        <f t="shared" si="1"/>
        <v>14.045380814549981</v>
      </c>
    </row>
    <row r="29" spans="1:14" x14ac:dyDescent="0.2">
      <c r="A29" t="s">
        <v>60</v>
      </c>
      <c r="B29" t="s">
        <v>129</v>
      </c>
      <c r="C29" t="s">
        <v>32</v>
      </c>
      <c r="D29">
        <v>32.652024859618798</v>
      </c>
      <c r="E29">
        <v>32.652024859618798</v>
      </c>
      <c r="F29" t="s">
        <v>60</v>
      </c>
      <c r="G29" s="1" t="s">
        <v>23</v>
      </c>
      <c r="H29">
        <v>100</v>
      </c>
      <c r="I29">
        <f t="shared" ref="I29" si="37">AVERAGE(D29:D31)</f>
        <v>32.450634946575448</v>
      </c>
      <c r="J29">
        <f t="shared" ref="J29" si="38">STDEV(D29:D31)</f>
        <v>0.28480834635104396</v>
      </c>
      <c r="K29">
        <f>I2</f>
        <v>30.462243389323167</v>
      </c>
      <c r="L29">
        <f>I14</f>
        <v>15.729346432802368</v>
      </c>
      <c r="M29">
        <f t="shared" si="0"/>
        <v>1.9883915572522817</v>
      </c>
      <c r="N29">
        <f t="shared" si="1"/>
        <v>16.721288513773082</v>
      </c>
    </row>
    <row r="30" spans="1:14" x14ac:dyDescent="0.2">
      <c r="A30" t="s">
        <v>61</v>
      </c>
      <c r="B30" t="s">
        <v>129</v>
      </c>
      <c r="C30" t="s">
        <v>32</v>
      </c>
      <c r="E30">
        <v>33.008092293521997</v>
      </c>
      <c r="F30" t="s">
        <v>61</v>
      </c>
      <c r="G30" s="1" t="s">
        <v>23</v>
      </c>
      <c r="H30">
        <v>100</v>
      </c>
      <c r="I30">
        <f t="shared" ref="I30:I31" si="39">I29</f>
        <v>32.450634946575448</v>
      </c>
      <c r="J30">
        <f t="shared" ref="J30" si="40">J29</f>
        <v>0.28480834635104396</v>
      </c>
      <c r="K30">
        <f>I2</f>
        <v>30.462243389323167</v>
      </c>
      <c r="L30">
        <f>I14</f>
        <v>15.729346432802368</v>
      </c>
      <c r="M30">
        <f t="shared" si="0"/>
        <v>1.9883915572522817</v>
      </c>
      <c r="N30">
        <f t="shared" si="1"/>
        <v>16.721288513773082</v>
      </c>
    </row>
    <row r="31" spans="1:14" x14ac:dyDescent="0.2">
      <c r="A31" t="s">
        <v>62</v>
      </c>
      <c r="B31" t="s">
        <v>129</v>
      </c>
      <c r="C31" t="s">
        <v>32</v>
      </c>
      <c r="D31">
        <v>32.249245033532098</v>
      </c>
      <c r="E31">
        <v>32.249245033532098</v>
      </c>
      <c r="F31" t="s">
        <v>62</v>
      </c>
      <c r="G31" s="1" t="s">
        <v>23</v>
      </c>
      <c r="H31">
        <v>100</v>
      </c>
      <c r="I31">
        <f t="shared" si="39"/>
        <v>32.450634946575448</v>
      </c>
      <c r="J31">
        <f t="shared" ref="J31" si="41">J29</f>
        <v>0.28480834635104396</v>
      </c>
      <c r="K31">
        <f>I2</f>
        <v>30.462243389323167</v>
      </c>
      <c r="L31">
        <f>I14</f>
        <v>15.729346432802368</v>
      </c>
      <c r="M31">
        <f t="shared" si="0"/>
        <v>1.9883915572522817</v>
      </c>
      <c r="N31">
        <f t="shared" si="1"/>
        <v>16.721288513773082</v>
      </c>
    </row>
    <row r="32" spans="1:14" x14ac:dyDescent="0.2">
      <c r="A32" t="s">
        <v>63</v>
      </c>
      <c r="B32" t="s">
        <v>129</v>
      </c>
      <c r="C32" t="s">
        <v>32</v>
      </c>
      <c r="E32">
        <v>33.03038680345</v>
      </c>
      <c r="F32" t="s">
        <v>63</v>
      </c>
      <c r="G32" s="4" t="s">
        <v>14</v>
      </c>
      <c r="H32">
        <v>102</v>
      </c>
      <c r="I32" t="e">
        <f t="shared" ref="I32" si="42">AVERAGE(D32:D34)</f>
        <v>#DIV/0!</v>
      </c>
      <c r="J32" t="e">
        <f t="shared" ref="J32" si="43">STDEV(D32:D34)</f>
        <v>#DIV/0!</v>
      </c>
      <c r="K32">
        <f>I8</f>
        <v>32.398773904638603</v>
      </c>
      <c r="L32">
        <f>I20</f>
        <v>14.365103767458633</v>
      </c>
      <c r="M32" t="e">
        <f t="shared" si="0"/>
        <v>#DIV/0!</v>
      </c>
      <c r="N32" t="e">
        <f t="shared" si="1"/>
        <v>#DIV/0!</v>
      </c>
    </row>
    <row r="33" spans="1:14" x14ac:dyDescent="0.2">
      <c r="A33" t="s">
        <v>64</v>
      </c>
      <c r="B33" t="s">
        <v>129</v>
      </c>
      <c r="C33" t="s">
        <v>32</v>
      </c>
      <c r="E33">
        <v>37.155557474755902</v>
      </c>
      <c r="F33" t="s">
        <v>64</v>
      </c>
      <c r="G33" s="4" t="s">
        <v>14</v>
      </c>
      <c r="H33">
        <v>102</v>
      </c>
      <c r="I33" t="e">
        <f t="shared" ref="I33" si="44">I32</f>
        <v>#DIV/0!</v>
      </c>
      <c r="J33" t="e">
        <f t="shared" ref="J33" si="45">J32</f>
        <v>#DIV/0!</v>
      </c>
      <c r="K33">
        <f>I8</f>
        <v>32.398773904638603</v>
      </c>
      <c r="L33">
        <f>I20</f>
        <v>14.365103767458633</v>
      </c>
      <c r="M33" t="e">
        <f t="shared" si="0"/>
        <v>#DIV/0!</v>
      </c>
      <c r="N33" t="e">
        <f t="shared" si="1"/>
        <v>#DIV/0!</v>
      </c>
    </row>
    <row r="34" spans="1:14" x14ac:dyDescent="0.2">
      <c r="A34" t="s">
        <v>65</v>
      </c>
      <c r="B34" t="s">
        <v>129</v>
      </c>
      <c r="C34" t="s">
        <v>32</v>
      </c>
      <c r="E34">
        <v>31.120241276253999</v>
      </c>
      <c r="F34" t="s">
        <v>65</v>
      </c>
      <c r="G34" s="4" t="s">
        <v>14</v>
      </c>
      <c r="H34">
        <v>102</v>
      </c>
      <c r="I34" t="e">
        <f t="shared" ref="I34:J34" si="46">I32</f>
        <v>#DIV/0!</v>
      </c>
      <c r="J34" t="e">
        <f t="shared" si="46"/>
        <v>#DIV/0!</v>
      </c>
      <c r="K34">
        <f>I8</f>
        <v>32.398773904638603</v>
      </c>
      <c r="L34">
        <f>I20</f>
        <v>14.365103767458633</v>
      </c>
      <c r="M34" t="e">
        <f t="shared" si="0"/>
        <v>#DIV/0!</v>
      </c>
      <c r="N34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>
        <v>33.803253635768002</v>
      </c>
      <c r="E35">
        <v>33.803253635768002</v>
      </c>
      <c r="F35" t="s">
        <v>66</v>
      </c>
      <c r="G35" s="1" t="s">
        <v>23</v>
      </c>
      <c r="H35">
        <v>102</v>
      </c>
      <c r="I35">
        <f t="shared" ref="I35" si="47">AVERAGE(D35:D37)</f>
        <v>33.524462864024599</v>
      </c>
      <c r="J35">
        <f t="shared" ref="J35" si="48">STDEV(D35:D37)</f>
        <v>0.29546794313557556</v>
      </c>
      <c r="K35">
        <f>I8</f>
        <v>32.398773904638603</v>
      </c>
      <c r="L35">
        <f>I20</f>
        <v>14.365103767458633</v>
      </c>
      <c r="M35">
        <f t="shared" si="0"/>
        <v>1.1256889593859967</v>
      </c>
      <c r="N35">
        <f t="shared" si="1"/>
        <v>19.159359096565964</v>
      </c>
    </row>
    <row r="36" spans="1:14" x14ac:dyDescent="0.2">
      <c r="A36" t="s">
        <v>67</v>
      </c>
      <c r="B36" t="s">
        <v>129</v>
      </c>
      <c r="C36" t="s">
        <v>32</v>
      </c>
      <c r="D36">
        <v>33.2147498789043</v>
      </c>
      <c r="E36">
        <v>33.2147498789043</v>
      </c>
      <c r="F36" t="s">
        <v>67</v>
      </c>
      <c r="G36" s="1" t="s">
        <v>23</v>
      </c>
      <c r="H36">
        <v>102</v>
      </c>
      <c r="I36">
        <f t="shared" ref="I36:I37" si="49">I35</f>
        <v>33.524462864024599</v>
      </c>
      <c r="J36">
        <f t="shared" ref="J36" si="50">J35</f>
        <v>0.29546794313557556</v>
      </c>
      <c r="K36">
        <f>I8</f>
        <v>32.398773904638603</v>
      </c>
      <c r="L36">
        <f>I20</f>
        <v>14.365103767458633</v>
      </c>
      <c r="M36">
        <f t="shared" si="0"/>
        <v>1.1256889593859967</v>
      </c>
      <c r="N36">
        <f t="shared" si="1"/>
        <v>19.159359096565964</v>
      </c>
    </row>
    <row r="37" spans="1:14" x14ac:dyDescent="0.2">
      <c r="A37" t="s">
        <v>68</v>
      </c>
      <c r="B37" t="s">
        <v>129</v>
      </c>
      <c r="C37" t="s">
        <v>32</v>
      </c>
      <c r="D37">
        <v>33.555385077401503</v>
      </c>
      <c r="E37">
        <v>33.555385077401503</v>
      </c>
      <c r="F37" t="s">
        <v>68</v>
      </c>
      <c r="G37" s="1" t="s">
        <v>23</v>
      </c>
      <c r="H37">
        <v>102</v>
      </c>
      <c r="I37">
        <f t="shared" si="49"/>
        <v>33.524462864024599</v>
      </c>
      <c r="J37">
        <f t="shared" ref="J37" si="51">J35</f>
        <v>0.29546794313557556</v>
      </c>
      <c r="K37">
        <f>I8</f>
        <v>32.398773904638603</v>
      </c>
      <c r="L37">
        <f>I20</f>
        <v>14.365103767458633</v>
      </c>
      <c r="M37">
        <f t="shared" si="0"/>
        <v>1.1256889593859967</v>
      </c>
      <c r="N37">
        <f t="shared" si="1"/>
        <v>19.159359096565964</v>
      </c>
    </row>
    <row r="38" spans="1:14" x14ac:dyDescent="0.2">
      <c r="A38" t="s">
        <v>69</v>
      </c>
      <c r="B38" t="s">
        <v>129</v>
      </c>
      <c r="C38" t="s">
        <v>32</v>
      </c>
      <c r="D38">
        <v>29.887975303385598</v>
      </c>
      <c r="E38">
        <v>29.887975303385598</v>
      </c>
      <c r="F38" t="s">
        <v>69</v>
      </c>
      <c r="G38" s="4" t="s">
        <v>15</v>
      </c>
      <c r="H38">
        <v>100</v>
      </c>
      <c r="I38">
        <f t="shared" ref="I38" si="52">AVERAGE(D38:D40)</f>
        <v>29.7866511239212</v>
      </c>
      <c r="J38">
        <f t="shared" ref="J38" si="53">STDEV(D38:D40)</f>
        <v>0.4479866646941994</v>
      </c>
      <c r="K38">
        <f>I2</f>
        <v>30.462243389323167</v>
      </c>
      <c r="L38">
        <f>I14</f>
        <v>15.729346432802368</v>
      </c>
      <c r="M38">
        <f t="shared" si="0"/>
        <v>-0.67559226540196704</v>
      </c>
      <c r="N38">
        <f t="shared" si="1"/>
        <v>14.057304691118832</v>
      </c>
    </row>
    <row r="39" spans="1:14" x14ac:dyDescent="0.2">
      <c r="A39" t="s">
        <v>70</v>
      </c>
      <c r="B39" t="s">
        <v>129</v>
      </c>
      <c r="C39" t="s">
        <v>32</v>
      </c>
      <c r="D39">
        <v>30.1752977066913</v>
      </c>
      <c r="E39">
        <v>30.1752977066913</v>
      </c>
      <c r="F39" t="s">
        <v>70</v>
      </c>
      <c r="G39" s="4" t="s">
        <v>15</v>
      </c>
      <c r="H39">
        <v>100</v>
      </c>
      <c r="I39">
        <f t="shared" ref="I39" si="54">I38</f>
        <v>29.7866511239212</v>
      </c>
      <c r="J39">
        <f t="shared" ref="J39" si="55">J38</f>
        <v>0.4479866646941994</v>
      </c>
      <c r="K39">
        <f>I2</f>
        <v>30.462243389323167</v>
      </c>
      <c r="L39">
        <f>I14</f>
        <v>15.729346432802368</v>
      </c>
      <c r="M39">
        <f t="shared" si="0"/>
        <v>-0.67559226540196704</v>
      </c>
      <c r="N39">
        <f t="shared" si="1"/>
        <v>14.057304691118832</v>
      </c>
    </row>
    <row r="40" spans="1:14" x14ac:dyDescent="0.2">
      <c r="A40" t="s">
        <v>71</v>
      </c>
      <c r="B40" t="s">
        <v>129</v>
      </c>
      <c r="C40" t="s">
        <v>32</v>
      </c>
      <c r="D40">
        <v>29.2966803616867</v>
      </c>
      <c r="E40">
        <v>29.2966803616867</v>
      </c>
      <c r="F40" t="s">
        <v>71</v>
      </c>
      <c r="G40" s="4" t="s">
        <v>15</v>
      </c>
      <c r="H40">
        <v>100</v>
      </c>
      <c r="I40">
        <f t="shared" ref="I40:J40" si="56">I38</f>
        <v>29.7866511239212</v>
      </c>
      <c r="J40">
        <f t="shared" si="56"/>
        <v>0.4479866646941994</v>
      </c>
      <c r="K40">
        <f>I2</f>
        <v>30.462243389323167</v>
      </c>
      <c r="L40">
        <f>I14</f>
        <v>15.729346432802368</v>
      </c>
      <c r="M40">
        <f t="shared" si="0"/>
        <v>-0.67559226540196704</v>
      </c>
      <c r="N40">
        <f t="shared" si="1"/>
        <v>14.057304691118832</v>
      </c>
    </row>
    <row r="41" spans="1:14" x14ac:dyDescent="0.2">
      <c r="A41" t="s">
        <v>72</v>
      </c>
      <c r="B41" t="s">
        <v>129</v>
      </c>
      <c r="C41" t="s">
        <v>32</v>
      </c>
      <c r="D41">
        <v>30.144605575673101</v>
      </c>
      <c r="E41">
        <v>30.144605575673101</v>
      </c>
      <c r="F41" t="s">
        <v>72</v>
      </c>
      <c r="G41" s="1" t="s">
        <v>22</v>
      </c>
      <c r="H41">
        <v>100</v>
      </c>
      <c r="I41">
        <f t="shared" ref="I41" si="57">AVERAGE(D41:D43)</f>
        <v>30.45798389968035</v>
      </c>
      <c r="J41">
        <f t="shared" ref="J41" si="58">STDEV(D41:D43)</f>
        <v>0.44318387596480252</v>
      </c>
      <c r="K41">
        <f>I2</f>
        <v>30.462243389323167</v>
      </c>
      <c r="L41">
        <f>I14</f>
        <v>15.729346432802368</v>
      </c>
      <c r="M41">
        <f t="shared" si="0"/>
        <v>-4.2594896428163054E-3</v>
      </c>
      <c r="N41">
        <f t="shared" si="1"/>
        <v>14.728637466877982</v>
      </c>
    </row>
    <row r="42" spans="1:14" x14ac:dyDescent="0.2">
      <c r="A42" t="s">
        <v>73</v>
      </c>
      <c r="B42" t="s">
        <v>129</v>
      </c>
      <c r="C42" t="s">
        <v>32</v>
      </c>
      <c r="E42">
        <v>31.113791932077199</v>
      </c>
      <c r="F42" t="s">
        <v>73</v>
      </c>
      <c r="G42" s="1" t="s">
        <v>22</v>
      </c>
      <c r="H42">
        <v>100</v>
      </c>
      <c r="I42">
        <f t="shared" ref="I42:I43" si="59">I41</f>
        <v>30.45798389968035</v>
      </c>
      <c r="J42">
        <f t="shared" ref="J42" si="60">J41</f>
        <v>0.44318387596480252</v>
      </c>
      <c r="K42">
        <f>I2</f>
        <v>30.462243389323167</v>
      </c>
      <c r="L42">
        <f>I14</f>
        <v>15.729346432802368</v>
      </c>
      <c r="M42">
        <f t="shared" si="0"/>
        <v>-4.2594896428163054E-3</v>
      </c>
      <c r="N42">
        <f t="shared" si="1"/>
        <v>14.728637466877982</v>
      </c>
    </row>
    <row r="43" spans="1:14" x14ac:dyDescent="0.2">
      <c r="A43" t="s">
        <v>74</v>
      </c>
      <c r="B43" t="s">
        <v>129</v>
      </c>
      <c r="C43" t="s">
        <v>32</v>
      </c>
      <c r="D43">
        <v>30.7713622236876</v>
      </c>
      <c r="E43">
        <v>30.7713622236876</v>
      </c>
      <c r="F43" t="s">
        <v>74</v>
      </c>
      <c r="G43" s="1" t="s">
        <v>22</v>
      </c>
      <c r="H43">
        <v>100</v>
      </c>
      <c r="I43">
        <f t="shared" si="59"/>
        <v>30.45798389968035</v>
      </c>
      <c r="J43">
        <f t="shared" ref="J43" si="61">J41</f>
        <v>0.44318387596480252</v>
      </c>
      <c r="K43">
        <f>I2</f>
        <v>30.462243389323167</v>
      </c>
      <c r="L43">
        <f>I14</f>
        <v>15.729346432802368</v>
      </c>
      <c r="M43">
        <f t="shared" si="0"/>
        <v>-4.2594896428163054E-3</v>
      </c>
      <c r="N43">
        <f t="shared" si="1"/>
        <v>14.728637466877982</v>
      </c>
    </row>
    <row r="44" spans="1:14" x14ac:dyDescent="0.2">
      <c r="A44" t="s">
        <v>75</v>
      </c>
      <c r="B44" t="s">
        <v>129</v>
      </c>
      <c r="C44" t="s">
        <v>32</v>
      </c>
      <c r="D44">
        <v>34.515805029215898</v>
      </c>
      <c r="E44">
        <v>34.515805029215898</v>
      </c>
      <c r="F44" t="s">
        <v>75</v>
      </c>
      <c r="G44" s="4" t="s">
        <v>15</v>
      </c>
      <c r="H44">
        <v>102</v>
      </c>
      <c r="I44">
        <f t="shared" ref="I44" si="62">AVERAGE(D44:D46)</f>
        <v>34.434367066521098</v>
      </c>
      <c r="J44">
        <f t="shared" ref="J44" si="63">STDEV(D44:D46)</f>
        <v>0.11517067133501981</v>
      </c>
      <c r="K44">
        <f>I8</f>
        <v>32.398773904638603</v>
      </c>
      <c r="L44">
        <f>I20</f>
        <v>14.365103767458633</v>
      </c>
      <c r="M44">
        <f t="shared" si="0"/>
        <v>2.0355931618824954</v>
      </c>
      <c r="N44">
        <f t="shared" si="1"/>
        <v>20.069263299062463</v>
      </c>
    </row>
    <row r="45" spans="1:14" x14ac:dyDescent="0.2">
      <c r="A45" t="s">
        <v>76</v>
      </c>
      <c r="B45" t="s">
        <v>129</v>
      </c>
      <c r="C45" t="s">
        <v>32</v>
      </c>
      <c r="E45">
        <v>36.400042183399698</v>
      </c>
      <c r="F45" t="s">
        <v>76</v>
      </c>
      <c r="G45" s="4" t="s">
        <v>15</v>
      </c>
      <c r="H45">
        <v>102</v>
      </c>
      <c r="I45">
        <f t="shared" ref="I45" si="64">I44</f>
        <v>34.434367066521098</v>
      </c>
      <c r="J45">
        <f t="shared" ref="J45" si="65">J44</f>
        <v>0.11517067133501981</v>
      </c>
      <c r="K45">
        <f>I8</f>
        <v>32.398773904638603</v>
      </c>
      <c r="L45">
        <f>I20</f>
        <v>14.365103767458633</v>
      </c>
      <c r="M45">
        <f t="shared" si="0"/>
        <v>2.0355931618824954</v>
      </c>
      <c r="N45">
        <f t="shared" si="1"/>
        <v>20.069263299062463</v>
      </c>
    </row>
    <row r="46" spans="1:14" x14ac:dyDescent="0.2">
      <c r="A46" t="s">
        <v>77</v>
      </c>
      <c r="B46" t="s">
        <v>129</v>
      </c>
      <c r="C46" t="s">
        <v>32</v>
      </c>
      <c r="D46">
        <v>34.352929103826298</v>
      </c>
      <c r="E46">
        <v>34.352929103826298</v>
      </c>
      <c r="F46" t="s">
        <v>77</v>
      </c>
      <c r="G46" s="4" t="s">
        <v>15</v>
      </c>
      <c r="H46">
        <v>102</v>
      </c>
      <c r="I46">
        <f t="shared" ref="I46:J46" si="66">I44</f>
        <v>34.434367066521098</v>
      </c>
      <c r="J46">
        <f t="shared" si="66"/>
        <v>0.11517067133501981</v>
      </c>
      <c r="K46">
        <f>I8</f>
        <v>32.398773904638603</v>
      </c>
      <c r="L46">
        <f>I20</f>
        <v>14.365103767458633</v>
      </c>
      <c r="M46">
        <f t="shared" si="0"/>
        <v>2.0355931618824954</v>
      </c>
      <c r="N46">
        <f t="shared" si="1"/>
        <v>20.069263299062463</v>
      </c>
    </row>
    <row r="47" spans="1:14" x14ac:dyDescent="0.2">
      <c r="A47" t="s">
        <v>78</v>
      </c>
      <c r="B47" t="s">
        <v>129</v>
      </c>
      <c r="C47" t="s">
        <v>32</v>
      </c>
      <c r="D47" t="s">
        <v>33</v>
      </c>
      <c r="E47" t="s">
        <v>33</v>
      </c>
      <c r="F47" t="s">
        <v>78</v>
      </c>
      <c r="G47" s="1" t="s">
        <v>22</v>
      </c>
      <c r="H47">
        <v>102</v>
      </c>
      <c r="I47">
        <f t="shared" ref="I47" si="67">AVERAGE(D47:D49)</f>
        <v>39.7813704715334</v>
      </c>
      <c r="J47" t="e">
        <f t="shared" ref="J47" si="68">STDEV(D47:D49)</f>
        <v>#DIV/0!</v>
      </c>
      <c r="K47">
        <f>I8</f>
        <v>32.398773904638603</v>
      </c>
      <c r="L47">
        <f>I20</f>
        <v>14.365103767458633</v>
      </c>
      <c r="M47">
        <f t="shared" si="0"/>
        <v>7.3825965668947973</v>
      </c>
      <c r="N47">
        <f t="shared" si="1"/>
        <v>25.416266704074765</v>
      </c>
    </row>
    <row r="48" spans="1:14" x14ac:dyDescent="0.2">
      <c r="A48" t="s">
        <v>79</v>
      </c>
      <c r="B48" t="s">
        <v>129</v>
      </c>
      <c r="C48" t="s">
        <v>32</v>
      </c>
      <c r="D48">
        <v>39.7813704715334</v>
      </c>
      <c r="E48">
        <v>39.7813704715334</v>
      </c>
      <c r="F48" t="s">
        <v>79</v>
      </c>
      <c r="G48" s="1" t="s">
        <v>22</v>
      </c>
      <c r="H48">
        <v>102</v>
      </c>
      <c r="I48">
        <f t="shared" ref="I48:I49" si="69">I47</f>
        <v>39.7813704715334</v>
      </c>
      <c r="J48" t="e">
        <f t="shared" ref="J48" si="70">J47</f>
        <v>#DIV/0!</v>
      </c>
      <c r="K48">
        <f>I8</f>
        <v>32.398773904638603</v>
      </c>
      <c r="L48">
        <f>I20</f>
        <v>14.365103767458633</v>
      </c>
      <c r="M48">
        <f t="shared" si="0"/>
        <v>7.3825965668947973</v>
      </c>
      <c r="N48">
        <f t="shared" si="1"/>
        <v>25.416266704074765</v>
      </c>
    </row>
    <row r="49" spans="1:14" x14ac:dyDescent="0.2">
      <c r="A49" t="s">
        <v>80</v>
      </c>
      <c r="B49" t="s">
        <v>129</v>
      </c>
      <c r="C49" t="s">
        <v>32</v>
      </c>
      <c r="D49" t="s">
        <v>33</v>
      </c>
      <c r="E49" t="s">
        <v>33</v>
      </c>
      <c r="F49" t="s">
        <v>80</v>
      </c>
      <c r="G49" s="1" t="s">
        <v>22</v>
      </c>
      <c r="H49">
        <v>102</v>
      </c>
      <c r="I49">
        <f t="shared" si="69"/>
        <v>39.7813704715334</v>
      </c>
      <c r="J49" t="e">
        <f t="shared" ref="J49" si="71">J47</f>
        <v>#DIV/0!</v>
      </c>
      <c r="K49">
        <f>I8</f>
        <v>32.398773904638603</v>
      </c>
      <c r="L49">
        <f>I20</f>
        <v>14.365103767458633</v>
      </c>
      <c r="M49">
        <f t="shared" si="0"/>
        <v>7.3825965668947973</v>
      </c>
      <c r="N49">
        <f t="shared" si="1"/>
        <v>25.416266704074765</v>
      </c>
    </row>
    <row r="50" spans="1:14" x14ac:dyDescent="0.2">
      <c r="A50" t="s">
        <v>81</v>
      </c>
      <c r="B50" t="s">
        <v>129</v>
      </c>
      <c r="C50" t="s">
        <v>32</v>
      </c>
      <c r="D50">
        <v>29.445398544589001</v>
      </c>
      <c r="E50">
        <v>29.445398544589001</v>
      </c>
      <c r="F50" t="s">
        <v>81</v>
      </c>
      <c r="G50" s="4" t="s">
        <v>16</v>
      </c>
      <c r="H50">
        <v>100</v>
      </c>
      <c r="I50">
        <f t="shared" ref="I50" si="72">AVERAGE(D50:D52)</f>
        <v>29.363288189725967</v>
      </c>
      <c r="J50">
        <f t="shared" ref="J50" si="73">STDEV(D50:D52)</f>
        <v>0.26725573942471503</v>
      </c>
      <c r="K50">
        <f>I2</f>
        <v>30.462243389323167</v>
      </c>
      <c r="L50">
        <f>I14</f>
        <v>15.729346432802368</v>
      </c>
      <c r="M50">
        <f t="shared" si="0"/>
        <v>-1.0989551995971993</v>
      </c>
      <c r="N50">
        <f t="shared" si="1"/>
        <v>13.633941756923599</v>
      </c>
    </row>
    <row r="51" spans="1:14" x14ac:dyDescent="0.2">
      <c r="A51" t="s">
        <v>82</v>
      </c>
      <c r="B51" t="s">
        <v>129</v>
      </c>
      <c r="C51" t="s">
        <v>32</v>
      </c>
      <c r="D51">
        <v>29.064611104309801</v>
      </c>
      <c r="E51">
        <v>29.064611104309801</v>
      </c>
      <c r="F51" t="s">
        <v>82</v>
      </c>
      <c r="G51" s="4" t="s">
        <v>16</v>
      </c>
      <c r="H51">
        <v>100</v>
      </c>
      <c r="I51">
        <f t="shared" ref="I51" si="74">I50</f>
        <v>29.363288189725967</v>
      </c>
      <c r="J51">
        <f t="shared" ref="J51" si="75">J50</f>
        <v>0.26725573942471503</v>
      </c>
      <c r="K51">
        <f>I2</f>
        <v>30.462243389323167</v>
      </c>
      <c r="L51">
        <f>I14</f>
        <v>15.729346432802368</v>
      </c>
      <c r="M51">
        <f t="shared" si="0"/>
        <v>-1.0989551995971993</v>
      </c>
      <c r="N51">
        <f t="shared" si="1"/>
        <v>13.633941756923599</v>
      </c>
    </row>
    <row r="52" spans="1:14" x14ac:dyDescent="0.2">
      <c r="A52" t="s">
        <v>83</v>
      </c>
      <c r="B52" t="s">
        <v>129</v>
      </c>
      <c r="C52" t="s">
        <v>32</v>
      </c>
      <c r="D52">
        <v>29.5798549202791</v>
      </c>
      <c r="E52">
        <v>29.5798549202791</v>
      </c>
      <c r="F52" t="s">
        <v>83</v>
      </c>
      <c r="G52" s="4" t="s">
        <v>16</v>
      </c>
      <c r="H52">
        <v>100</v>
      </c>
      <c r="I52">
        <f t="shared" ref="I52:J52" si="76">I50</f>
        <v>29.363288189725967</v>
      </c>
      <c r="J52">
        <f t="shared" si="76"/>
        <v>0.26725573942471503</v>
      </c>
      <c r="K52">
        <f>I2</f>
        <v>30.462243389323167</v>
      </c>
      <c r="L52">
        <f>I14</f>
        <v>15.729346432802368</v>
      </c>
      <c r="M52">
        <f t="shared" si="0"/>
        <v>-1.0989551995971993</v>
      </c>
      <c r="N52">
        <f t="shared" si="1"/>
        <v>13.633941756923599</v>
      </c>
    </row>
    <row r="53" spans="1:14" x14ac:dyDescent="0.2">
      <c r="A53" t="s">
        <v>84</v>
      </c>
      <c r="B53" t="s">
        <v>129</v>
      </c>
      <c r="C53" t="s">
        <v>32</v>
      </c>
      <c r="D53">
        <v>29.1738711534957</v>
      </c>
      <c r="E53">
        <v>29.1738711534957</v>
      </c>
      <c r="F53" t="s">
        <v>84</v>
      </c>
      <c r="G53" s="1" t="s">
        <v>24</v>
      </c>
      <c r="H53">
        <v>100</v>
      </c>
      <c r="I53">
        <f t="shared" ref="I53" si="77">AVERAGE(D53:D55)</f>
        <v>29.572749931639169</v>
      </c>
      <c r="J53">
        <f t="shared" ref="J53" si="78">STDEV(D53:D55)</f>
        <v>0.34635117604586418</v>
      </c>
      <c r="K53">
        <f>I2</f>
        <v>30.462243389323167</v>
      </c>
      <c r="L53">
        <f>I14</f>
        <v>15.729346432802368</v>
      </c>
      <c r="M53">
        <f t="shared" si="0"/>
        <v>-0.88949345768399724</v>
      </c>
      <c r="N53">
        <f t="shared" si="1"/>
        <v>13.843403498836802</v>
      </c>
    </row>
    <row r="54" spans="1:14" x14ac:dyDescent="0.2">
      <c r="A54" t="s">
        <v>85</v>
      </c>
      <c r="B54" t="s">
        <v>129</v>
      </c>
      <c r="C54" t="s">
        <v>32</v>
      </c>
      <c r="D54">
        <v>29.797307589131201</v>
      </c>
      <c r="E54">
        <v>29.797307589131201</v>
      </c>
      <c r="F54" t="s">
        <v>85</v>
      </c>
      <c r="G54" s="1" t="s">
        <v>24</v>
      </c>
      <c r="H54">
        <v>100</v>
      </c>
      <c r="I54">
        <f t="shared" ref="I54:I55" si="79">I53</f>
        <v>29.572749931639169</v>
      </c>
      <c r="J54">
        <f t="shared" ref="J54" si="80">J53</f>
        <v>0.34635117604586418</v>
      </c>
      <c r="K54">
        <f>I2</f>
        <v>30.462243389323167</v>
      </c>
      <c r="L54">
        <f>I14</f>
        <v>15.729346432802368</v>
      </c>
      <c r="M54">
        <f t="shared" si="0"/>
        <v>-0.88949345768399724</v>
      </c>
      <c r="N54">
        <f t="shared" si="1"/>
        <v>13.843403498836802</v>
      </c>
    </row>
    <row r="55" spans="1:14" x14ac:dyDescent="0.2">
      <c r="A55" t="s">
        <v>86</v>
      </c>
      <c r="B55" t="s">
        <v>129</v>
      </c>
      <c r="C55" t="s">
        <v>32</v>
      </c>
      <c r="D55">
        <v>29.7470710522906</v>
      </c>
      <c r="E55">
        <v>29.7470710522906</v>
      </c>
      <c r="F55" t="s">
        <v>86</v>
      </c>
      <c r="G55" s="1" t="s">
        <v>24</v>
      </c>
      <c r="H55">
        <v>100</v>
      </c>
      <c r="I55">
        <f t="shared" si="79"/>
        <v>29.572749931639169</v>
      </c>
      <c r="J55">
        <f t="shared" ref="J55" si="81">J53</f>
        <v>0.34635117604586418</v>
      </c>
      <c r="K55">
        <f>I2</f>
        <v>30.462243389323167</v>
      </c>
      <c r="L55">
        <f>I14</f>
        <v>15.729346432802368</v>
      </c>
      <c r="M55">
        <f t="shared" si="0"/>
        <v>-0.88949345768399724</v>
      </c>
      <c r="N55">
        <f t="shared" si="1"/>
        <v>13.843403498836802</v>
      </c>
    </row>
    <row r="56" spans="1:14" x14ac:dyDescent="0.2">
      <c r="A56" t="s">
        <v>87</v>
      </c>
      <c r="B56" t="s">
        <v>129</v>
      </c>
      <c r="C56" t="s">
        <v>32</v>
      </c>
      <c r="D56">
        <v>32.074960122716298</v>
      </c>
      <c r="E56">
        <v>32.074960122716298</v>
      </c>
      <c r="F56" t="s">
        <v>87</v>
      </c>
      <c r="G56" s="4" t="s">
        <v>16</v>
      </c>
      <c r="H56">
        <v>102</v>
      </c>
      <c r="I56">
        <f t="shared" ref="I56" si="82">AVERAGE(D56:D58)</f>
        <v>32.127081967807932</v>
      </c>
      <c r="J56">
        <f t="shared" ref="J56" si="83">STDEV(D56:D58)</f>
        <v>0.23628893731753828</v>
      </c>
      <c r="K56">
        <f>I8</f>
        <v>32.398773904638603</v>
      </c>
      <c r="L56">
        <f>I20</f>
        <v>14.365103767458633</v>
      </c>
      <c r="M56">
        <f t="shared" si="0"/>
        <v>-0.2716919368306705</v>
      </c>
      <c r="N56">
        <f t="shared" si="1"/>
        <v>17.761978200349297</v>
      </c>
    </row>
    <row r="57" spans="1:14" x14ac:dyDescent="0.2">
      <c r="A57" t="s">
        <v>88</v>
      </c>
      <c r="B57" t="s">
        <v>129</v>
      </c>
      <c r="C57" t="s">
        <v>32</v>
      </c>
      <c r="D57">
        <v>32.385080267347703</v>
      </c>
      <c r="E57">
        <v>32.385080267347703</v>
      </c>
      <c r="F57" t="s">
        <v>88</v>
      </c>
      <c r="G57" s="4" t="s">
        <v>16</v>
      </c>
      <c r="H57">
        <v>102</v>
      </c>
      <c r="I57">
        <f t="shared" ref="I57" si="84">I56</f>
        <v>32.127081967807932</v>
      </c>
      <c r="J57">
        <f t="shared" ref="J57" si="85">J56</f>
        <v>0.23628893731753828</v>
      </c>
      <c r="K57">
        <f>I8</f>
        <v>32.398773904638603</v>
      </c>
      <c r="L57">
        <f>I20</f>
        <v>14.365103767458633</v>
      </c>
      <c r="M57">
        <f t="shared" si="0"/>
        <v>-0.2716919368306705</v>
      </c>
      <c r="N57">
        <f t="shared" si="1"/>
        <v>17.761978200349297</v>
      </c>
    </row>
    <row r="58" spans="1:14" x14ac:dyDescent="0.2">
      <c r="A58" t="s">
        <v>89</v>
      </c>
      <c r="B58" t="s">
        <v>129</v>
      </c>
      <c r="C58" t="s">
        <v>32</v>
      </c>
      <c r="D58">
        <v>31.921205513359801</v>
      </c>
      <c r="E58">
        <v>31.921205513359801</v>
      </c>
      <c r="F58" t="s">
        <v>89</v>
      </c>
      <c r="G58" s="4" t="s">
        <v>16</v>
      </c>
      <c r="H58">
        <v>102</v>
      </c>
      <c r="I58">
        <f t="shared" ref="I58:J58" si="86">I56</f>
        <v>32.127081967807932</v>
      </c>
      <c r="J58">
        <f t="shared" si="86"/>
        <v>0.23628893731753828</v>
      </c>
      <c r="K58">
        <f>I8</f>
        <v>32.398773904638603</v>
      </c>
      <c r="L58">
        <f>I20</f>
        <v>14.365103767458633</v>
      </c>
      <c r="M58">
        <f t="shared" si="0"/>
        <v>-0.2716919368306705</v>
      </c>
      <c r="N58">
        <f t="shared" si="1"/>
        <v>17.761978200349297</v>
      </c>
    </row>
    <row r="59" spans="1:14" x14ac:dyDescent="0.2">
      <c r="A59" t="s">
        <v>90</v>
      </c>
      <c r="B59" t="s">
        <v>129</v>
      </c>
      <c r="C59" t="s">
        <v>32</v>
      </c>
      <c r="E59">
        <v>36.520763383624598</v>
      </c>
      <c r="F59" t="s">
        <v>90</v>
      </c>
      <c r="G59" s="1" t="s">
        <v>24</v>
      </c>
      <c r="H59">
        <v>102</v>
      </c>
      <c r="I59" t="e">
        <f t="shared" ref="I59" si="87">AVERAGE(D59:D61)</f>
        <v>#DIV/0!</v>
      </c>
      <c r="J59" t="e">
        <f t="shared" ref="J59" si="88">STDEV(D59:D61)</f>
        <v>#DIV/0!</v>
      </c>
      <c r="K59">
        <f>I8</f>
        <v>32.398773904638603</v>
      </c>
      <c r="L59">
        <f>I20</f>
        <v>14.365103767458633</v>
      </c>
      <c r="M59" t="e">
        <f t="shared" si="0"/>
        <v>#DIV/0!</v>
      </c>
      <c r="N59" t="e">
        <f t="shared" si="1"/>
        <v>#DIV/0!</v>
      </c>
    </row>
    <row r="60" spans="1:14" x14ac:dyDescent="0.2">
      <c r="A60" t="s">
        <v>91</v>
      </c>
      <c r="B60" t="s">
        <v>129</v>
      </c>
      <c r="C60" t="s">
        <v>32</v>
      </c>
      <c r="E60">
        <v>33.124705280346497</v>
      </c>
      <c r="F60" t="s">
        <v>91</v>
      </c>
      <c r="G60" s="1" t="s">
        <v>24</v>
      </c>
      <c r="H60">
        <v>102</v>
      </c>
      <c r="I60" t="e">
        <f t="shared" ref="I60:I61" si="89">I59</f>
        <v>#DIV/0!</v>
      </c>
      <c r="J60" t="e">
        <f t="shared" ref="J60" si="90">J59</f>
        <v>#DIV/0!</v>
      </c>
      <c r="K60">
        <f>I8</f>
        <v>32.398773904638603</v>
      </c>
      <c r="L60">
        <f>I20</f>
        <v>14.365103767458633</v>
      </c>
      <c r="M60" t="e">
        <f t="shared" si="0"/>
        <v>#DIV/0!</v>
      </c>
      <c r="N60" t="e">
        <f t="shared" si="1"/>
        <v>#DIV/0!</v>
      </c>
    </row>
    <row r="61" spans="1:14" x14ac:dyDescent="0.2">
      <c r="A61" t="s">
        <v>92</v>
      </c>
      <c r="B61" t="s">
        <v>129</v>
      </c>
      <c r="C61" t="s">
        <v>32</v>
      </c>
      <c r="E61">
        <v>35.023926574254098</v>
      </c>
      <c r="F61" t="s">
        <v>92</v>
      </c>
      <c r="G61" s="1" t="s">
        <v>24</v>
      </c>
      <c r="H61">
        <v>102</v>
      </c>
      <c r="I61" t="e">
        <f t="shared" si="89"/>
        <v>#DIV/0!</v>
      </c>
      <c r="J61" t="e">
        <f t="shared" ref="J61" si="91">J59</f>
        <v>#DIV/0!</v>
      </c>
      <c r="K61">
        <f>I8</f>
        <v>32.398773904638603</v>
      </c>
      <c r="L61">
        <f>I20</f>
        <v>14.365103767458633</v>
      </c>
      <c r="M61" t="e">
        <f t="shared" si="0"/>
        <v>#DIV/0!</v>
      </c>
      <c r="N61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E62">
        <v>30.618450425045001</v>
      </c>
      <c r="F62" t="s">
        <v>93</v>
      </c>
      <c r="G62" s="4" t="s">
        <v>17</v>
      </c>
      <c r="H62">
        <v>100</v>
      </c>
      <c r="I62">
        <f t="shared" ref="I62" si="92">AVERAGE(D62:D64)</f>
        <v>29.6484287651123</v>
      </c>
      <c r="J62">
        <f t="shared" ref="J62" si="93">STDEV(D62:D64)</f>
        <v>0.39187632944916612</v>
      </c>
      <c r="K62">
        <f>I2</f>
        <v>30.462243389323167</v>
      </c>
      <c r="L62">
        <f>I14</f>
        <v>15.729346432802368</v>
      </c>
      <c r="M62">
        <f t="shared" si="0"/>
        <v>-0.81381462421086681</v>
      </c>
      <c r="N62">
        <f t="shared" si="1"/>
        <v>13.919082332309932</v>
      </c>
    </row>
    <row r="63" spans="1:14" x14ac:dyDescent="0.2">
      <c r="A63" t="s">
        <v>94</v>
      </c>
      <c r="B63" t="s">
        <v>129</v>
      </c>
      <c r="C63" t="s">
        <v>32</v>
      </c>
      <c r="D63">
        <v>29.925527175052299</v>
      </c>
      <c r="E63">
        <v>29.925527175052299</v>
      </c>
      <c r="F63" t="s">
        <v>94</v>
      </c>
      <c r="G63" s="4" t="s">
        <v>17</v>
      </c>
      <c r="H63">
        <v>100</v>
      </c>
      <c r="I63">
        <f t="shared" ref="I63" si="94">I62</f>
        <v>29.6484287651123</v>
      </c>
      <c r="J63">
        <f t="shared" ref="J63" si="95">J62</f>
        <v>0.39187632944916612</v>
      </c>
      <c r="K63">
        <f>I2</f>
        <v>30.462243389323167</v>
      </c>
      <c r="L63">
        <f>I14</f>
        <v>15.729346432802368</v>
      </c>
      <c r="M63">
        <f t="shared" si="0"/>
        <v>-0.81381462421086681</v>
      </c>
      <c r="N63">
        <f t="shared" si="1"/>
        <v>13.919082332309932</v>
      </c>
    </row>
    <row r="64" spans="1:14" x14ac:dyDescent="0.2">
      <c r="A64" t="s">
        <v>95</v>
      </c>
      <c r="B64" t="s">
        <v>129</v>
      </c>
      <c r="C64" t="s">
        <v>32</v>
      </c>
      <c r="D64">
        <v>29.371330355172301</v>
      </c>
      <c r="E64">
        <v>29.371330355172301</v>
      </c>
      <c r="F64" t="s">
        <v>95</v>
      </c>
      <c r="G64" s="4" t="s">
        <v>17</v>
      </c>
      <c r="H64">
        <v>100</v>
      </c>
      <c r="I64">
        <f t="shared" ref="I64:J64" si="96">I62</f>
        <v>29.6484287651123</v>
      </c>
      <c r="J64">
        <f t="shared" si="96"/>
        <v>0.39187632944916612</v>
      </c>
      <c r="K64">
        <f>I2</f>
        <v>30.462243389323167</v>
      </c>
      <c r="L64">
        <f>I14</f>
        <v>15.729346432802368</v>
      </c>
      <c r="M64">
        <f t="shared" si="0"/>
        <v>-0.81381462421086681</v>
      </c>
      <c r="N64">
        <f t="shared" si="1"/>
        <v>13.919082332309932</v>
      </c>
    </row>
    <row r="65" spans="1:14" x14ac:dyDescent="0.2">
      <c r="A65" t="s">
        <v>96</v>
      </c>
      <c r="B65" t="s">
        <v>129</v>
      </c>
      <c r="C65" t="s">
        <v>32</v>
      </c>
      <c r="D65">
        <v>30.0564847690809</v>
      </c>
      <c r="E65">
        <v>30.0564847690809</v>
      </c>
      <c r="F65" t="s">
        <v>96</v>
      </c>
      <c r="G65" s="1" t="s">
        <v>25</v>
      </c>
      <c r="H65">
        <v>100</v>
      </c>
      <c r="I65">
        <f t="shared" ref="I65" si="97">AVERAGE(D65:D67)</f>
        <v>30.094855276989296</v>
      </c>
      <c r="J65">
        <f t="shared" ref="J65" si="98">STDEV(D65:D67)</f>
        <v>5.0109819232616801E-2</v>
      </c>
      <c r="K65">
        <f>I2</f>
        <v>30.462243389323167</v>
      </c>
      <c r="L65">
        <f>I14</f>
        <v>15.729346432802368</v>
      </c>
      <c r="M65">
        <f t="shared" si="0"/>
        <v>-0.36738811233387025</v>
      </c>
      <c r="N65">
        <f t="shared" si="1"/>
        <v>14.365508844186929</v>
      </c>
    </row>
    <row r="66" spans="1:14" x14ac:dyDescent="0.2">
      <c r="A66" t="s">
        <v>97</v>
      </c>
      <c r="B66" t="s">
        <v>129</v>
      </c>
      <c r="C66" t="s">
        <v>32</v>
      </c>
      <c r="D66">
        <v>30.151547491306399</v>
      </c>
      <c r="E66">
        <v>30.151547491306399</v>
      </c>
      <c r="F66" t="s">
        <v>97</v>
      </c>
      <c r="G66" s="1" t="s">
        <v>25</v>
      </c>
      <c r="H66">
        <v>100</v>
      </c>
      <c r="I66">
        <f t="shared" ref="I66:I67" si="99">I65</f>
        <v>30.094855276989296</v>
      </c>
      <c r="J66">
        <f t="shared" ref="J66" si="100">J65</f>
        <v>5.0109819232616801E-2</v>
      </c>
      <c r="K66">
        <f>I2</f>
        <v>30.462243389323167</v>
      </c>
      <c r="L66">
        <f>I14</f>
        <v>15.729346432802368</v>
      </c>
      <c r="M66">
        <f t="shared" si="0"/>
        <v>-0.36738811233387025</v>
      </c>
      <c r="N66">
        <f t="shared" si="1"/>
        <v>14.365508844186929</v>
      </c>
    </row>
    <row r="67" spans="1:14" x14ac:dyDescent="0.2">
      <c r="A67" t="s">
        <v>98</v>
      </c>
      <c r="B67" t="s">
        <v>129</v>
      </c>
      <c r="C67" t="s">
        <v>32</v>
      </c>
      <c r="D67">
        <v>30.076533570580601</v>
      </c>
      <c r="E67">
        <v>30.076533570580601</v>
      </c>
      <c r="F67" t="s">
        <v>98</v>
      </c>
      <c r="G67" s="1" t="s">
        <v>25</v>
      </c>
      <c r="H67">
        <v>100</v>
      </c>
      <c r="I67">
        <f t="shared" si="99"/>
        <v>30.094855276989296</v>
      </c>
      <c r="J67">
        <f t="shared" ref="J67" si="101">J65</f>
        <v>5.0109819232616801E-2</v>
      </c>
      <c r="K67">
        <f>I2</f>
        <v>30.462243389323167</v>
      </c>
      <c r="L67">
        <f>I14</f>
        <v>15.729346432802368</v>
      </c>
      <c r="M67">
        <f t="shared" ref="M67:M97" si="102">I67-K67</f>
        <v>-0.36738811233387025</v>
      </c>
      <c r="N67">
        <f t="shared" ref="N67:N97" si="103">I67-L67</f>
        <v>14.365508844186929</v>
      </c>
    </row>
    <row r="68" spans="1:14" x14ac:dyDescent="0.2">
      <c r="A68" t="s">
        <v>99</v>
      </c>
      <c r="B68" t="s">
        <v>129</v>
      </c>
      <c r="C68" t="s">
        <v>32</v>
      </c>
      <c r="D68">
        <v>31.1894594375864</v>
      </c>
      <c r="E68">
        <v>31.1894594375864</v>
      </c>
      <c r="F68" t="s">
        <v>99</v>
      </c>
      <c r="G68" s="4" t="s">
        <v>17</v>
      </c>
      <c r="H68">
        <v>102</v>
      </c>
      <c r="I68">
        <f t="shared" ref="I68" si="104">AVERAGE(D68:D70)</f>
        <v>31.303758416478001</v>
      </c>
      <c r="J68">
        <f t="shared" ref="J68" si="105">STDEV(D68:D70)</f>
        <v>0.13032988059289199</v>
      </c>
      <c r="K68">
        <f>I8</f>
        <v>32.398773904638603</v>
      </c>
      <c r="L68">
        <f>I20</f>
        <v>14.365103767458633</v>
      </c>
      <c r="M68">
        <f t="shared" si="102"/>
        <v>-1.0950154881606018</v>
      </c>
      <c r="N68">
        <f t="shared" si="103"/>
        <v>16.938654649019369</v>
      </c>
    </row>
    <row r="69" spans="1:14" x14ac:dyDescent="0.2">
      <c r="A69" t="s">
        <v>100</v>
      </c>
      <c r="B69" t="s">
        <v>129</v>
      </c>
      <c r="C69" t="s">
        <v>32</v>
      </c>
      <c r="D69">
        <v>31.276127688044799</v>
      </c>
      <c r="E69">
        <v>31.276127688044799</v>
      </c>
      <c r="F69" t="s">
        <v>100</v>
      </c>
      <c r="G69" s="4" t="s">
        <v>17</v>
      </c>
      <c r="H69">
        <v>102</v>
      </c>
      <c r="I69">
        <f t="shared" ref="I69" si="106">I68</f>
        <v>31.303758416478001</v>
      </c>
      <c r="J69">
        <f t="shared" ref="J69" si="107">J68</f>
        <v>0.13032988059289199</v>
      </c>
      <c r="K69">
        <f>I8</f>
        <v>32.398773904638603</v>
      </c>
      <c r="L69">
        <f>I20</f>
        <v>14.365103767458633</v>
      </c>
      <c r="M69">
        <f t="shared" si="102"/>
        <v>-1.0950154881606018</v>
      </c>
      <c r="N69">
        <f t="shared" si="103"/>
        <v>16.938654649019369</v>
      </c>
    </row>
    <row r="70" spans="1:14" x14ac:dyDescent="0.2">
      <c r="A70" t="s">
        <v>101</v>
      </c>
      <c r="B70" t="s">
        <v>129</v>
      </c>
      <c r="C70" t="s">
        <v>32</v>
      </c>
      <c r="D70">
        <v>31.4456881238028</v>
      </c>
      <c r="E70">
        <v>31.4456881238028</v>
      </c>
      <c r="F70" t="s">
        <v>101</v>
      </c>
      <c r="G70" s="4" t="s">
        <v>17</v>
      </c>
      <c r="H70">
        <v>102</v>
      </c>
      <c r="I70">
        <f t="shared" ref="I70:J70" si="108">I68</f>
        <v>31.303758416478001</v>
      </c>
      <c r="J70">
        <f t="shared" si="108"/>
        <v>0.13032988059289199</v>
      </c>
      <c r="K70">
        <f>I8</f>
        <v>32.398773904638603</v>
      </c>
      <c r="L70">
        <f>I20</f>
        <v>14.365103767458633</v>
      </c>
      <c r="M70">
        <f t="shared" si="102"/>
        <v>-1.0950154881606018</v>
      </c>
      <c r="N70">
        <f t="shared" si="103"/>
        <v>16.938654649019369</v>
      </c>
    </row>
    <row r="71" spans="1:14" x14ac:dyDescent="0.2">
      <c r="A71" t="s">
        <v>102</v>
      </c>
      <c r="B71" t="s">
        <v>129</v>
      </c>
      <c r="C71" t="s">
        <v>32</v>
      </c>
      <c r="D71">
        <v>31.946427508728799</v>
      </c>
      <c r="E71">
        <v>31.946427508728799</v>
      </c>
      <c r="F71" t="s">
        <v>102</v>
      </c>
      <c r="G71" s="1" t="s">
        <v>25</v>
      </c>
      <c r="H71">
        <v>102</v>
      </c>
      <c r="I71">
        <f t="shared" ref="I71" si="109">AVERAGE(D71:D73)</f>
        <v>32.095061331620649</v>
      </c>
      <c r="J71">
        <f t="shared" ref="J71" si="110">STDEV(D71:D73)</f>
        <v>0.21019996816101613</v>
      </c>
      <c r="K71">
        <f>I8</f>
        <v>32.398773904638603</v>
      </c>
      <c r="L71">
        <f>I20</f>
        <v>14.365103767458633</v>
      </c>
      <c r="M71">
        <f t="shared" si="102"/>
        <v>-0.30371257301795396</v>
      </c>
      <c r="N71">
        <f t="shared" si="103"/>
        <v>17.729957564162014</v>
      </c>
    </row>
    <row r="72" spans="1:14" x14ac:dyDescent="0.2">
      <c r="A72" t="s">
        <v>103</v>
      </c>
      <c r="B72" t="s">
        <v>129</v>
      </c>
      <c r="C72" t="s">
        <v>32</v>
      </c>
      <c r="E72">
        <v>32.929252698106303</v>
      </c>
      <c r="F72" t="s">
        <v>103</v>
      </c>
      <c r="G72" s="1" t="s">
        <v>25</v>
      </c>
      <c r="H72">
        <v>102</v>
      </c>
      <c r="I72">
        <f t="shared" ref="I72:I73" si="111">I71</f>
        <v>32.095061331620649</v>
      </c>
      <c r="J72">
        <f t="shared" ref="J72" si="112">J71</f>
        <v>0.21019996816101613</v>
      </c>
      <c r="K72">
        <f>I8</f>
        <v>32.398773904638603</v>
      </c>
      <c r="L72">
        <f>I20</f>
        <v>14.365103767458633</v>
      </c>
      <c r="M72">
        <f t="shared" si="102"/>
        <v>-0.30371257301795396</v>
      </c>
      <c r="N72">
        <f t="shared" si="103"/>
        <v>17.729957564162014</v>
      </c>
    </row>
    <row r="73" spans="1:14" x14ac:dyDescent="0.2">
      <c r="A73" t="s">
        <v>104</v>
      </c>
      <c r="B73" t="s">
        <v>129</v>
      </c>
      <c r="C73" t="s">
        <v>32</v>
      </c>
      <c r="D73">
        <v>32.243695154512501</v>
      </c>
      <c r="E73">
        <v>32.243695154512501</v>
      </c>
      <c r="F73" t="s">
        <v>104</v>
      </c>
      <c r="G73" s="1" t="s">
        <v>25</v>
      </c>
      <c r="H73">
        <v>102</v>
      </c>
      <c r="I73">
        <f t="shared" si="111"/>
        <v>32.095061331620649</v>
      </c>
      <c r="J73">
        <f t="shared" ref="J73" si="113">J71</f>
        <v>0.21019996816101613</v>
      </c>
      <c r="K73">
        <f>I8</f>
        <v>32.398773904638603</v>
      </c>
      <c r="L73">
        <f>I20</f>
        <v>14.365103767458633</v>
      </c>
      <c r="M73">
        <f t="shared" si="102"/>
        <v>-0.30371257301795396</v>
      </c>
      <c r="N73">
        <f t="shared" si="103"/>
        <v>17.729957564162014</v>
      </c>
    </row>
    <row r="74" spans="1:14" x14ac:dyDescent="0.2">
      <c r="A74" t="s">
        <v>105</v>
      </c>
      <c r="B74" t="s">
        <v>129</v>
      </c>
      <c r="C74" t="s">
        <v>32</v>
      </c>
      <c r="E74">
        <v>30.9111109813825</v>
      </c>
      <c r="F74" t="s">
        <v>105</v>
      </c>
      <c r="G74" s="4" t="s">
        <v>18</v>
      </c>
      <c r="H74">
        <v>100</v>
      </c>
      <c r="I74">
        <f t="shared" ref="I74" si="114">AVERAGE(D74:D76)</f>
        <v>30.2184928279808</v>
      </c>
      <c r="J74">
        <f>STDEV(D74:D76)</f>
        <v>0.29233937797630355</v>
      </c>
      <c r="K74">
        <f>I2</f>
        <v>30.462243389323167</v>
      </c>
      <c r="L74">
        <f>I14</f>
        <v>15.729346432802368</v>
      </c>
      <c r="M74">
        <f t="shared" si="102"/>
        <v>-0.24375056134236672</v>
      </c>
      <c r="N74">
        <f t="shared" si="103"/>
        <v>14.489146395178432</v>
      </c>
    </row>
    <row r="75" spans="1:14" x14ac:dyDescent="0.2">
      <c r="A75" t="s">
        <v>106</v>
      </c>
      <c r="B75" t="s">
        <v>129</v>
      </c>
      <c r="C75" t="s">
        <v>32</v>
      </c>
      <c r="D75">
        <v>30.425207984555701</v>
      </c>
      <c r="E75">
        <v>30.425207984555701</v>
      </c>
      <c r="F75" t="s">
        <v>106</v>
      </c>
      <c r="G75" s="4" t="s">
        <v>18</v>
      </c>
      <c r="H75">
        <v>100</v>
      </c>
      <c r="I75">
        <f t="shared" ref="I75" si="115">I74</f>
        <v>30.2184928279808</v>
      </c>
      <c r="J75">
        <f t="shared" ref="J75" si="116">J74</f>
        <v>0.29233937797630355</v>
      </c>
      <c r="K75">
        <f>I2</f>
        <v>30.462243389323167</v>
      </c>
      <c r="L75">
        <f>I14</f>
        <v>15.729346432802368</v>
      </c>
      <c r="M75">
        <f t="shared" si="102"/>
        <v>-0.24375056134236672</v>
      </c>
      <c r="N75">
        <f t="shared" si="103"/>
        <v>14.489146395178432</v>
      </c>
    </row>
    <row r="76" spans="1:14" x14ac:dyDescent="0.2">
      <c r="A76" t="s">
        <v>107</v>
      </c>
      <c r="B76" t="s">
        <v>129</v>
      </c>
      <c r="C76" t="s">
        <v>32</v>
      </c>
      <c r="D76">
        <v>30.011777671405898</v>
      </c>
      <c r="E76">
        <v>30.011777671405898</v>
      </c>
      <c r="F76" t="s">
        <v>107</v>
      </c>
      <c r="G76" s="4" t="s">
        <v>18</v>
      </c>
      <c r="H76">
        <v>100</v>
      </c>
      <c r="I76">
        <f t="shared" ref="I76:J76" si="117">I74</f>
        <v>30.2184928279808</v>
      </c>
      <c r="J76">
        <f t="shared" si="117"/>
        <v>0.29233937797630355</v>
      </c>
      <c r="K76">
        <f>I2</f>
        <v>30.462243389323167</v>
      </c>
      <c r="L76">
        <f>I14</f>
        <v>15.729346432802368</v>
      </c>
      <c r="M76">
        <f t="shared" si="102"/>
        <v>-0.24375056134236672</v>
      </c>
      <c r="N76">
        <f t="shared" si="103"/>
        <v>14.489146395178432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118">AVERAGE(D77:D79)</f>
        <v>#DIV/0!</v>
      </c>
      <c r="J77" t="e">
        <f t="shared" ref="J77" si="119">STDEV(D77:D79)</f>
        <v>#DIV/0!</v>
      </c>
      <c r="K77">
        <f>I2</f>
        <v>30.462243389323167</v>
      </c>
      <c r="L77">
        <f>I14</f>
        <v>15.729346432802368</v>
      </c>
      <c r="M77" t="e">
        <f t="shared" si="102"/>
        <v>#DIV/0!</v>
      </c>
      <c r="N77" t="e">
        <f t="shared" si="10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I79" si="120">I77</f>
        <v>#DIV/0!</v>
      </c>
      <c r="J78" t="e">
        <f t="shared" ref="J78" si="121">J77</f>
        <v>#DIV/0!</v>
      </c>
      <c r="K78">
        <f>I2</f>
        <v>30.462243389323167</v>
      </c>
      <c r="L78">
        <f>I14</f>
        <v>15.729346432802368</v>
      </c>
      <c r="M78" t="e">
        <f t="shared" si="102"/>
        <v>#DIV/0!</v>
      </c>
      <c r="N78" t="e">
        <f t="shared" si="10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120"/>
        <v>#DIV/0!</v>
      </c>
      <c r="J79" t="e">
        <f t="shared" ref="J79" si="122">J77</f>
        <v>#DIV/0!</v>
      </c>
      <c r="K79">
        <f>I2</f>
        <v>30.462243389323167</v>
      </c>
      <c r="L79">
        <f>I14</f>
        <v>15.729346432802368</v>
      </c>
      <c r="M79" t="e">
        <f t="shared" si="102"/>
        <v>#DIV/0!</v>
      </c>
      <c r="N79" t="e">
        <f t="shared" si="103"/>
        <v>#DIV/0!</v>
      </c>
    </row>
    <row r="80" spans="1:14" x14ac:dyDescent="0.2">
      <c r="A80" t="s">
        <v>111</v>
      </c>
      <c r="B80" t="s">
        <v>129</v>
      </c>
      <c r="C80" t="s">
        <v>32</v>
      </c>
      <c r="E80" t="s">
        <v>33</v>
      </c>
      <c r="F80" t="s">
        <v>111</v>
      </c>
      <c r="G80" s="4" t="s">
        <v>18</v>
      </c>
      <c r="H80">
        <v>102</v>
      </c>
      <c r="I80" t="e">
        <f t="shared" ref="I80" si="123">AVERAGE(D80:D82)</f>
        <v>#DIV/0!</v>
      </c>
      <c r="J80" t="e">
        <f t="shared" ref="J80" si="124">STDEV(D80:D82)</f>
        <v>#DIV/0!</v>
      </c>
      <c r="K80">
        <f>I8</f>
        <v>32.398773904638603</v>
      </c>
      <c r="L80">
        <f>I20</f>
        <v>14.365103767458633</v>
      </c>
      <c r="M80" t="e">
        <f t="shared" si="102"/>
        <v>#DIV/0!</v>
      </c>
      <c r="N80" t="e">
        <f t="shared" si="103"/>
        <v>#DIV/0!</v>
      </c>
    </row>
    <row r="81" spans="1:14" x14ac:dyDescent="0.2">
      <c r="A81" t="s">
        <v>112</v>
      </c>
      <c r="B81" t="s">
        <v>129</v>
      </c>
      <c r="C81" t="s">
        <v>32</v>
      </c>
      <c r="E81">
        <v>34.502300061010203</v>
      </c>
      <c r="F81" t="s">
        <v>112</v>
      </c>
      <c r="G81" s="4" t="s">
        <v>18</v>
      </c>
      <c r="H81">
        <v>102</v>
      </c>
      <c r="I81" t="e">
        <f t="shared" ref="I81" si="125">I80</f>
        <v>#DIV/0!</v>
      </c>
      <c r="J81" t="e">
        <f t="shared" ref="J81" si="126">J80</f>
        <v>#DIV/0!</v>
      </c>
      <c r="K81">
        <f>I8</f>
        <v>32.398773904638603</v>
      </c>
      <c r="L81">
        <f>I20</f>
        <v>14.365103767458633</v>
      </c>
      <c r="M81" t="e">
        <f t="shared" si="102"/>
        <v>#DIV/0!</v>
      </c>
      <c r="N81" t="e">
        <f t="shared" si="103"/>
        <v>#DIV/0!</v>
      </c>
    </row>
    <row r="82" spans="1:14" x14ac:dyDescent="0.2">
      <c r="A82" t="s">
        <v>113</v>
      </c>
      <c r="B82" t="s">
        <v>129</v>
      </c>
      <c r="C82" t="s">
        <v>32</v>
      </c>
      <c r="E82" t="s">
        <v>33</v>
      </c>
      <c r="F82" t="s">
        <v>113</v>
      </c>
      <c r="G82" s="4" t="s">
        <v>18</v>
      </c>
      <c r="H82">
        <v>102</v>
      </c>
      <c r="I82" t="e">
        <f t="shared" ref="I82:J82" si="127">I80</f>
        <v>#DIV/0!</v>
      </c>
      <c r="J82" t="e">
        <f t="shared" si="127"/>
        <v>#DIV/0!</v>
      </c>
      <c r="K82">
        <f>I8</f>
        <v>32.398773904638603</v>
      </c>
      <c r="L82">
        <f>I20</f>
        <v>14.365103767458633</v>
      </c>
      <c r="M82" t="e">
        <f t="shared" si="102"/>
        <v>#DIV/0!</v>
      </c>
      <c r="N82" t="e">
        <f t="shared" si="103"/>
        <v>#DIV/0!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28">AVERAGE(D83:D85)</f>
        <v>#DIV/0!</v>
      </c>
      <c r="J83" t="e">
        <f t="shared" ref="J83" si="129">STDEV(D83:D85)</f>
        <v>#DIV/0!</v>
      </c>
      <c r="K83">
        <f>I8</f>
        <v>32.398773904638603</v>
      </c>
      <c r="L83">
        <f>I20</f>
        <v>14.365103767458633</v>
      </c>
      <c r="M83" t="e">
        <f t="shared" si="102"/>
        <v>#DIV/0!</v>
      </c>
      <c r="N83" t="e">
        <f t="shared" si="10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I85" si="130">I83</f>
        <v>#DIV/0!</v>
      </c>
      <c r="J84" t="e">
        <f t="shared" ref="J84" si="131">J83</f>
        <v>#DIV/0!</v>
      </c>
      <c r="K84">
        <f>I8</f>
        <v>32.398773904638603</v>
      </c>
      <c r="L84">
        <f>I20</f>
        <v>14.365103767458633</v>
      </c>
      <c r="M84" t="e">
        <f t="shared" si="102"/>
        <v>#DIV/0!</v>
      </c>
      <c r="N84" t="e">
        <f t="shared" si="10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30"/>
        <v>#DIV/0!</v>
      </c>
      <c r="J85" t="e">
        <f t="shared" ref="J85" si="132">J83</f>
        <v>#DIV/0!</v>
      </c>
      <c r="K85">
        <f>I8</f>
        <v>32.398773904638603</v>
      </c>
      <c r="L85">
        <f>I20</f>
        <v>14.365103767458633</v>
      </c>
      <c r="M85" t="e">
        <f t="shared" si="102"/>
        <v>#DIV/0!</v>
      </c>
      <c r="N85" t="e">
        <f t="shared" si="103"/>
        <v>#DIV/0!</v>
      </c>
    </row>
    <row r="86" spans="1:14" ht="17" thickBot="1" x14ac:dyDescent="0.25">
      <c r="A86" t="s">
        <v>117</v>
      </c>
      <c r="B86" t="s">
        <v>129</v>
      </c>
      <c r="C86" t="s">
        <v>32</v>
      </c>
      <c r="E86">
        <v>33.022045090688998</v>
      </c>
      <c r="F86" t="s">
        <v>117</v>
      </c>
      <c r="G86" s="6" t="s">
        <v>19</v>
      </c>
      <c r="H86">
        <v>100</v>
      </c>
      <c r="I86">
        <f t="shared" ref="I86" si="133">AVERAGE(D86:D88)</f>
        <v>30.223970842406249</v>
      </c>
      <c r="J86">
        <f t="shared" ref="J86" si="134">STDEV(D86:D88)</f>
        <v>0.32275342197820139</v>
      </c>
      <c r="K86">
        <f>I2</f>
        <v>30.462243389323167</v>
      </c>
      <c r="L86">
        <f>I14</f>
        <v>15.729346432802368</v>
      </c>
      <c r="M86">
        <f t="shared" si="102"/>
        <v>-0.23827254691691735</v>
      </c>
      <c r="N86">
        <f t="shared" si="103"/>
        <v>14.494624409603881</v>
      </c>
    </row>
    <row r="87" spans="1:14" ht="17" thickBot="1" x14ac:dyDescent="0.25">
      <c r="A87" t="s">
        <v>118</v>
      </c>
      <c r="B87" t="s">
        <v>129</v>
      </c>
      <c r="C87" t="s">
        <v>32</v>
      </c>
      <c r="D87">
        <v>30.452191975738199</v>
      </c>
      <c r="E87">
        <v>30.452191975738199</v>
      </c>
      <c r="F87" t="s">
        <v>118</v>
      </c>
      <c r="G87" s="6" t="s">
        <v>19</v>
      </c>
      <c r="H87">
        <v>100</v>
      </c>
      <c r="I87">
        <f t="shared" ref="I87" si="135">I86</f>
        <v>30.223970842406249</v>
      </c>
      <c r="J87">
        <f t="shared" ref="J87" si="136">J86</f>
        <v>0.32275342197820139</v>
      </c>
      <c r="K87">
        <f>I2</f>
        <v>30.462243389323167</v>
      </c>
      <c r="L87">
        <f>I14</f>
        <v>15.729346432802368</v>
      </c>
      <c r="M87">
        <f t="shared" si="102"/>
        <v>-0.23827254691691735</v>
      </c>
      <c r="N87">
        <f t="shared" si="103"/>
        <v>14.494624409603881</v>
      </c>
    </row>
    <row r="88" spans="1:14" ht="17" thickBot="1" x14ac:dyDescent="0.25">
      <c r="A88" t="s">
        <v>119</v>
      </c>
      <c r="B88" t="s">
        <v>129</v>
      </c>
      <c r="C88" t="s">
        <v>32</v>
      </c>
      <c r="D88">
        <v>29.9957497090743</v>
      </c>
      <c r="E88">
        <v>29.9957497090743</v>
      </c>
      <c r="F88" t="s">
        <v>119</v>
      </c>
      <c r="G88" s="6" t="s">
        <v>19</v>
      </c>
      <c r="H88">
        <v>100</v>
      </c>
      <c r="I88">
        <f t="shared" ref="I88:J88" si="137">I86</f>
        <v>30.223970842406249</v>
      </c>
      <c r="J88">
        <f t="shared" si="137"/>
        <v>0.32275342197820139</v>
      </c>
      <c r="K88">
        <f>I2</f>
        <v>30.462243389323167</v>
      </c>
      <c r="L88">
        <f>I14</f>
        <v>15.729346432802368</v>
      </c>
      <c r="M88">
        <f t="shared" si="102"/>
        <v>-0.23827254691691735</v>
      </c>
      <c r="N88">
        <f t="shared" si="103"/>
        <v>14.494624409603881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38">AVERAGE(D89:D91)</f>
        <v>#DIV/0!</v>
      </c>
      <c r="J89" t="e">
        <f t="shared" ref="J89" si="139">STDEV(D89:D91)</f>
        <v>#DIV/0!</v>
      </c>
      <c r="K89">
        <f>I2</f>
        <v>30.462243389323167</v>
      </c>
      <c r="L89">
        <f>I14</f>
        <v>15.729346432802368</v>
      </c>
      <c r="M89" t="e">
        <f t="shared" si="102"/>
        <v>#DIV/0!</v>
      </c>
      <c r="N89" t="e">
        <f t="shared" si="10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I91" si="140">I89</f>
        <v>#DIV/0!</v>
      </c>
      <c r="J90" t="e">
        <f t="shared" ref="J90" si="141">J89</f>
        <v>#DIV/0!</v>
      </c>
      <c r="K90">
        <f>I2</f>
        <v>30.462243389323167</v>
      </c>
      <c r="L90">
        <f>I14</f>
        <v>15.729346432802368</v>
      </c>
      <c r="M90" t="e">
        <f t="shared" si="102"/>
        <v>#DIV/0!</v>
      </c>
      <c r="N90" t="e">
        <f t="shared" si="10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40"/>
        <v>#DIV/0!</v>
      </c>
      <c r="J91" t="e">
        <f t="shared" ref="J91" si="142">J89</f>
        <v>#DIV/0!</v>
      </c>
      <c r="K91">
        <f>I2</f>
        <v>30.462243389323167</v>
      </c>
      <c r="L91">
        <f>I14</f>
        <v>15.729346432802368</v>
      </c>
      <c r="M91" t="e">
        <f t="shared" si="102"/>
        <v>#DIV/0!</v>
      </c>
      <c r="N91" t="e">
        <f t="shared" si="10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35.259955127581399</v>
      </c>
      <c r="E92">
        <v>35.259955127581399</v>
      </c>
      <c r="F92" t="s">
        <v>123</v>
      </c>
      <c r="G92" s="6" t="s">
        <v>19</v>
      </c>
      <c r="H92">
        <v>102</v>
      </c>
      <c r="I92">
        <f t="shared" ref="I92" si="143">AVERAGE(D92:D94)</f>
        <v>35.361205655653052</v>
      </c>
      <c r="J92">
        <f t="shared" ref="J92" si="144">STDEV(D92:D94)</f>
        <v>0.14318986999636368</v>
      </c>
      <c r="K92">
        <f>I8</f>
        <v>32.398773904638603</v>
      </c>
      <c r="L92">
        <f>I20</f>
        <v>14.365103767458633</v>
      </c>
      <c r="M92">
        <f t="shared" si="102"/>
        <v>2.9624317510144493</v>
      </c>
      <c r="N92">
        <f t="shared" si="103"/>
        <v>20.996101888194417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35.462456183724697</v>
      </c>
      <c r="E93">
        <v>35.462456183724697</v>
      </c>
      <c r="F93" t="s">
        <v>124</v>
      </c>
      <c r="G93" s="6" t="s">
        <v>19</v>
      </c>
      <c r="H93">
        <v>102</v>
      </c>
      <c r="I93">
        <f t="shared" ref="I93" si="145">I92</f>
        <v>35.361205655653052</v>
      </c>
      <c r="J93">
        <f t="shared" ref="J93" si="146">J92</f>
        <v>0.14318986999636368</v>
      </c>
      <c r="K93">
        <f>I8</f>
        <v>32.398773904638603</v>
      </c>
      <c r="L93">
        <f>I20</f>
        <v>14.365103767458633</v>
      </c>
      <c r="M93">
        <f t="shared" si="102"/>
        <v>2.9624317510144493</v>
      </c>
      <c r="N93">
        <f t="shared" si="103"/>
        <v>20.996101888194417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39.495344127118997</v>
      </c>
      <c r="F94" t="s">
        <v>125</v>
      </c>
      <c r="G94" s="6" t="s">
        <v>19</v>
      </c>
      <c r="H94">
        <v>102</v>
      </c>
      <c r="I94">
        <f t="shared" ref="I94:J94" si="147">I92</f>
        <v>35.361205655653052</v>
      </c>
      <c r="J94">
        <f t="shared" si="147"/>
        <v>0.14318986999636368</v>
      </c>
      <c r="K94">
        <f>I8</f>
        <v>32.398773904638603</v>
      </c>
      <c r="L94">
        <f>I20</f>
        <v>14.365103767458633</v>
      </c>
      <c r="M94">
        <f t="shared" si="102"/>
        <v>2.9624317510144493</v>
      </c>
      <c r="N94">
        <f t="shared" si="103"/>
        <v>20.996101888194417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48">AVERAGE(D95:D97)</f>
        <v>#DIV/0!</v>
      </c>
      <c r="J95" t="e">
        <f t="shared" ref="J95" si="149">STDEV(D95:D97)</f>
        <v>#DIV/0!</v>
      </c>
      <c r="K95">
        <f>I8</f>
        <v>32.398773904638603</v>
      </c>
      <c r="L95">
        <f>I20</f>
        <v>14.365103767458633</v>
      </c>
      <c r="M95" t="e">
        <f t="shared" si="102"/>
        <v>#DIV/0!</v>
      </c>
      <c r="N95" t="e">
        <f t="shared" si="10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I97" si="150">I95</f>
        <v>#DIV/0!</v>
      </c>
      <c r="J96" t="e">
        <f t="shared" ref="J96" si="151">J95</f>
        <v>#DIV/0!</v>
      </c>
      <c r="K96">
        <f>I8</f>
        <v>32.398773904638603</v>
      </c>
      <c r="L96">
        <f>I20</f>
        <v>14.365103767458633</v>
      </c>
      <c r="M96" t="e">
        <f t="shared" si="102"/>
        <v>#DIV/0!</v>
      </c>
      <c r="N96" t="e">
        <f t="shared" si="10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50"/>
        <v>#DIV/0!</v>
      </c>
      <c r="J97" t="e">
        <f t="shared" ref="J97" si="152">J95</f>
        <v>#DIV/0!</v>
      </c>
      <c r="K97">
        <f>I8</f>
        <v>32.398773904638603</v>
      </c>
      <c r="L97">
        <f>I20</f>
        <v>14.365103767458633</v>
      </c>
      <c r="M97" t="e">
        <f t="shared" si="102"/>
        <v>#DIV/0!</v>
      </c>
      <c r="N97" t="e">
        <f t="shared" si="103"/>
        <v>#DIV/0!</v>
      </c>
    </row>
  </sheetData>
  <conditionalFormatting sqref="J2:J97">
    <cfRule type="cellIs" dxfId="2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F118-04FF-1247-8743-317E0088F8AE}">
  <dimension ref="A1:N97"/>
  <sheetViews>
    <sheetView topLeftCell="A40" workbookViewId="0">
      <selection activeCell="A41" sqref="A41:XFD43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33.446302061904802</v>
      </c>
      <c r="E2">
        <v>33.446302061904802</v>
      </c>
      <c r="F2" t="s">
        <v>31</v>
      </c>
      <c r="G2" s="9" t="s">
        <v>9</v>
      </c>
      <c r="H2">
        <v>105</v>
      </c>
      <c r="I2">
        <f>AVERAGE(D2:D4)</f>
        <v>32.95556341234775</v>
      </c>
      <c r="J2">
        <f>STDEV(D2:D4)</f>
        <v>0.69400925378424039</v>
      </c>
      <c r="K2">
        <f>I2</f>
        <v>32.95556341234775</v>
      </c>
      <c r="L2">
        <f>I14</f>
        <v>15.1058524657458</v>
      </c>
      <c r="M2">
        <f>I2-K2</f>
        <v>0</v>
      </c>
      <c r="N2">
        <f>I2-L2</f>
        <v>17.849710946601952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32.464824762790698</v>
      </c>
      <c r="E3">
        <v>32.464824762790698</v>
      </c>
      <c r="F3" t="s">
        <v>34</v>
      </c>
      <c r="G3" s="9" t="s">
        <v>9</v>
      </c>
      <c r="H3">
        <v>105</v>
      </c>
      <c r="I3">
        <f>I2</f>
        <v>32.95556341234775</v>
      </c>
      <c r="J3">
        <f>J2</f>
        <v>0.69400925378424039</v>
      </c>
      <c r="K3">
        <f>I2</f>
        <v>32.95556341234775</v>
      </c>
      <c r="L3">
        <f>I14</f>
        <v>15.1058524657458</v>
      </c>
      <c r="M3">
        <f t="shared" ref="M3:M66" si="0">I3-K3</f>
        <v>0</v>
      </c>
      <c r="N3">
        <f t="shared" ref="N3:N66" si="1">I3-L3</f>
        <v>17.849710946601952</v>
      </c>
    </row>
    <row r="4" spans="1:14" ht="17" thickBot="1" x14ac:dyDescent="0.25">
      <c r="A4" t="s">
        <v>35</v>
      </c>
      <c r="B4" t="s">
        <v>129</v>
      </c>
      <c r="C4" t="s">
        <v>32</v>
      </c>
      <c r="E4">
        <v>35.399296525737697</v>
      </c>
      <c r="F4" t="s">
        <v>35</v>
      </c>
      <c r="G4" s="9" t="s">
        <v>9</v>
      </c>
      <c r="H4">
        <v>105</v>
      </c>
      <c r="I4">
        <f>I2</f>
        <v>32.95556341234775</v>
      </c>
      <c r="J4">
        <f>J2</f>
        <v>0.69400925378424039</v>
      </c>
      <c r="K4">
        <f>I2</f>
        <v>32.95556341234775</v>
      </c>
      <c r="L4">
        <f>I14</f>
        <v>15.1058524657458</v>
      </c>
      <c r="M4">
        <f t="shared" si="0"/>
        <v>0</v>
      </c>
      <c r="N4">
        <f t="shared" si="1"/>
        <v>17.849710946601952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33.224671931010903</v>
      </c>
      <c r="E5">
        <v>33.224671931010903</v>
      </c>
      <c r="F5" t="s">
        <v>36</v>
      </c>
      <c r="G5" s="2" t="s">
        <v>20</v>
      </c>
      <c r="H5">
        <v>105</v>
      </c>
      <c r="I5">
        <f>AVERAGE(D5:D7)</f>
        <v>33.162392555917535</v>
      </c>
      <c r="J5">
        <f>STDEV(D5:D7)</f>
        <v>6.0767624982487549E-2</v>
      </c>
      <c r="K5">
        <f>I2</f>
        <v>32.95556341234775</v>
      </c>
      <c r="L5">
        <f>I14</f>
        <v>15.1058524657458</v>
      </c>
      <c r="M5">
        <f t="shared" si="0"/>
        <v>0.20682914356978443</v>
      </c>
      <c r="N5">
        <f t="shared" si="1"/>
        <v>18.056540090171737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33.1592468645932</v>
      </c>
      <c r="E6">
        <v>33.1592468645932</v>
      </c>
      <c r="F6" t="s">
        <v>37</v>
      </c>
      <c r="G6" s="2" t="s">
        <v>20</v>
      </c>
      <c r="H6">
        <v>105</v>
      </c>
      <c r="I6">
        <f>I5</f>
        <v>33.162392555917535</v>
      </c>
      <c r="J6">
        <f>J5</f>
        <v>6.0767624982487549E-2</v>
      </c>
      <c r="K6">
        <f>I2</f>
        <v>32.95556341234775</v>
      </c>
      <c r="L6">
        <f>I14</f>
        <v>15.1058524657458</v>
      </c>
      <c r="M6">
        <f t="shared" si="0"/>
        <v>0.20682914356978443</v>
      </c>
      <c r="N6">
        <f t="shared" si="1"/>
        <v>18.056540090171737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33.103258872148501</v>
      </c>
      <c r="E7">
        <v>33.103258872148501</v>
      </c>
      <c r="F7" t="s">
        <v>38</v>
      </c>
      <c r="G7" s="2" t="s">
        <v>20</v>
      </c>
      <c r="H7">
        <v>105</v>
      </c>
      <c r="I7">
        <f>I6</f>
        <v>33.162392555917535</v>
      </c>
      <c r="J7">
        <f>J5</f>
        <v>6.0767624982487549E-2</v>
      </c>
      <c r="K7">
        <f>I2</f>
        <v>32.95556341234775</v>
      </c>
      <c r="L7">
        <f>I14</f>
        <v>15.1058524657458</v>
      </c>
      <c r="M7">
        <f t="shared" si="0"/>
        <v>0.20682914356978443</v>
      </c>
      <c r="N7">
        <f t="shared" si="1"/>
        <v>18.056540090171737</v>
      </c>
    </row>
    <row r="8" spans="1:14" ht="17" thickBot="1" x14ac:dyDescent="0.25">
      <c r="A8" t="s">
        <v>39</v>
      </c>
      <c r="B8" t="s">
        <v>129</v>
      </c>
      <c r="C8" t="s">
        <v>32</v>
      </c>
      <c r="D8" t="s">
        <v>33</v>
      </c>
      <c r="E8" t="s">
        <v>33</v>
      </c>
      <c r="F8" t="s">
        <v>39</v>
      </c>
      <c r="G8" s="9" t="s">
        <v>9</v>
      </c>
      <c r="I8" t="e">
        <f t="shared" ref="I8" si="2">AVERAGE(D8:D10)</f>
        <v>#DIV/0!</v>
      </c>
      <c r="J8" t="e">
        <f t="shared" ref="J8" si="3">STDEV(D8:D10)</f>
        <v>#DIV/0!</v>
      </c>
      <c r="K8" t="e">
        <f>I8</f>
        <v>#DIV/0!</v>
      </c>
      <c r="L8" t="e">
        <f>I20</f>
        <v>#DIV/0!</v>
      </c>
      <c r="M8" t="e">
        <f t="shared" si="0"/>
        <v>#DIV/0!</v>
      </c>
      <c r="N8" t="e">
        <f t="shared" si="1"/>
        <v>#DIV/0!</v>
      </c>
    </row>
    <row r="9" spans="1:14" ht="17" thickBot="1" x14ac:dyDescent="0.25">
      <c r="A9" t="s">
        <v>40</v>
      </c>
      <c r="B9" t="s">
        <v>129</v>
      </c>
      <c r="C9" t="s">
        <v>32</v>
      </c>
      <c r="D9" t="s">
        <v>33</v>
      </c>
      <c r="E9" t="s">
        <v>33</v>
      </c>
      <c r="F9" t="s">
        <v>40</v>
      </c>
      <c r="G9" s="9" t="s">
        <v>9</v>
      </c>
      <c r="I9" t="e">
        <f t="shared" ref="I9:J9" si="4">I8</f>
        <v>#DIV/0!</v>
      </c>
      <c r="J9" t="e">
        <f t="shared" si="4"/>
        <v>#DIV/0!</v>
      </c>
      <c r="K9" t="e">
        <f>I8</f>
        <v>#DIV/0!</v>
      </c>
      <c r="L9" t="e">
        <f>I20</f>
        <v>#DIV/0!</v>
      </c>
      <c r="M9" t="e">
        <f t="shared" si="0"/>
        <v>#DIV/0!</v>
      </c>
      <c r="N9" t="e">
        <f t="shared" si="1"/>
        <v>#DIV/0!</v>
      </c>
    </row>
    <row r="10" spans="1:14" ht="17" thickBot="1" x14ac:dyDescent="0.25">
      <c r="A10" t="s">
        <v>41</v>
      </c>
      <c r="B10" t="s">
        <v>129</v>
      </c>
      <c r="C10" t="s">
        <v>32</v>
      </c>
      <c r="D10" t="s">
        <v>33</v>
      </c>
      <c r="E10" t="s">
        <v>33</v>
      </c>
      <c r="F10" t="s">
        <v>41</v>
      </c>
      <c r="G10" s="9" t="s">
        <v>9</v>
      </c>
      <c r="I10" t="e">
        <f t="shared" ref="I10:J10" si="5">I8</f>
        <v>#DIV/0!</v>
      </c>
      <c r="J10" t="e">
        <f t="shared" si="5"/>
        <v>#DIV/0!</v>
      </c>
      <c r="K10" t="e">
        <f>I8</f>
        <v>#DIV/0!</v>
      </c>
      <c r="L10" t="e">
        <f>I20</f>
        <v>#DIV/0!</v>
      </c>
      <c r="M10" t="e">
        <f t="shared" si="0"/>
        <v>#DIV/0!</v>
      </c>
      <c r="N10" t="e">
        <f t="shared" si="1"/>
        <v>#DIV/0!</v>
      </c>
    </row>
    <row r="11" spans="1:14" ht="17" thickBot="1" x14ac:dyDescent="0.25">
      <c r="A11" t="s">
        <v>42</v>
      </c>
      <c r="B11" t="s">
        <v>129</v>
      </c>
      <c r="C11" t="s">
        <v>32</v>
      </c>
      <c r="D11" t="s">
        <v>33</v>
      </c>
      <c r="E11" t="s">
        <v>33</v>
      </c>
      <c r="F11" t="s">
        <v>42</v>
      </c>
      <c r="G11" s="2" t="s">
        <v>20</v>
      </c>
      <c r="I11" t="e">
        <f t="shared" ref="I11" si="6">AVERAGE(D11:D13)</f>
        <v>#DIV/0!</v>
      </c>
      <c r="J11" t="e">
        <f t="shared" ref="J11" si="7">STDEV(D11:D13)</f>
        <v>#DIV/0!</v>
      </c>
      <c r="K11" t="e">
        <f>I8</f>
        <v>#DIV/0!</v>
      </c>
      <c r="L11" t="e">
        <f>I20</f>
        <v>#DIV/0!</v>
      </c>
      <c r="M11" t="e">
        <f t="shared" si="0"/>
        <v>#DIV/0!</v>
      </c>
      <c r="N11" t="e">
        <f t="shared" si="1"/>
        <v>#DIV/0!</v>
      </c>
    </row>
    <row r="12" spans="1:14" ht="17" thickBot="1" x14ac:dyDescent="0.25">
      <c r="A12" t="s">
        <v>43</v>
      </c>
      <c r="B12" t="s">
        <v>129</v>
      </c>
      <c r="C12" t="s">
        <v>32</v>
      </c>
      <c r="D12" t="s">
        <v>33</v>
      </c>
      <c r="E12" t="s">
        <v>33</v>
      </c>
      <c r="F12" t="s">
        <v>43</v>
      </c>
      <c r="G12" s="2" t="s">
        <v>20</v>
      </c>
      <c r="I12" t="e">
        <f t="shared" ref="I12:J13" si="8">I11</f>
        <v>#DIV/0!</v>
      </c>
      <c r="J12" t="e">
        <f t="shared" si="8"/>
        <v>#DIV/0!</v>
      </c>
      <c r="K12" t="e">
        <f>I8</f>
        <v>#DIV/0!</v>
      </c>
      <c r="L12" t="e">
        <f>I20</f>
        <v>#DIV/0!</v>
      </c>
      <c r="M12" t="e">
        <f t="shared" si="0"/>
        <v>#DIV/0!</v>
      </c>
      <c r="N12" t="e">
        <f t="shared" si="1"/>
        <v>#DIV/0!</v>
      </c>
    </row>
    <row r="13" spans="1:14" x14ac:dyDescent="0.2">
      <c r="A13" t="s">
        <v>44</v>
      </c>
      <c r="B13" t="s">
        <v>129</v>
      </c>
      <c r="C13" t="s">
        <v>32</v>
      </c>
      <c r="D13" t="s">
        <v>33</v>
      </c>
      <c r="E13" t="s">
        <v>33</v>
      </c>
      <c r="F13" t="s">
        <v>44</v>
      </c>
      <c r="G13" s="2" t="s">
        <v>20</v>
      </c>
      <c r="I13" t="e">
        <f t="shared" si="8"/>
        <v>#DIV/0!</v>
      </c>
      <c r="J13" t="e">
        <f t="shared" ref="J13" si="9">J11</f>
        <v>#DIV/0!</v>
      </c>
      <c r="K13" t="e">
        <f>I8</f>
        <v>#DIV/0!</v>
      </c>
      <c r="L13" t="e">
        <f>I20</f>
        <v>#DIV/0!</v>
      </c>
      <c r="M13" t="e">
        <f t="shared" si="0"/>
        <v>#DIV/0!</v>
      </c>
      <c r="N13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15.2199039082245</v>
      </c>
      <c r="E14">
        <v>15.2199039082245</v>
      </c>
      <c r="F14" t="s">
        <v>45</v>
      </c>
      <c r="G14" s="11" t="s">
        <v>8</v>
      </c>
      <c r="H14">
        <v>105</v>
      </c>
      <c r="I14">
        <f t="shared" ref="I14" si="10">AVERAGE(D14:D16)</f>
        <v>15.1058524657458</v>
      </c>
      <c r="J14">
        <f t="shared" ref="J14" si="11">STDEV(D14:D16)</f>
        <v>0.10322669960148094</v>
      </c>
      <c r="K14">
        <f>I2</f>
        <v>32.95556341234775</v>
      </c>
      <c r="L14">
        <f>I14</f>
        <v>15.1058524657458</v>
      </c>
      <c r="M14">
        <f t="shared" si="0"/>
        <v>-17.849710946601952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15.078825958863</v>
      </c>
      <c r="E15">
        <v>15.078825958863</v>
      </c>
      <c r="F15" t="s">
        <v>46</v>
      </c>
      <c r="G15" s="11" t="s">
        <v>8</v>
      </c>
      <c r="H15">
        <v>105</v>
      </c>
      <c r="I15">
        <f t="shared" ref="I15:J15" si="12">I14</f>
        <v>15.1058524657458</v>
      </c>
      <c r="J15">
        <f t="shared" si="12"/>
        <v>0.10322669960148094</v>
      </c>
      <c r="K15">
        <f>I2</f>
        <v>32.95556341234775</v>
      </c>
      <c r="L15">
        <f>I14</f>
        <v>15.1058524657458</v>
      </c>
      <c r="M15">
        <f t="shared" si="0"/>
        <v>-17.849710946601952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15.018827530149901</v>
      </c>
      <c r="E16">
        <v>15.018827530149901</v>
      </c>
      <c r="F16" t="s">
        <v>47</v>
      </c>
      <c r="G16" s="11" t="s">
        <v>8</v>
      </c>
      <c r="H16">
        <v>105</v>
      </c>
      <c r="I16">
        <f t="shared" ref="I16:J16" si="13">I14</f>
        <v>15.1058524657458</v>
      </c>
      <c r="J16">
        <f t="shared" si="13"/>
        <v>0.10322669960148094</v>
      </c>
      <c r="K16">
        <f>I2</f>
        <v>32.95556341234775</v>
      </c>
      <c r="L16">
        <f>I14</f>
        <v>15.1058524657458</v>
      </c>
      <c r="M16">
        <f t="shared" si="0"/>
        <v>-17.849710946601952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34.5856034674906</v>
      </c>
      <c r="E17">
        <v>34.5856034674906</v>
      </c>
      <c r="F17" t="s">
        <v>48</v>
      </c>
      <c r="G17" s="1" t="s">
        <v>21</v>
      </c>
      <c r="H17">
        <v>105</v>
      </c>
      <c r="I17">
        <f t="shared" ref="I17" si="14">AVERAGE(D17:D19)</f>
        <v>34.547613684125849</v>
      </c>
      <c r="J17">
        <f t="shared" ref="J17" si="15">STDEV(D17:D19)</f>
        <v>5.3725666866045879E-2</v>
      </c>
      <c r="K17">
        <f>I2</f>
        <v>32.95556341234775</v>
      </c>
      <c r="L17">
        <f>I14</f>
        <v>15.1058524657458</v>
      </c>
      <c r="M17">
        <f t="shared" si="0"/>
        <v>1.5920502717780991</v>
      </c>
      <c r="N17">
        <f t="shared" si="1"/>
        <v>19.441761218380051</v>
      </c>
    </row>
    <row r="18" spans="1:14" x14ac:dyDescent="0.2">
      <c r="A18" t="s">
        <v>49</v>
      </c>
      <c r="B18" t="s">
        <v>129</v>
      </c>
      <c r="C18" t="s">
        <v>32</v>
      </c>
      <c r="D18" t="s">
        <v>33</v>
      </c>
      <c r="E18" t="s">
        <v>33</v>
      </c>
      <c r="F18" t="s">
        <v>49</v>
      </c>
      <c r="G18" s="1" t="s">
        <v>21</v>
      </c>
      <c r="H18">
        <v>105</v>
      </c>
      <c r="I18">
        <f t="shared" ref="I18:J19" si="16">I17</f>
        <v>34.547613684125849</v>
      </c>
      <c r="J18">
        <f t="shared" si="16"/>
        <v>5.3725666866045879E-2</v>
      </c>
      <c r="K18">
        <f>I2</f>
        <v>32.95556341234775</v>
      </c>
      <c r="L18">
        <f>I14</f>
        <v>15.1058524657458</v>
      </c>
      <c r="M18">
        <f t="shared" si="0"/>
        <v>1.5920502717780991</v>
      </c>
      <c r="N18">
        <f t="shared" si="1"/>
        <v>19.441761218380051</v>
      </c>
    </row>
    <row r="19" spans="1:14" x14ac:dyDescent="0.2">
      <c r="A19" t="s">
        <v>50</v>
      </c>
      <c r="B19" t="s">
        <v>129</v>
      </c>
      <c r="C19" t="s">
        <v>32</v>
      </c>
      <c r="D19">
        <v>34.509623900761099</v>
      </c>
      <c r="E19">
        <v>34.509623900761099</v>
      </c>
      <c r="F19" t="s">
        <v>50</v>
      </c>
      <c r="G19" s="1" t="s">
        <v>21</v>
      </c>
      <c r="H19">
        <v>105</v>
      </c>
      <c r="I19">
        <f t="shared" si="16"/>
        <v>34.547613684125849</v>
      </c>
      <c r="J19">
        <f t="shared" ref="J19" si="17">J17</f>
        <v>5.3725666866045879E-2</v>
      </c>
      <c r="K19">
        <f>I2</f>
        <v>32.95556341234775</v>
      </c>
      <c r="L19">
        <f>I14</f>
        <v>15.1058524657458</v>
      </c>
      <c r="M19">
        <f t="shared" si="0"/>
        <v>1.5920502717780991</v>
      </c>
      <c r="N19">
        <f t="shared" si="1"/>
        <v>19.441761218380051</v>
      </c>
    </row>
    <row r="20" spans="1:14" x14ac:dyDescent="0.2">
      <c r="A20" t="s">
        <v>51</v>
      </c>
      <c r="B20" t="s">
        <v>129</v>
      </c>
      <c r="C20" t="s">
        <v>32</v>
      </c>
      <c r="D20" t="s">
        <v>33</v>
      </c>
      <c r="E20" t="s">
        <v>33</v>
      </c>
      <c r="F20" t="s">
        <v>51</v>
      </c>
      <c r="G20" s="11" t="s">
        <v>8</v>
      </c>
      <c r="I20" t="e">
        <f t="shared" ref="I20" si="18">AVERAGE(D20:D22)</f>
        <v>#DIV/0!</v>
      </c>
      <c r="J20" t="e">
        <f t="shared" ref="J20" si="19">STDEV(D20:D22)</f>
        <v>#DIV/0!</v>
      </c>
      <c r="K20" t="e">
        <f>I8</f>
        <v>#DIV/0!</v>
      </c>
      <c r="L20" t="e">
        <f>I20</f>
        <v>#DIV/0!</v>
      </c>
      <c r="M20" t="e">
        <f t="shared" si="0"/>
        <v>#DIV/0!</v>
      </c>
      <c r="N20" t="e">
        <f t="shared" si="1"/>
        <v>#DIV/0!</v>
      </c>
    </row>
    <row r="21" spans="1:14" x14ac:dyDescent="0.2">
      <c r="A21" t="s">
        <v>52</v>
      </c>
      <c r="B21" t="s">
        <v>129</v>
      </c>
      <c r="C21" t="s">
        <v>32</v>
      </c>
      <c r="D21" t="s">
        <v>33</v>
      </c>
      <c r="E21" t="s">
        <v>33</v>
      </c>
      <c r="F21" t="s">
        <v>52</v>
      </c>
      <c r="G21" s="11" t="s">
        <v>8</v>
      </c>
      <c r="I21" t="e">
        <f t="shared" ref="I21:J21" si="20">I20</f>
        <v>#DIV/0!</v>
      </c>
      <c r="J21" t="e">
        <f t="shared" si="20"/>
        <v>#DIV/0!</v>
      </c>
      <c r="K21" t="e">
        <f>I8</f>
        <v>#DIV/0!</v>
      </c>
      <c r="L21" t="e">
        <f>I20</f>
        <v>#DIV/0!</v>
      </c>
      <c r="M21" t="e">
        <f t="shared" si="0"/>
        <v>#DIV/0!</v>
      </c>
      <c r="N21" t="e">
        <f t="shared" si="1"/>
        <v>#DIV/0!</v>
      </c>
    </row>
    <row r="22" spans="1:14" x14ac:dyDescent="0.2">
      <c r="A22" t="s">
        <v>53</v>
      </c>
      <c r="B22" t="s">
        <v>129</v>
      </c>
      <c r="C22" t="s">
        <v>32</v>
      </c>
      <c r="D22" t="s">
        <v>33</v>
      </c>
      <c r="E22" t="s">
        <v>33</v>
      </c>
      <c r="F22" t="s">
        <v>53</v>
      </c>
      <c r="G22" s="11" t="s">
        <v>8</v>
      </c>
      <c r="I22" t="e">
        <f t="shared" ref="I22:J22" si="21">I20</f>
        <v>#DIV/0!</v>
      </c>
      <c r="J22" t="e">
        <f t="shared" si="21"/>
        <v>#DIV/0!</v>
      </c>
      <c r="K22" t="e">
        <f>I8</f>
        <v>#DIV/0!</v>
      </c>
      <c r="L22" t="e">
        <f>I20</f>
        <v>#DIV/0!</v>
      </c>
      <c r="M22" t="e">
        <f t="shared" si="0"/>
        <v>#DIV/0!</v>
      </c>
      <c r="N22" t="e">
        <f t="shared" si="1"/>
        <v>#DIV/0!</v>
      </c>
    </row>
    <row r="23" spans="1:14" x14ac:dyDescent="0.2">
      <c r="A23" t="s">
        <v>54</v>
      </c>
      <c r="B23" t="s">
        <v>129</v>
      </c>
      <c r="C23" t="s">
        <v>32</v>
      </c>
      <c r="D23" t="s">
        <v>33</v>
      </c>
      <c r="E23" t="s">
        <v>33</v>
      </c>
      <c r="F23" t="s">
        <v>54</v>
      </c>
      <c r="G23" s="1" t="s">
        <v>21</v>
      </c>
      <c r="I23" t="e">
        <f t="shared" ref="I23" si="22">AVERAGE(D23:D25)</f>
        <v>#DIV/0!</v>
      </c>
      <c r="J23" t="e">
        <f t="shared" ref="J23" si="23">STDEV(D23:D25)</f>
        <v>#DIV/0!</v>
      </c>
      <c r="K23" t="e">
        <f>I8</f>
        <v>#DIV/0!</v>
      </c>
      <c r="L23" t="e">
        <f>I20</f>
        <v>#DIV/0!</v>
      </c>
      <c r="M23" t="e">
        <f t="shared" si="0"/>
        <v>#DIV/0!</v>
      </c>
      <c r="N23" t="e">
        <f t="shared" si="1"/>
        <v>#DIV/0!</v>
      </c>
    </row>
    <row r="24" spans="1:14" x14ac:dyDescent="0.2">
      <c r="A24" t="s">
        <v>55</v>
      </c>
      <c r="B24" t="s">
        <v>129</v>
      </c>
      <c r="C24" t="s">
        <v>32</v>
      </c>
      <c r="D24" t="s">
        <v>33</v>
      </c>
      <c r="E24" t="s">
        <v>33</v>
      </c>
      <c r="F24" t="s">
        <v>55</v>
      </c>
      <c r="G24" s="1" t="s">
        <v>21</v>
      </c>
      <c r="I24" t="e">
        <f t="shared" ref="I24:J25" si="24">I23</f>
        <v>#DIV/0!</v>
      </c>
      <c r="J24" t="e">
        <f t="shared" si="24"/>
        <v>#DIV/0!</v>
      </c>
      <c r="K24" t="e">
        <f>I8</f>
        <v>#DIV/0!</v>
      </c>
      <c r="L24" t="e">
        <f>I20</f>
        <v>#DIV/0!</v>
      </c>
      <c r="M24" t="e">
        <f t="shared" si="0"/>
        <v>#DIV/0!</v>
      </c>
      <c r="N24" t="e">
        <f t="shared" si="1"/>
        <v>#DIV/0!</v>
      </c>
    </row>
    <row r="25" spans="1:14" x14ac:dyDescent="0.2">
      <c r="A25" t="s">
        <v>56</v>
      </c>
      <c r="B25" t="s">
        <v>129</v>
      </c>
      <c r="C25" t="s">
        <v>32</v>
      </c>
      <c r="D25" t="s">
        <v>33</v>
      </c>
      <c r="E25" t="s">
        <v>33</v>
      </c>
      <c r="F25" t="s">
        <v>56</v>
      </c>
      <c r="G25" s="1" t="s">
        <v>21</v>
      </c>
      <c r="I25" t="e">
        <f t="shared" si="24"/>
        <v>#DIV/0!</v>
      </c>
      <c r="J25" t="e">
        <f t="shared" ref="J25" si="25">J23</f>
        <v>#DIV/0!</v>
      </c>
      <c r="K25" t="e">
        <f>I8</f>
        <v>#DIV/0!</v>
      </c>
      <c r="L25" t="e">
        <f>I20</f>
        <v>#DIV/0!</v>
      </c>
      <c r="M25" t="e">
        <f t="shared" si="0"/>
        <v>#DIV/0!</v>
      </c>
      <c r="N25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E26">
        <v>32.267229007222298</v>
      </c>
      <c r="F26" t="s">
        <v>57</v>
      </c>
      <c r="G26" s="4" t="s">
        <v>14</v>
      </c>
      <c r="H26">
        <v>105</v>
      </c>
      <c r="I26" t="e">
        <f t="shared" ref="I26" si="26">AVERAGE(D26:D28)</f>
        <v>#DIV/0!</v>
      </c>
      <c r="J26" t="e">
        <f t="shared" ref="J26" si="27">STDEV(D26:D28)</f>
        <v>#DIV/0!</v>
      </c>
      <c r="K26">
        <f>I2</f>
        <v>32.95556341234775</v>
      </c>
      <c r="L26">
        <f>I14</f>
        <v>15.1058524657458</v>
      </c>
      <c r="M26" t="e">
        <f t="shared" si="0"/>
        <v>#DIV/0!</v>
      </c>
      <c r="N26" t="e">
        <f t="shared" si="1"/>
        <v>#DIV/0!</v>
      </c>
    </row>
    <row r="27" spans="1:14" x14ac:dyDescent="0.2">
      <c r="A27" t="s">
        <v>58</v>
      </c>
      <c r="B27" t="s">
        <v>129</v>
      </c>
      <c r="C27" t="s">
        <v>32</v>
      </c>
      <c r="E27">
        <v>31.472355493170099</v>
      </c>
      <c r="F27" t="s">
        <v>58</v>
      </c>
      <c r="G27" s="4" t="s">
        <v>14</v>
      </c>
      <c r="H27">
        <v>105</v>
      </c>
      <c r="I27" t="e">
        <f t="shared" ref="I27:J27" si="28">I26</f>
        <v>#DIV/0!</v>
      </c>
      <c r="J27" t="e">
        <f t="shared" si="28"/>
        <v>#DIV/0!</v>
      </c>
      <c r="K27">
        <f>I2</f>
        <v>32.95556341234775</v>
      </c>
      <c r="L27">
        <f>I14</f>
        <v>15.1058524657458</v>
      </c>
      <c r="M27" t="e">
        <f t="shared" si="0"/>
        <v>#DIV/0!</v>
      </c>
      <c r="N27" t="e">
        <f t="shared" si="1"/>
        <v>#DIV/0!</v>
      </c>
    </row>
    <row r="28" spans="1:14" x14ac:dyDescent="0.2">
      <c r="A28" t="s">
        <v>59</v>
      </c>
      <c r="B28" t="s">
        <v>129</v>
      </c>
      <c r="C28" t="s">
        <v>32</v>
      </c>
      <c r="E28">
        <v>33.632539367911598</v>
      </c>
      <c r="F28" t="s">
        <v>59</v>
      </c>
      <c r="G28" s="4" t="s">
        <v>14</v>
      </c>
      <c r="H28">
        <v>105</v>
      </c>
      <c r="I28" t="e">
        <f t="shared" ref="I28:J28" si="29">I26</f>
        <v>#DIV/0!</v>
      </c>
      <c r="J28" t="e">
        <f t="shared" si="29"/>
        <v>#DIV/0!</v>
      </c>
      <c r="K28">
        <f>I2</f>
        <v>32.95556341234775</v>
      </c>
      <c r="L28">
        <f>I14</f>
        <v>15.1058524657458</v>
      </c>
      <c r="M28" t="e">
        <f t="shared" si="0"/>
        <v>#DIV/0!</v>
      </c>
      <c r="N28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E29">
        <v>34.783856137963703</v>
      </c>
      <c r="F29" t="s">
        <v>60</v>
      </c>
      <c r="G29" s="1" t="s">
        <v>23</v>
      </c>
      <c r="H29">
        <v>105</v>
      </c>
      <c r="I29" t="e">
        <f t="shared" ref="I29" si="30">AVERAGE(D29:D31)</f>
        <v>#DIV/0!</v>
      </c>
      <c r="J29" t="e">
        <f t="shared" ref="J29" si="31">STDEV(D29:D31)</f>
        <v>#DIV/0!</v>
      </c>
      <c r="K29">
        <f>I2</f>
        <v>32.95556341234775</v>
      </c>
      <c r="L29">
        <f>I14</f>
        <v>15.1058524657458</v>
      </c>
      <c r="M29" t="e">
        <f t="shared" si="0"/>
        <v>#DIV/0!</v>
      </c>
      <c r="N29" t="e">
        <f t="shared" si="1"/>
        <v>#DIV/0!</v>
      </c>
    </row>
    <row r="30" spans="1:14" x14ac:dyDescent="0.2">
      <c r="A30" t="s">
        <v>61</v>
      </c>
      <c r="B30" t="s">
        <v>129</v>
      </c>
      <c r="C30" t="s">
        <v>32</v>
      </c>
      <c r="E30">
        <v>33.259877102722399</v>
      </c>
      <c r="F30" t="s">
        <v>61</v>
      </c>
      <c r="G30" s="1" t="s">
        <v>23</v>
      </c>
      <c r="H30">
        <v>105</v>
      </c>
      <c r="I30" t="e">
        <f t="shared" ref="I30:J31" si="32">I29</f>
        <v>#DIV/0!</v>
      </c>
      <c r="J30" t="e">
        <f t="shared" si="32"/>
        <v>#DIV/0!</v>
      </c>
      <c r="K30">
        <f>I2</f>
        <v>32.95556341234775</v>
      </c>
      <c r="L30">
        <f>I14</f>
        <v>15.1058524657458</v>
      </c>
      <c r="M30" t="e">
        <f t="shared" si="0"/>
        <v>#DIV/0!</v>
      </c>
      <c r="N30" t="e">
        <f t="shared" si="1"/>
        <v>#DIV/0!</v>
      </c>
    </row>
    <row r="31" spans="1:14" x14ac:dyDescent="0.2">
      <c r="A31" t="s">
        <v>62</v>
      </c>
      <c r="B31" t="s">
        <v>129</v>
      </c>
      <c r="C31" t="s">
        <v>32</v>
      </c>
      <c r="E31">
        <v>38.432588839039603</v>
      </c>
      <c r="F31" t="s">
        <v>62</v>
      </c>
      <c r="G31" s="1" t="s">
        <v>23</v>
      </c>
      <c r="H31">
        <v>105</v>
      </c>
      <c r="I31" t="e">
        <f t="shared" si="32"/>
        <v>#DIV/0!</v>
      </c>
      <c r="J31" t="e">
        <f t="shared" ref="J31" si="33">J29</f>
        <v>#DIV/0!</v>
      </c>
      <c r="K31">
        <f>I2</f>
        <v>32.95556341234775</v>
      </c>
      <c r="L31">
        <f>I14</f>
        <v>15.1058524657458</v>
      </c>
      <c r="M31" t="e">
        <f t="shared" si="0"/>
        <v>#DIV/0!</v>
      </c>
      <c r="N31" t="e">
        <f t="shared" si="1"/>
        <v>#DIV/0!</v>
      </c>
    </row>
    <row r="32" spans="1:14" x14ac:dyDescent="0.2">
      <c r="A32" t="s">
        <v>63</v>
      </c>
      <c r="B32" t="s">
        <v>129</v>
      </c>
      <c r="C32" t="s">
        <v>32</v>
      </c>
      <c r="D32" t="s">
        <v>33</v>
      </c>
      <c r="E32" t="s">
        <v>33</v>
      </c>
      <c r="F32" t="s">
        <v>63</v>
      </c>
      <c r="G32" s="4" t="s">
        <v>14</v>
      </c>
      <c r="I32" t="e">
        <f t="shared" ref="I32" si="34">AVERAGE(D32:D34)</f>
        <v>#DIV/0!</v>
      </c>
      <c r="J32" t="e">
        <f t="shared" ref="J32" si="35">STDEV(D32:D34)</f>
        <v>#DIV/0!</v>
      </c>
      <c r="K32" t="e">
        <f>I8</f>
        <v>#DIV/0!</v>
      </c>
      <c r="L32" t="e">
        <f>I20</f>
        <v>#DIV/0!</v>
      </c>
      <c r="M32" t="e">
        <f t="shared" si="0"/>
        <v>#DIV/0!</v>
      </c>
      <c r="N32" t="e">
        <f t="shared" si="1"/>
        <v>#DIV/0!</v>
      </c>
    </row>
    <row r="33" spans="1:14" x14ac:dyDescent="0.2">
      <c r="A33" t="s">
        <v>64</v>
      </c>
      <c r="B33" t="s">
        <v>129</v>
      </c>
      <c r="C33" t="s">
        <v>32</v>
      </c>
      <c r="D33" t="s">
        <v>33</v>
      </c>
      <c r="E33" t="s">
        <v>33</v>
      </c>
      <c r="F33" t="s">
        <v>64</v>
      </c>
      <c r="G33" s="4" t="s">
        <v>14</v>
      </c>
      <c r="I33" t="e">
        <f t="shared" ref="I33:J33" si="36">I32</f>
        <v>#DIV/0!</v>
      </c>
      <c r="J33" t="e">
        <f t="shared" si="36"/>
        <v>#DIV/0!</v>
      </c>
      <c r="K33" t="e">
        <f>I8</f>
        <v>#DIV/0!</v>
      </c>
      <c r="L33" t="e">
        <f>I20</f>
        <v>#DIV/0!</v>
      </c>
      <c r="M33" t="e">
        <f t="shared" si="0"/>
        <v>#DIV/0!</v>
      </c>
      <c r="N33" t="e">
        <f t="shared" si="1"/>
        <v>#DIV/0!</v>
      </c>
    </row>
    <row r="34" spans="1:14" x14ac:dyDescent="0.2">
      <c r="A34" t="s">
        <v>65</v>
      </c>
      <c r="B34" t="s">
        <v>129</v>
      </c>
      <c r="C34" t="s">
        <v>32</v>
      </c>
      <c r="D34" t="s">
        <v>33</v>
      </c>
      <c r="E34" t="s">
        <v>33</v>
      </c>
      <c r="F34" t="s">
        <v>65</v>
      </c>
      <c r="G34" s="4" t="s">
        <v>14</v>
      </c>
      <c r="I34" t="e">
        <f t="shared" ref="I34:J34" si="37">I32</f>
        <v>#DIV/0!</v>
      </c>
      <c r="J34" t="e">
        <f t="shared" si="37"/>
        <v>#DIV/0!</v>
      </c>
      <c r="K34" t="e">
        <f>I8</f>
        <v>#DIV/0!</v>
      </c>
      <c r="L34" t="e">
        <f>I20</f>
        <v>#DIV/0!</v>
      </c>
      <c r="M34" t="e">
        <f t="shared" si="0"/>
        <v>#DIV/0!</v>
      </c>
      <c r="N34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 t="s">
        <v>33</v>
      </c>
      <c r="E35" t="s">
        <v>33</v>
      </c>
      <c r="F35" t="s">
        <v>66</v>
      </c>
      <c r="G35" s="1" t="s">
        <v>23</v>
      </c>
      <c r="I35" t="e">
        <f t="shared" ref="I35" si="38">AVERAGE(D35:D37)</f>
        <v>#DIV/0!</v>
      </c>
      <c r="J35" t="e">
        <f t="shared" ref="J35" si="39">STDEV(D35:D37)</f>
        <v>#DIV/0!</v>
      </c>
      <c r="K35" t="e">
        <f>I8</f>
        <v>#DIV/0!</v>
      </c>
      <c r="L35" t="e">
        <f>I20</f>
        <v>#DIV/0!</v>
      </c>
      <c r="M35" t="e">
        <f t="shared" si="0"/>
        <v>#DIV/0!</v>
      </c>
      <c r="N35" t="e">
        <f t="shared" si="1"/>
        <v>#DIV/0!</v>
      </c>
    </row>
    <row r="36" spans="1:14" x14ac:dyDescent="0.2">
      <c r="A36" t="s">
        <v>67</v>
      </c>
      <c r="B36" t="s">
        <v>129</v>
      </c>
      <c r="C36" t="s">
        <v>32</v>
      </c>
      <c r="D36" t="s">
        <v>33</v>
      </c>
      <c r="E36" t="s">
        <v>33</v>
      </c>
      <c r="F36" t="s">
        <v>67</v>
      </c>
      <c r="G36" s="1" t="s">
        <v>23</v>
      </c>
      <c r="I36" t="e">
        <f t="shared" ref="I36:J37" si="40">I35</f>
        <v>#DIV/0!</v>
      </c>
      <c r="J36" t="e">
        <f t="shared" si="40"/>
        <v>#DIV/0!</v>
      </c>
      <c r="K36" t="e">
        <f>I8</f>
        <v>#DIV/0!</v>
      </c>
      <c r="L36" t="e">
        <f>I20</f>
        <v>#DIV/0!</v>
      </c>
      <c r="M36" t="e">
        <f t="shared" si="0"/>
        <v>#DIV/0!</v>
      </c>
      <c r="N36" t="e">
        <f t="shared" si="1"/>
        <v>#DIV/0!</v>
      </c>
    </row>
    <row r="37" spans="1:14" x14ac:dyDescent="0.2">
      <c r="A37" t="s">
        <v>68</v>
      </c>
      <c r="B37" t="s">
        <v>129</v>
      </c>
      <c r="C37" t="s">
        <v>32</v>
      </c>
      <c r="D37" t="s">
        <v>33</v>
      </c>
      <c r="E37" t="s">
        <v>33</v>
      </c>
      <c r="F37" t="s">
        <v>68</v>
      </c>
      <c r="G37" s="1" t="s">
        <v>23</v>
      </c>
      <c r="I37" t="e">
        <f t="shared" si="40"/>
        <v>#DIV/0!</v>
      </c>
      <c r="J37" t="e">
        <f t="shared" ref="J37" si="41">J35</f>
        <v>#DIV/0!</v>
      </c>
      <c r="K37" t="e">
        <f>I8</f>
        <v>#DIV/0!</v>
      </c>
      <c r="L37" t="e">
        <f>I20</f>
        <v>#DIV/0!</v>
      </c>
      <c r="M37" t="e">
        <f t="shared" si="0"/>
        <v>#DIV/0!</v>
      </c>
      <c r="N3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D38">
        <v>34.634044305359701</v>
      </c>
      <c r="E38">
        <v>34.634044305359701</v>
      </c>
      <c r="F38" t="s">
        <v>69</v>
      </c>
      <c r="G38" s="4" t="s">
        <v>15</v>
      </c>
      <c r="H38">
        <v>105</v>
      </c>
      <c r="I38">
        <f>AVERAGE(D38:D40)</f>
        <v>34.876792408856204</v>
      </c>
      <c r="J38">
        <f>STDEV(D38:D40)</f>
        <v>0.34329766020509678</v>
      </c>
      <c r="K38">
        <f>I2</f>
        <v>32.95556341234775</v>
      </c>
      <c r="L38">
        <f>I14</f>
        <v>15.1058524657458</v>
      </c>
      <c r="M38">
        <f t="shared" si="0"/>
        <v>1.9212289965084537</v>
      </c>
      <c r="N38">
        <f t="shared" si="1"/>
        <v>19.770939943110406</v>
      </c>
    </row>
    <row r="39" spans="1:14" x14ac:dyDescent="0.2">
      <c r="A39" t="s">
        <v>70</v>
      </c>
      <c r="B39" t="s">
        <v>129</v>
      </c>
      <c r="C39" t="s">
        <v>32</v>
      </c>
      <c r="D39">
        <v>35.1195405123527</v>
      </c>
      <c r="E39">
        <v>35.1195405123527</v>
      </c>
      <c r="F39" t="s">
        <v>70</v>
      </c>
      <c r="G39" s="4" t="s">
        <v>15</v>
      </c>
      <c r="H39">
        <v>105</v>
      </c>
      <c r="I39">
        <f t="shared" ref="I39:J39" si="42">I38</f>
        <v>34.876792408856204</v>
      </c>
      <c r="J39">
        <f t="shared" si="42"/>
        <v>0.34329766020509678</v>
      </c>
      <c r="K39">
        <f>I2</f>
        <v>32.95556341234775</v>
      </c>
      <c r="L39">
        <f>I14</f>
        <v>15.1058524657458</v>
      </c>
      <c r="M39">
        <f t="shared" si="0"/>
        <v>1.9212289965084537</v>
      </c>
      <c r="N39">
        <f t="shared" si="1"/>
        <v>19.770939943110406</v>
      </c>
    </row>
    <row r="40" spans="1:14" x14ac:dyDescent="0.2">
      <c r="A40" t="s">
        <v>71</v>
      </c>
      <c r="B40" t="s">
        <v>129</v>
      </c>
      <c r="C40" t="s">
        <v>32</v>
      </c>
      <c r="E40">
        <v>32.500420263413702</v>
      </c>
      <c r="F40" t="s">
        <v>71</v>
      </c>
      <c r="G40" s="4" t="s">
        <v>15</v>
      </c>
      <c r="H40">
        <v>105</v>
      </c>
      <c r="I40">
        <f t="shared" ref="I40:J40" si="43">I38</f>
        <v>34.876792408856204</v>
      </c>
      <c r="J40">
        <f t="shared" si="43"/>
        <v>0.34329766020509678</v>
      </c>
      <c r="K40">
        <f>I2</f>
        <v>32.95556341234775</v>
      </c>
      <c r="L40">
        <f>I14</f>
        <v>15.1058524657458</v>
      </c>
      <c r="M40">
        <f t="shared" si="0"/>
        <v>1.9212289965084537</v>
      </c>
      <c r="N40">
        <f t="shared" si="1"/>
        <v>19.770939943110406</v>
      </c>
    </row>
    <row r="41" spans="1:14" s="17" customFormat="1" x14ac:dyDescent="0.2">
      <c r="A41" s="17" t="s">
        <v>72</v>
      </c>
      <c r="B41" s="17" t="s">
        <v>129</v>
      </c>
      <c r="C41" s="17" t="s">
        <v>32</v>
      </c>
      <c r="E41" s="17" t="s">
        <v>33</v>
      </c>
      <c r="F41" s="17" t="s">
        <v>72</v>
      </c>
      <c r="G41" s="19" t="s">
        <v>22</v>
      </c>
      <c r="H41" s="17">
        <v>105</v>
      </c>
      <c r="I41" s="17" t="e">
        <f>AVERAGE(D41:D43)</f>
        <v>#DIV/0!</v>
      </c>
      <c r="J41" s="17" t="e">
        <f>STDEV(D41:D43)</f>
        <v>#DIV/0!</v>
      </c>
      <c r="K41" s="17">
        <f>I2</f>
        <v>32.95556341234775</v>
      </c>
      <c r="L41" s="17">
        <f>I14</f>
        <v>15.1058524657458</v>
      </c>
      <c r="M41" s="17" t="e">
        <f t="shared" si="0"/>
        <v>#DIV/0!</v>
      </c>
      <c r="N41" s="17" t="e">
        <f t="shared" si="1"/>
        <v>#DIV/0!</v>
      </c>
    </row>
    <row r="42" spans="1:14" s="17" customFormat="1" x14ac:dyDescent="0.2">
      <c r="A42" s="17" t="s">
        <v>73</v>
      </c>
      <c r="B42" s="17" t="s">
        <v>129</v>
      </c>
      <c r="C42" s="17" t="s">
        <v>32</v>
      </c>
      <c r="E42" s="17">
        <v>34.0729936427146</v>
      </c>
      <c r="F42" s="17" t="s">
        <v>73</v>
      </c>
      <c r="G42" s="19" t="s">
        <v>22</v>
      </c>
      <c r="H42" s="17">
        <v>105</v>
      </c>
      <c r="I42" s="17" t="e">
        <f t="shared" ref="I42:J43" si="44">I41</f>
        <v>#DIV/0!</v>
      </c>
      <c r="J42" s="17" t="e">
        <f t="shared" si="44"/>
        <v>#DIV/0!</v>
      </c>
      <c r="K42" s="17">
        <f>I2</f>
        <v>32.95556341234775</v>
      </c>
      <c r="L42" s="17">
        <f>I14</f>
        <v>15.1058524657458</v>
      </c>
      <c r="M42" s="17" t="e">
        <f t="shared" si="0"/>
        <v>#DIV/0!</v>
      </c>
      <c r="N42" s="17" t="e">
        <f t="shared" si="1"/>
        <v>#DIV/0!</v>
      </c>
    </row>
    <row r="43" spans="1:14" s="17" customFormat="1" x14ac:dyDescent="0.2">
      <c r="A43" s="17" t="s">
        <v>74</v>
      </c>
      <c r="B43" s="17" t="s">
        <v>129</v>
      </c>
      <c r="C43" s="17" t="s">
        <v>32</v>
      </c>
      <c r="E43" s="17">
        <v>35.133906409423503</v>
      </c>
      <c r="F43" s="17" t="s">
        <v>74</v>
      </c>
      <c r="G43" s="19" t="s">
        <v>22</v>
      </c>
      <c r="H43" s="17">
        <v>105</v>
      </c>
      <c r="I43" s="17" t="e">
        <f t="shared" si="44"/>
        <v>#DIV/0!</v>
      </c>
      <c r="J43" s="17" t="e">
        <f t="shared" ref="J43" si="45">J41</f>
        <v>#DIV/0!</v>
      </c>
      <c r="K43" s="17">
        <f>I2</f>
        <v>32.95556341234775</v>
      </c>
      <c r="L43" s="17">
        <f>I14</f>
        <v>15.1058524657458</v>
      </c>
      <c r="M43" s="17" t="e">
        <f t="shared" si="0"/>
        <v>#DIV/0!</v>
      </c>
      <c r="N43" s="17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D44" t="s">
        <v>33</v>
      </c>
      <c r="E44" t="s">
        <v>33</v>
      </c>
      <c r="F44" t="s">
        <v>75</v>
      </c>
      <c r="G44" s="4" t="s">
        <v>15</v>
      </c>
      <c r="I44" t="e">
        <f t="shared" ref="I44" si="46">AVERAGE(D44:D46)</f>
        <v>#DIV/0!</v>
      </c>
      <c r="J44" t="e">
        <f t="shared" ref="J44" si="47">STDEV(D44:D46)</f>
        <v>#DIV/0!</v>
      </c>
      <c r="K44" t="e">
        <f>I8</f>
        <v>#DIV/0!</v>
      </c>
      <c r="L44" t="e">
        <f>I20</f>
        <v>#DIV/0!</v>
      </c>
      <c r="M44" t="e">
        <f t="shared" si="0"/>
        <v>#DIV/0!</v>
      </c>
      <c r="N44" t="e">
        <f t="shared" si="1"/>
        <v>#DIV/0!</v>
      </c>
    </row>
    <row r="45" spans="1:14" x14ac:dyDescent="0.2">
      <c r="A45" t="s">
        <v>76</v>
      </c>
      <c r="B45" t="s">
        <v>129</v>
      </c>
      <c r="C45" t="s">
        <v>32</v>
      </c>
      <c r="D45" t="s">
        <v>33</v>
      </c>
      <c r="E45" t="s">
        <v>33</v>
      </c>
      <c r="F45" t="s">
        <v>76</v>
      </c>
      <c r="G45" s="4" t="s">
        <v>15</v>
      </c>
      <c r="I45" t="e">
        <f t="shared" ref="I45:J45" si="48">I44</f>
        <v>#DIV/0!</v>
      </c>
      <c r="J45" t="e">
        <f t="shared" si="48"/>
        <v>#DIV/0!</v>
      </c>
      <c r="K45" t="e">
        <f>I8</f>
        <v>#DIV/0!</v>
      </c>
      <c r="L45" t="e">
        <f>I20</f>
        <v>#DIV/0!</v>
      </c>
      <c r="M45" t="e">
        <f t="shared" si="0"/>
        <v>#DIV/0!</v>
      </c>
      <c r="N45" t="e">
        <f t="shared" si="1"/>
        <v>#DIV/0!</v>
      </c>
    </row>
    <row r="46" spans="1:14" x14ac:dyDescent="0.2">
      <c r="A46" t="s">
        <v>77</v>
      </c>
      <c r="B46" t="s">
        <v>129</v>
      </c>
      <c r="C46" t="s">
        <v>32</v>
      </c>
      <c r="D46" t="s">
        <v>33</v>
      </c>
      <c r="E46" t="s">
        <v>33</v>
      </c>
      <c r="F46" t="s">
        <v>77</v>
      </c>
      <c r="G46" s="4" t="s">
        <v>15</v>
      </c>
      <c r="I46" t="e">
        <f t="shared" ref="I46:J46" si="49">I44</f>
        <v>#DIV/0!</v>
      </c>
      <c r="J46" t="e">
        <f t="shared" si="49"/>
        <v>#DIV/0!</v>
      </c>
      <c r="K46" t="e">
        <f>I8</f>
        <v>#DIV/0!</v>
      </c>
      <c r="L46" t="e">
        <f>I20</f>
        <v>#DIV/0!</v>
      </c>
      <c r="M46" t="e">
        <f t="shared" si="0"/>
        <v>#DIV/0!</v>
      </c>
      <c r="N46" t="e">
        <f t="shared" si="1"/>
        <v>#DIV/0!</v>
      </c>
    </row>
    <row r="47" spans="1:14" x14ac:dyDescent="0.2">
      <c r="A47" t="s">
        <v>78</v>
      </c>
      <c r="B47" t="s">
        <v>129</v>
      </c>
      <c r="C47" t="s">
        <v>32</v>
      </c>
      <c r="D47" t="s">
        <v>33</v>
      </c>
      <c r="E47" t="s">
        <v>33</v>
      </c>
      <c r="F47" t="s">
        <v>78</v>
      </c>
      <c r="G47" s="1" t="s">
        <v>22</v>
      </c>
      <c r="I47">
        <f t="shared" ref="I47" si="50">AVERAGE(D47:D49)</f>
        <v>18.7990885472089</v>
      </c>
      <c r="J47" t="e">
        <f t="shared" ref="J47" si="51">STDEV(D47:D49)</f>
        <v>#DIV/0!</v>
      </c>
      <c r="K47" t="e">
        <f>I8</f>
        <v>#DIV/0!</v>
      </c>
      <c r="L47" t="e">
        <f>I20</f>
        <v>#DIV/0!</v>
      </c>
      <c r="M47" t="e">
        <f t="shared" si="0"/>
        <v>#DIV/0!</v>
      </c>
      <c r="N47" t="e">
        <f t="shared" si="1"/>
        <v>#DIV/0!</v>
      </c>
    </row>
    <row r="48" spans="1:14" x14ac:dyDescent="0.2">
      <c r="A48" t="s">
        <v>79</v>
      </c>
      <c r="B48" t="s">
        <v>129</v>
      </c>
      <c r="C48" t="s">
        <v>32</v>
      </c>
      <c r="D48">
        <v>18.7990885472089</v>
      </c>
      <c r="E48">
        <v>18.7990885472089</v>
      </c>
      <c r="F48" t="s">
        <v>79</v>
      </c>
      <c r="G48" s="1" t="s">
        <v>22</v>
      </c>
      <c r="I48">
        <f t="shared" ref="I48:J49" si="52">I47</f>
        <v>18.7990885472089</v>
      </c>
      <c r="J48" t="e">
        <f t="shared" si="52"/>
        <v>#DIV/0!</v>
      </c>
      <c r="K48" t="e">
        <f>I8</f>
        <v>#DIV/0!</v>
      </c>
      <c r="L48" t="e">
        <f>I20</f>
        <v>#DIV/0!</v>
      </c>
      <c r="M48" t="e">
        <f t="shared" si="0"/>
        <v>#DIV/0!</v>
      </c>
      <c r="N48" t="e">
        <f t="shared" si="1"/>
        <v>#DIV/0!</v>
      </c>
    </row>
    <row r="49" spans="1:14" x14ac:dyDescent="0.2">
      <c r="A49" t="s">
        <v>80</v>
      </c>
      <c r="B49" t="s">
        <v>129</v>
      </c>
      <c r="C49" t="s">
        <v>32</v>
      </c>
      <c r="D49" t="s">
        <v>33</v>
      </c>
      <c r="E49" t="s">
        <v>33</v>
      </c>
      <c r="F49" t="s">
        <v>80</v>
      </c>
      <c r="G49" s="1" t="s">
        <v>22</v>
      </c>
      <c r="I49">
        <f t="shared" si="52"/>
        <v>18.7990885472089</v>
      </c>
      <c r="J49" t="e">
        <f t="shared" ref="J49" si="53">J47</f>
        <v>#DIV/0!</v>
      </c>
      <c r="K49" t="e">
        <f>I8</f>
        <v>#DIV/0!</v>
      </c>
      <c r="L49" t="e">
        <f>I20</f>
        <v>#DIV/0!</v>
      </c>
      <c r="M49" t="e">
        <f t="shared" si="0"/>
        <v>#DIV/0!</v>
      </c>
      <c r="N49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E50">
        <v>32.760717215868603</v>
      </c>
      <c r="F50" t="s">
        <v>81</v>
      </c>
      <c r="G50" s="4" t="s">
        <v>16</v>
      </c>
      <c r="H50">
        <v>105</v>
      </c>
      <c r="I50" t="e">
        <f t="shared" ref="I50" si="54">AVERAGE(D50:D52)</f>
        <v>#DIV/0!</v>
      </c>
      <c r="J50" t="e">
        <f t="shared" ref="J50" si="55">STDEV(D50:D52)</f>
        <v>#DIV/0!</v>
      </c>
      <c r="K50">
        <f>I2</f>
        <v>32.95556341234775</v>
      </c>
      <c r="L50">
        <f>I14</f>
        <v>15.1058524657458</v>
      </c>
      <c r="M50" t="e">
        <f t="shared" si="0"/>
        <v>#DIV/0!</v>
      </c>
      <c r="N50" t="e">
        <f t="shared" si="1"/>
        <v>#DIV/0!</v>
      </c>
    </row>
    <row r="51" spans="1:14" x14ac:dyDescent="0.2">
      <c r="A51" t="s">
        <v>82</v>
      </c>
      <c r="B51" t="s">
        <v>129</v>
      </c>
      <c r="C51" t="s">
        <v>32</v>
      </c>
      <c r="E51">
        <v>33.727692570069699</v>
      </c>
      <c r="F51" t="s">
        <v>82</v>
      </c>
      <c r="G51" s="4" t="s">
        <v>16</v>
      </c>
      <c r="H51">
        <v>105</v>
      </c>
      <c r="I51" t="e">
        <f t="shared" ref="I51:J51" si="56">I50</f>
        <v>#DIV/0!</v>
      </c>
      <c r="J51" t="e">
        <f t="shared" si="56"/>
        <v>#DIV/0!</v>
      </c>
      <c r="K51">
        <f>I2</f>
        <v>32.95556341234775</v>
      </c>
      <c r="L51">
        <f>I14</f>
        <v>15.1058524657458</v>
      </c>
      <c r="M51" t="e">
        <f t="shared" si="0"/>
        <v>#DIV/0!</v>
      </c>
      <c r="N51" t="e">
        <f t="shared" si="1"/>
        <v>#DIV/0!</v>
      </c>
    </row>
    <row r="52" spans="1:14" x14ac:dyDescent="0.2">
      <c r="A52" t="s">
        <v>83</v>
      </c>
      <c r="B52" t="s">
        <v>129</v>
      </c>
      <c r="C52" t="s">
        <v>32</v>
      </c>
      <c r="E52">
        <v>36.484534738552398</v>
      </c>
      <c r="F52" t="s">
        <v>83</v>
      </c>
      <c r="G52" s="4" t="s">
        <v>16</v>
      </c>
      <c r="H52">
        <v>105</v>
      </c>
      <c r="I52" t="e">
        <f t="shared" ref="I52:J52" si="57">I50</f>
        <v>#DIV/0!</v>
      </c>
      <c r="J52" t="e">
        <f t="shared" si="57"/>
        <v>#DIV/0!</v>
      </c>
      <c r="K52">
        <f>I2</f>
        <v>32.95556341234775</v>
      </c>
      <c r="L52">
        <f>I14</f>
        <v>15.1058524657458</v>
      </c>
      <c r="M52" t="e">
        <f t="shared" si="0"/>
        <v>#DIV/0!</v>
      </c>
      <c r="N52" t="e">
        <f t="shared" si="1"/>
        <v>#DIV/0!</v>
      </c>
    </row>
    <row r="53" spans="1:14" x14ac:dyDescent="0.2">
      <c r="A53" t="s">
        <v>84</v>
      </c>
      <c r="B53" t="s">
        <v>129</v>
      </c>
      <c r="C53" t="s">
        <v>32</v>
      </c>
      <c r="E53">
        <v>36.263289552617501</v>
      </c>
      <c r="F53" t="s">
        <v>84</v>
      </c>
      <c r="G53" s="1" t="s">
        <v>24</v>
      </c>
      <c r="H53">
        <v>105</v>
      </c>
      <c r="I53" t="e">
        <f t="shared" ref="I53" si="58">AVERAGE(D53:D55)</f>
        <v>#DIV/0!</v>
      </c>
      <c r="J53" t="e">
        <f t="shared" ref="J53" si="59">STDEV(D53:D55)</f>
        <v>#DIV/0!</v>
      </c>
      <c r="K53">
        <f>I2</f>
        <v>32.95556341234775</v>
      </c>
      <c r="L53">
        <f>I14</f>
        <v>15.1058524657458</v>
      </c>
      <c r="M53" t="e">
        <f t="shared" si="0"/>
        <v>#DIV/0!</v>
      </c>
      <c r="N53" t="e">
        <f t="shared" si="1"/>
        <v>#DIV/0!</v>
      </c>
    </row>
    <row r="54" spans="1:14" x14ac:dyDescent="0.2">
      <c r="A54" t="s">
        <v>85</v>
      </c>
      <c r="B54" t="s">
        <v>129</v>
      </c>
      <c r="C54" t="s">
        <v>32</v>
      </c>
      <c r="E54">
        <v>31.753072142544202</v>
      </c>
      <c r="F54" t="s">
        <v>85</v>
      </c>
      <c r="G54" s="1" t="s">
        <v>24</v>
      </c>
      <c r="H54">
        <v>105</v>
      </c>
      <c r="I54" t="e">
        <f t="shared" ref="I54:J55" si="60">I53</f>
        <v>#DIV/0!</v>
      </c>
      <c r="J54" t="e">
        <f t="shared" si="60"/>
        <v>#DIV/0!</v>
      </c>
      <c r="K54">
        <f>I2</f>
        <v>32.95556341234775</v>
      </c>
      <c r="L54">
        <f>I14</f>
        <v>15.1058524657458</v>
      </c>
      <c r="M54" t="e">
        <f t="shared" si="0"/>
        <v>#DIV/0!</v>
      </c>
      <c r="N54" t="e">
        <f t="shared" si="1"/>
        <v>#DIV/0!</v>
      </c>
    </row>
    <row r="55" spans="1:14" x14ac:dyDescent="0.2">
      <c r="A55" t="s">
        <v>86</v>
      </c>
      <c r="B55" t="s">
        <v>129</v>
      </c>
      <c r="C55" t="s">
        <v>32</v>
      </c>
      <c r="E55">
        <v>33.674442290735001</v>
      </c>
      <c r="F55" t="s">
        <v>86</v>
      </c>
      <c r="G55" s="1" t="s">
        <v>24</v>
      </c>
      <c r="H55">
        <v>105</v>
      </c>
      <c r="I55" t="e">
        <f t="shared" si="60"/>
        <v>#DIV/0!</v>
      </c>
      <c r="J55" t="e">
        <f t="shared" ref="J55" si="61">J53</f>
        <v>#DIV/0!</v>
      </c>
      <c r="K55">
        <f>I2</f>
        <v>32.95556341234775</v>
      </c>
      <c r="L55">
        <f>I14</f>
        <v>15.1058524657458</v>
      </c>
      <c r="M55" t="e">
        <f t="shared" si="0"/>
        <v>#DIV/0!</v>
      </c>
      <c r="N55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 t="s">
        <v>33</v>
      </c>
      <c r="E56" t="s">
        <v>33</v>
      </c>
      <c r="F56" t="s">
        <v>87</v>
      </c>
      <c r="G56" s="4" t="s">
        <v>16</v>
      </c>
      <c r="I56" t="e">
        <f t="shared" ref="I56" si="62">AVERAGE(D56:D58)</f>
        <v>#DIV/0!</v>
      </c>
      <c r="J56" t="e">
        <f t="shared" ref="J56" si="63">STDEV(D56:D58)</f>
        <v>#DIV/0!</v>
      </c>
      <c r="K56" t="e">
        <f>I8</f>
        <v>#DIV/0!</v>
      </c>
      <c r="L56" t="e">
        <f>I20</f>
        <v>#DIV/0!</v>
      </c>
      <c r="M56" t="e">
        <f t="shared" si="0"/>
        <v>#DIV/0!</v>
      </c>
      <c r="N56" t="e">
        <f t="shared" si="1"/>
        <v>#DIV/0!</v>
      </c>
    </row>
    <row r="57" spans="1:14" x14ac:dyDescent="0.2">
      <c r="A57" t="s">
        <v>88</v>
      </c>
      <c r="B57" t="s">
        <v>129</v>
      </c>
      <c r="C57" t="s">
        <v>32</v>
      </c>
      <c r="D57" t="s">
        <v>33</v>
      </c>
      <c r="E57" t="s">
        <v>33</v>
      </c>
      <c r="F57" t="s">
        <v>88</v>
      </c>
      <c r="G57" s="4" t="s">
        <v>16</v>
      </c>
      <c r="I57" t="e">
        <f t="shared" ref="I57:J57" si="64">I56</f>
        <v>#DIV/0!</v>
      </c>
      <c r="J57" t="e">
        <f t="shared" si="64"/>
        <v>#DIV/0!</v>
      </c>
      <c r="K57" t="e">
        <f>I8</f>
        <v>#DIV/0!</v>
      </c>
      <c r="L57" t="e">
        <f>I20</f>
        <v>#DIV/0!</v>
      </c>
      <c r="M57" t="e">
        <f t="shared" si="0"/>
        <v>#DIV/0!</v>
      </c>
      <c r="N57" t="e">
        <f t="shared" si="1"/>
        <v>#DIV/0!</v>
      </c>
    </row>
    <row r="58" spans="1:14" x14ac:dyDescent="0.2">
      <c r="A58" t="s">
        <v>89</v>
      </c>
      <c r="B58" t="s">
        <v>129</v>
      </c>
      <c r="C58" t="s">
        <v>32</v>
      </c>
      <c r="D58" t="s">
        <v>33</v>
      </c>
      <c r="E58" t="s">
        <v>33</v>
      </c>
      <c r="F58" t="s">
        <v>89</v>
      </c>
      <c r="G58" s="4" t="s">
        <v>16</v>
      </c>
      <c r="I58" t="e">
        <f t="shared" ref="I58:J58" si="65">I56</f>
        <v>#DIV/0!</v>
      </c>
      <c r="J58" t="e">
        <f t="shared" si="65"/>
        <v>#DIV/0!</v>
      </c>
      <c r="K58" t="e">
        <f>I8</f>
        <v>#DIV/0!</v>
      </c>
      <c r="L58" t="e">
        <f>I20</f>
        <v>#DIV/0!</v>
      </c>
      <c r="M58" t="e">
        <f t="shared" si="0"/>
        <v>#DIV/0!</v>
      </c>
      <c r="N58" t="e">
        <f t="shared" si="1"/>
        <v>#DIV/0!</v>
      </c>
    </row>
    <row r="59" spans="1:14" x14ac:dyDescent="0.2">
      <c r="A59" t="s">
        <v>90</v>
      </c>
      <c r="B59" t="s">
        <v>129</v>
      </c>
      <c r="C59" t="s">
        <v>32</v>
      </c>
      <c r="E59">
        <v>38.648813306848801</v>
      </c>
      <c r="F59" t="s">
        <v>90</v>
      </c>
      <c r="G59" s="1" t="s">
        <v>24</v>
      </c>
      <c r="I59" t="e">
        <f t="shared" ref="I59" si="66">AVERAGE(D59:D61)</f>
        <v>#DIV/0!</v>
      </c>
      <c r="J59" t="e">
        <f t="shared" ref="J59" si="67">STDEV(D59:D61)</f>
        <v>#DIV/0!</v>
      </c>
      <c r="K59" t="e">
        <f>I8</f>
        <v>#DIV/0!</v>
      </c>
      <c r="L59" t="e">
        <f>I20</f>
        <v>#DIV/0!</v>
      </c>
      <c r="M59" t="e">
        <f t="shared" si="0"/>
        <v>#DIV/0!</v>
      </c>
      <c r="N59" t="e">
        <f t="shared" si="1"/>
        <v>#DIV/0!</v>
      </c>
    </row>
    <row r="60" spans="1:14" x14ac:dyDescent="0.2">
      <c r="A60" t="s">
        <v>91</v>
      </c>
      <c r="B60" t="s">
        <v>129</v>
      </c>
      <c r="C60" t="s">
        <v>32</v>
      </c>
      <c r="E60">
        <v>11.730843286425401</v>
      </c>
      <c r="F60" t="s">
        <v>91</v>
      </c>
      <c r="G60" s="1" t="s">
        <v>24</v>
      </c>
      <c r="I60" t="e">
        <f t="shared" ref="I60:J61" si="68">I59</f>
        <v>#DIV/0!</v>
      </c>
      <c r="J60" t="e">
        <f t="shared" si="68"/>
        <v>#DIV/0!</v>
      </c>
      <c r="K60" t="e">
        <f>I8</f>
        <v>#DIV/0!</v>
      </c>
      <c r="L60" t="e">
        <f>I20</f>
        <v>#DIV/0!</v>
      </c>
      <c r="M60" t="e">
        <f t="shared" si="0"/>
        <v>#DIV/0!</v>
      </c>
      <c r="N60" t="e">
        <f t="shared" si="1"/>
        <v>#DIV/0!</v>
      </c>
    </row>
    <row r="61" spans="1:14" x14ac:dyDescent="0.2">
      <c r="A61" t="s">
        <v>92</v>
      </c>
      <c r="B61" t="s">
        <v>129</v>
      </c>
      <c r="C61" t="s">
        <v>32</v>
      </c>
      <c r="E61" t="s">
        <v>33</v>
      </c>
      <c r="F61" t="s">
        <v>92</v>
      </c>
      <c r="G61" s="1" t="s">
        <v>24</v>
      </c>
      <c r="I61" t="e">
        <f t="shared" si="68"/>
        <v>#DIV/0!</v>
      </c>
      <c r="J61" t="e">
        <f t="shared" ref="J61" si="69">J59</f>
        <v>#DIV/0!</v>
      </c>
      <c r="K61" t="e">
        <f>I8</f>
        <v>#DIV/0!</v>
      </c>
      <c r="L61" t="e">
        <f>I20</f>
        <v>#DIV/0!</v>
      </c>
      <c r="M61" t="e">
        <f t="shared" si="0"/>
        <v>#DIV/0!</v>
      </c>
      <c r="N61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E62">
        <v>33.535994855982104</v>
      </c>
      <c r="F62" t="s">
        <v>93</v>
      </c>
      <c r="G62" s="4" t="s">
        <v>17</v>
      </c>
      <c r="H62">
        <v>105</v>
      </c>
      <c r="I62" t="e">
        <f t="shared" ref="I62" si="70">AVERAGE(D62:D64)</f>
        <v>#DIV/0!</v>
      </c>
      <c r="J62" t="e">
        <f t="shared" ref="J62" si="71">STDEV(D62:D64)</f>
        <v>#DIV/0!</v>
      </c>
      <c r="K62">
        <f>I2</f>
        <v>32.95556341234775</v>
      </c>
      <c r="L62">
        <f>I14</f>
        <v>15.1058524657458</v>
      </c>
      <c r="M62" t="e">
        <f t="shared" si="0"/>
        <v>#DIV/0!</v>
      </c>
      <c r="N62" t="e">
        <f t="shared" si="1"/>
        <v>#DIV/0!</v>
      </c>
    </row>
    <row r="63" spans="1:14" x14ac:dyDescent="0.2">
      <c r="A63" t="s">
        <v>94</v>
      </c>
      <c r="B63" t="s">
        <v>129</v>
      </c>
      <c r="C63" t="s">
        <v>32</v>
      </c>
      <c r="E63">
        <v>31.3493530994614</v>
      </c>
      <c r="F63" t="s">
        <v>94</v>
      </c>
      <c r="G63" s="4" t="s">
        <v>17</v>
      </c>
      <c r="H63">
        <v>105</v>
      </c>
      <c r="I63" t="e">
        <f t="shared" ref="I63:J63" si="72">I62</f>
        <v>#DIV/0!</v>
      </c>
      <c r="J63" t="e">
        <f t="shared" si="72"/>
        <v>#DIV/0!</v>
      </c>
      <c r="K63">
        <f>I2</f>
        <v>32.95556341234775</v>
      </c>
      <c r="L63">
        <f>I14</f>
        <v>15.1058524657458</v>
      </c>
      <c r="M63" t="e">
        <f t="shared" si="0"/>
        <v>#DIV/0!</v>
      </c>
      <c r="N63" t="e">
        <f t="shared" si="1"/>
        <v>#DIV/0!</v>
      </c>
    </row>
    <row r="64" spans="1:14" x14ac:dyDescent="0.2">
      <c r="A64" t="s">
        <v>95</v>
      </c>
      <c r="B64" t="s">
        <v>129</v>
      </c>
      <c r="C64" t="s">
        <v>32</v>
      </c>
      <c r="E64">
        <v>32.565356395342498</v>
      </c>
      <c r="F64" t="s">
        <v>95</v>
      </c>
      <c r="G64" s="4" t="s">
        <v>17</v>
      </c>
      <c r="H64">
        <v>105</v>
      </c>
      <c r="I64" t="e">
        <f t="shared" ref="I64:J64" si="73">I62</f>
        <v>#DIV/0!</v>
      </c>
      <c r="J64" t="e">
        <f t="shared" si="73"/>
        <v>#DIV/0!</v>
      </c>
      <c r="K64">
        <f>I2</f>
        <v>32.95556341234775</v>
      </c>
      <c r="L64">
        <f>I14</f>
        <v>15.1058524657458</v>
      </c>
      <c r="M64" t="e">
        <f t="shared" si="0"/>
        <v>#DIV/0!</v>
      </c>
      <c r="N64" t="e">
        <f t="shared" si="1"/>
        <v>#DIV/0!</v>
      </c>
    </row>
    <row r="65" spans="1:14" x14ac:dyDescent="0.2">
      <c r="A65" t="s">
        <v>96</v>
      </c>
      <c r="B65" t="s">
        <v>129</v>
      </c>
      <c r="C65" t="s">
        <v>32</v>
      </c>
      <c r="E65">
        <v>33.406573373597503</v>
      </c>
      <c r="F65" t="s">
        <v>96</v>
      </c>
      <c r="G65" s="1" t="s">
        <v>25</v>
      </c>
      <c r="H65">
        <v>105</v>
      </c>
      <c r="I65" t="e">
        <f>AVERAGE(D65:D67)</f>
        <v>#DIV/0!</v>
      </c>
      <c r="J65" t="e">
        <f>STDEV(D65:D67)</f>
        <v>#DIV/0!</v>
      </c>
      <c r="K65">
        <f>I2</f>
        <v>32.95556341234775</v>
      </c>
      <c r="L65">
        <f>I14</f>
        <v>15.1058524657458</v>
      </c>
      <c r="M65" t="e">
        <f t="shared" si="0"/>
        <v>#DIV/0!</v>
      </c>
      <c r="N65" t="e">
        <f t="shared" si="1"/>
        <v>#DIV/0!</v>
      </c>
    </row>
    <row r="66" spans="1:14" x14ac:dyDescent="0.2">
      <c r="A66" t="s">
        <v>97</v>
      </c>
      <c r="B66" t="s">
        <v>129</v>
      </c>
      <c r="C66" t="s">
        <v>32</v>
      </c>
      <c r="E66">
        <v>32.687498987164098</v>
      </c>
      <c r="F66" t="s">
        <v>97</v>
      </c>
      <c r="G66" s="1" t="s">
        <v>25</v>
      </c>
      <c r="H66">
        <v>105</v>
      </c>
      <c r="I66" t="e">
        <f t="shared" ref="I66:J67" si="74">I65</f>
        <v>#DIV/0!</v>
      </c>
      <c r="J66" t="e">
        <f t="shared" si="74"/>
        <v>#DIV/0!</v>
      </c>
      <c r="K66">
        <f>I2</f>
        <v>32.95556341234775</v>
      </c>
      <c r="L66">
        <f>I14</f>
        <v>15.1058524657458</v>
      </c>
      <c r="M66" t="e">
        <f t="shared" si="0"/>
        <v>#DIV/0!</v>
      </c>
      <c r="N66" t="e">
        <f t="shared" si="1"/>
        <v>#DIV/0!</v>
      </c>
    </row>
    <row r="67" spans="1:14" x14ac:dyDescent="0.2">
      <c r="A67" t="s">
        <v>98</v>
      </c>
      <c r="B67" t="s">
        <v>129</v>
      </c>
      <c r="C67" t="s">
        <v>32</v>
      </c>
      <c r="F67" t="s">
        <v>98</v>
      </c>
      <c r="G67" s="1" t="s">
        <v>25</v>
      </c>
      <c r="H67">
        <v>105</v>
      </c>
      <c r="I67" t="e">
        <f t="shared" si="74"/>
        <v>#DIV/0!</v>
      </c>
      <c r="J67" t="e">
        <f t="shared" ref="J67" si="75">J65</f>
        <v>#DIV/0!</v>
      </c>
      <c r="K67">
        <f>I2</f>
        <v>32.95556341234775</v>
      </c>
      <c r="L67">
        <f>I14</f>
        <v>15.1058524657458</v>
      </c>
      <c r="M67" t="e">
        <f t="shared" ref="M67:M97" si="76">I67-K67</f>
        <v>#DIV/0!</v>
      </c>
      <c r="N67" t="e">
        <f t="shared" ref="N67:N97" si="77">I67-L67</f>
        <v>#DIV/0!</v>
      </c>
    </row>
    <row r="68" spans="1:14" x14ac:dyDescent="0.2">
      <c r="A68" t="s">
        <v>99</v>
      </c>
      <c r="B68" t="s">
        <v>129</v>
      </c>
      <c r="C68" t="s">
        <v>32</v>
      </c>
      <c r="D68" t="s">
        <v>33</v>
      </c>
      <c r="E68" t="s">
        <v>33</v>
      </c>
      <c r="F68" t="s">
        <v>99</v>
      </c>
      <c r="G68" s="4" t="s">
        <v>17</v>
      </c>
      <c r="I68" t="e">
        <f t="shared" ref="I68" si="78">AVERAGE(D68:D70)</f>
        <v>#DIV/0!</v>
      </c>
      <c r="J68" t="e">
        <f t="shared" ref="J68" si="79">STDEV(D68:D70)</f>
        <v>#DIV/0!</v>
      </c>
      <c r="K68" t="e">
        <f>I8</f>
        <v>#DIV/0!</v>
      </c>
      <c r="L68" t="e">
        <f>I20</f>
        <v>#DIV/0!</v>
      </c>
      <c r="M68" t="e">
        <f t="shared" si="76"/>
        <v>#DIV/0!</v>
      </c>
      <c r="N68" t="e">
        <f t="shared" si="77"/>
        <v>#DIV/0!</v>
      </c>
    </row>
    <row r="69" spans="1:14" x14ac:dyDescent="0.2">
      <c r="A69" t="s">
        <v>100</v>
      </c>
      <c r="B69" t="s">
        <v>129</v>
      </c>
      <c r="C69" t="s">
        <v>32</v>
      </c>
      <c r="D69" t="s">
        <v>33</v>
      </c>
      <c r="E69" t="s">
        <v>33</v>
      </c>
      <c r="F69" t="s">
        <v>100</v>
      </c>
      <c r="G69" s="4" t="s">
        <v>17</v>
      </c>
      <c r="I69" t="e">
        <f t="shared" ref="I69:J69" si="80">I68</f>
        <v>#DIV/0!</v>
      </c>
      <c r="J69" t="e">
        <f t="shared" si="80"/>
        <v>#DIV/0!</v>
      </c>
      <c r="K69" t="e">
        <f>I8</f>
        <v>#DIV/0!</v>
      </c>
      <c r="L69" t="e">
        <f>I20</f>
        <v>#DIV/0!</v>
      </c>
      <c r="M69" t="e">
        <f t="shared" si="76"/>
        <v>#DIV/0!</v>
      </c>
      <c r="N69" t="e">
        <f t="shared" si="77"/>
        <v>#DIV/0!</v>
      </c>
    </row>
    <row r="70" spans="1:14" x14ac:dyDescent="0.2">
      <c r="A70" t="s">
        <v>101</v>
      </c>
      <c r="B70" t="s">
        <v>129</v>
      </c>
      <c r="C70" t="s">
        <v>32</v>
      </c>
      <c r="D70" t="s">
        <v>33</v>
      </c>
      <c r="E70" t="s">
        <v>33</v>
      </c>
      <c r="F70" t="s">
        <v>101</v>
      </c>
      <c r="G70" s="4" t="s">
        <v>17</v>
      </c>
      <c r="I70" t="e">
        <f t="shared" ref="I70:J70" si="81">I68</f>
        <v>#DIV/0!</v>
      </c>
      <c r="J70" t="e">
        <f t="shared" si="81"/>
        <v>#DIV/0!</v>
      </c>
      <c r="K70" t="e">
        <f>I8</f>
        <v>#DIV/0!</v>
      </c>
      <c r="L70" t="e">
        <f>I20</f>
        <v>#DIV/0!</v>
      </c>
      <c r="M70" t="e">
        <f t="shared" si="76"/>
        <v>#DIV/0!</v>
      </c>
      <c r="N70" t="e">
        <f t="shared" si="77"/>
        <v>#DIV/0!</v>
      </c>
    </row>
    <row r="71" spans="1:14" x14ac:dyDescent="0.2">
      <c r="A71" t="s">
        <v>102</v>
      </c>
      <c r="B71" t="s">
        <v>129</v>
      </c>
      <c r="C71" t="s">
        <v>32</v>
      </c>
      <c r="D71" t="s">
        <v>33</v>
      </c>
      <c r="E71" t="s">
        <v>33</v>
      </c>
      <c r="F71" t="s">
        <v>102</v>
      </c>
      <c r="G71" s="1" t="s">
        <v>25</v>
      </c>
      <c r="I71" t="e">
        <f t="shared" ref="I71" si="82">AVERAGE(D71:D73)</f>
        <v>#DIV/0!</v>
      </c>
      <c r="J71" t="e">
        <f t="shared" ref="J71" si="83">STDEV(D71:D73)</f>
        <v>#DIV/0!</v>
      </c>
      <c r="K71" t="e">
        <f>I8</f>
        <v>#DIV/0!</v>
      </c>
      <c r="L71" t="e">
        <f>I20</f>
        <v>#DIV/0!</v>
      </c>
      <c r="M71" t="e">
        <f t="shared" si="76"/>
        <v>#DIV/0!</v>
      </c>
      <c r="N71" t="e">
        <f t="shared" si="77"/>
        <v>#DIV/0!</v>
      </c>
    </row>
    <row r="72" spans="1:14" x14ac:dyDescent="0.2">
      <c r="A72" t="s">
        <v>103</v>
      </c>
      <c r="B72" t="s">
        <v>129</v>
      </c>
      <c r="C72" t="s">
        <v>32</v>
      </c>
      <c r="D72" t="s">
        <v>33</v>
      </c>
      <c r="E72" t="s">
        <v>33</v>
      </c>
      <c r="F72" t="s">
        <v>103</v>
      </c>
      <c r="G72" s="1" t="s">
        <v>25</v>
      </c>
      <c r="I72" t="e">
        <f t="shared" ref="I72:J73" si="84">I71</f>
        <v>#DIV/0!</v>
      </c>
      <c r="J72" t="e">
        <f t="shared" si="84"/>
        <v>#DIV/0!</v>
      </c>
      <c r="K72" t="e">
        <f>I8</f>
        <v>#DIV/0!</v>
      </c>
      <c r="L72" t="e">
        <f>I20</f>
        <v>#DIV/0!</v>
      </c>
      <c r="M72" t="e">
        <f t="shared" si="76"/>
        <v>#DIV/0!</v>
      </c>
      <c r="N72" t="e">
        <f t="shared" si="77"/>
        <v>#DIV/0!</v>
      </c>
    </row>
    <row r="73" spans="1:14" x14ac:dyDescent="0.2">
      <c r="A73" t="s">
        <v>104</v>
      </c>
      <c r="B73" t="s">
        <v>129</v>
      </c>
      <c r="C73" t="s">
        <v>32</v>
      </c>
      <c r="D73" t="s">
        <v>33</v>
      </c>
      <c r="E73" t="s">
        <v>33</v>
      </c>
      <c r="F73" t="s">
        <v>104</v>
      </c>
      <c r="G73" s="1" t="s">
        <v>25</v>
      </c>
      <c r="I73" t="e">
        <f t="shared" si="84"/>
        <v>#DIV/0!</v>
      </c>
      <c r="J73" t="e">
        <f t="shared" ref="J73" si="85">J71</f>
        <v>#DIV/0!</v>
      </c>
      <c r="K73" t="e">
        <f>I8</f>
        <v>#DIV/0!</v>
      </c>
      <c r="L73" t="e">
        <f>I20</f>
        <v>#DIV/0!</v>
      </c>
      <c r="M73" t="e">
        <f t="shared" si="76"/>
        <v>#DIV/0!</v>
      </c>
      <c r="N73" t="e">
        <f t="shared" si="77"/>
        <v>#DIV/0!</v>
      </c>
    </row>
    <row r="74" spans="1:14" x14ac:dyDescent="0.2">
      <c r="A74" t="s">
        <v>105</v>
      </c>
      <c r="B74" t="s">
        <v>129</v>
      </c>
      <c r="C74" t="s">
        <v>32</v>
      </c>
      <c r="E74">
        <v>38.083231330934701</v>
      </c>
      <c r="F74" t="s">
        <v>105</v>
      </c>
      <c r="G74" s="4" t="s">
        <v>18</v>
      </c>
      <c r="H74">
        <v>105</v>
      </c>
      <c r="I74" t="e">
        <f t="shared" ref="I74" si="86">AVERAGE(D74:D76)</f>
        <v>#DIV/0!</v>
      </c>
      <c r="J74" t="e">
        <f>STDEV(D74:D76)</f>
        <v>#DIV/0!</v>
      </c>
      <c r="K74">
        <f>I2</f>
        <v>32.95556341234775</v>
      </c>
      <c r="L74">
        <f>I14</f>
        <v>15.1058524657458</v>
      </c>
      <c r="M74" t="e">
        <f t="shared" si="76"/>
        <v>#DIV/0!</v>
      </c>
      <c r="N74" t="e">
        <f t="shared" si="77"/>
        <v>#DIV/0!</v>
      </c>
    </row>
    <row r="75" spans="1:14" x14ac:dyDescent="0.2">
      <c r="A75" t="s">
        <v>106</v>
      </c>
      <c r="B75" t="s">
        <v>129</v>
      </c>
      <c r="C75" t="s">
        <v>32</v>
      </c>
      <c r="E75" t="s">
        <v>33</v>
      </c>
      <c r="F75" t="s">
        <v>106</v>
      </c>
      <c r="G75" s="4" t="s">
        <v>18</v>
      </c>
      <c r="H75">
        <v>105</v>
      </c>
      <c r="I75" t="e">
        <f t="shared" ref="I75:J75" si="87">I74</f>
        <v>#DIV/0!</v>
      </c>
      <c r="J75" t="e">
        <f t="shared" si="87"/>
        <v>#DIV/0!</v>
      </c>
      <c r="K75">
        <f>I2</f>
        <v>32.95556341234775</v>
      </c>
      <c r="L75">
        <f>I14</f>
        <v>15.1058524657458</v>
      </c>
      <c r="M75" t="e">
        <f t="shared" si="76"/>
        <v>#DIV/0!</v>
      </c>
      <c r="N75" t="e">
        <f t="shared" si="77"/>
        <v>#DIV/0!</v>
      </c>
    </row>
    <row r="76" spans="1:14" x14ac:dyDescent="0.2">
      <c r="A76" t="s">
        <v>107</v>
      </c>
      <c r="B76" t="s">
        <v>129</v>
      </c>
      <c r="C76" t="s">
        <v>32</v>
      </c>
      <c r="E76">
        <v>39.81592263756</v>
      </c>
      <c r="F76" t="s">
        <v>107</v>
      </c>
      <c r="G76" s="4" t="s">
        <v>18</v>
      </c>
      <c r="H76">
        <v>105</v>
      </c>
      <c r="I76" t="e">
        <f t="shared" ref="I76:J76" si="88">I74</f>
        <v>#DIV/0!</v>
      </c>
      <c r="J76" t="e">
        <f t="shared" si="88"/>
        <v>#DIV/0!</v>
      </c>
      <c r="K76">
        <f>I2</f>
        <v>32.95556341234775</v>
      </c>
      <c r="L76">
        <f>I14</f>
        <v>15.1058524657458</v>
      </c>
      <c r="M76" t="e">
        <f t="shared" si="76"/>
        <v>#DIV/0!</v>
      </c>
      <c r="N76" t="e">
        <f t="shared" si="77"/>
        <v>#DIV/0!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89">AVERAGE(D77:D79)</f>
        <v>#DIV/0!</v>
      </c>
      <c r="J77" t="e">
        <f t="shared" ref="J77" si="90">STDEV(D77:D79)</f>
        <v>#DIV/0!</v>
      </c>
      <c r="K77">
        <f>I2</f>
        <v>32.95556341234775</v>
      </c>
      <c r="L77">
        <f>I14</f>
        <v>15.1058524657458</v>
      </c>
      <c r="M77" t="e">
        <f t="shared" si="76"/>
        <v>#DIV/0!</v>
      </c>
      <c r="N77" t="e">
        <f t="shared" si="77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1">I77</f>
        <v>#DIV/0!</v>
      </c>
      <c r="J78" t="e">
        <f t="shared" si="91"/>
        <v>#DIV/0!</v>
      </c>
      <c r="K78">
        <f>I2</f>
        <v>32.95556341234775</v>
      </c>
      <c r="L78">
        <f>I14</f>
        <v>15.1058524657458</v>
      </c>
      <c r="M78" t="e">
        <f t="shared" si="76"/>
        <v>#DIV/0!</v>
      </c>
      <c r="N78" t="e">
        <f t="shared" si="77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1"/>
        <v>#DIV/0!</v>
      </c>
      <c r="J79" t="e">
        <f t="shared" ref="J79" si="92">J77</f>
        <v>#DIV/0!</v>
      </c>
      <c r="K79">
        <f>I2</f>
        <v>32.95556341234775</v>
      </c>
      <c r="L79">
        <f>I14</f>
        <v>15.1058524657458</v>
      </c>
      <c r="M79" t="e">
        <f t="shared" si="76"/>
        <v>#DIV/0!</v>
      </c>
      <c r="N79" t="e">
        <f t="shared" si="77"/>
        <v>#DIV/0!</v>
      </c>
    </row>
    <row r="80" spans="1:14" x14ac:dyDescent="0.2">
      <c r="A80" t="s">
        <v>111</v>
      </c>
      <c r="B80" t="s">
        <v>129</v>
      </c>
      <c r="C80" t="s">
        <v>32</v>
      </c>
      <c r="D80" t="s">
        <v>33</v>
      </c>
      <c r="E80" t="s">
        <v>33</v>
      </c>
      <c r="F80" t="s">
        <v>111</v>
      </c>
      <c r="G80" s="4" t="s">
        <v>18</v>
      </c>
      <c r="I80" t="e">
        <f t="shared" ref="I80" si="93">AVERAGE(D80:D82)</f>
        <v>#DIV/0!</v>
      </c>
      <c r="J80" t="e">
        <f t="shared" ref="J80" si="94">STDEV(D80:D82)</f>
        <v>#DIV/0!</v>
      </c>
      <c r="K80" t="e">
        <f>I8</f>
        <v>#DIV/0!</v>
      </c>
      <c r="L80" t="e">
        <f>I20</f>
        <v>#DIV/0!</v>
      </c>
      <c r="M80" t="e">
        <f t="shared" si="76"/>
        <v>#DIV/0!</v>
      </c>
      <c r="N80" t="e">
        <f t="shared" si="77"/>
        <v>#DIV/0!</v>
      </c>
    </row>
    <row r="81" spans="1:14" x14ac:dyDescent="0.2">
      <c r="A81" t="s">
        <v>112</v>
      </c>
      <c r="B81" t="s">
        <v>129</v>
      </c>
      <c r="C81" t="s">
        <v>32</v>
      </c>
      <c r="D81" t="s">
        <v>33</v>
      </c>
      <c r="E81" t="s">
        <v>33</v>
      </c>
      <c r="F81" t="s">
        <v>112</v>
      </c>
      <c r="G81" s="4" t="s">
        <v>18</v>
      </c>
      <c r="I81" t="e">
        <f t="shared" ref="I81:J81" si="95">I80</f>
        <v>#DIV/0!</v>
      </c>
      <c r="J81" t="e">
        <f t="shared" si="95"/>
        <v>#DIV/0!</v>
      </c>
      <c r="K81" t="e">
        <f>I8</f>
        <v>#DIV/0!</v>
      </c>
      <c r="L81" t="e">
        <f>I20</f>
        <v>#DIV/0!</v>
      </c>
      <c r="M81" t="e">
        <f t="shared" si="76"/>
        <v>#DIV/0!</v>
      </c>
      <c r="N81" t="e">
        <f t="shared" si="77"/>
        <v>#DIV/0!</v>
      </c>
    </row>
    <row r="82" spans="1:14" x14ac:dyDescent="0.2">
      <c r="A82" t="s">
        <v>113</v>
      </c>
      <c r="B82" t="s">
        <v>129</v>
      </c>
      <c r="C82" t="s">
        <v>32</v>
      </c>
      <c r="D82" t="s">
        <v>33</v>
      </c>
      <c r="E82" t="s">
        <v>33</v>
      </c>
      <c r="F82" t="s">
        <v>113</v>
      </c>
      <c r="G82" s="4" t="s">
        <v>18</v>
      </c>
      <c r="I82" t="e">
        <f t="shared" ref="I82:J82" si="96">I80</f>
        <v>#DIV/0!</v>
      </c>
      <c r="J82" t="e">
        <f t="shared" si="96"/>
        <v>#DIV/0!</v>
      </c>
      <c r="K82" t="e">
        <f>I8</f>
        <v>#DIV/0!</v>
      </c>
      <c r="L82" t="e">
        <f>I20</f>
        <v>#DIV/0!</v>
      </c>
      <c r="M82" t="e">
        <f t="shared" si="76"/>
        <v>#DIV/0!</v>
      </c>
      <c r="N82" t="e">
        <f t="shared" si="77"/>
        <v>#DIV/0!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97">AVERAGE(D83:D85)</f>
        <v>#DIV/0!</v>
      </c>
      <c r="J83" t="e">
        <f t="shared" ref="J83" si="98">STDEV(D83:D85)</f>
        <v>#DIV/0!</v>
      </c>
      <c r="K83" t="e">
        <f>I8</f>
        <v>#DIV/0!</v>
      </c>
      <c r="L83" t="e">
        <f>I20</f>
        <v>#DIV/0!</v>
      </c>
      <c r="M83" t="e">
        <f t="shared" si="76"/>
        <v>#DIV/0!</v>
      </c>
      <c r="N83" t="e">
        <f t="shared" si="77"/>
        <v>#DIV/0!</v>
      </c>
    </row>
    <row r="84" spans="1:14" x14ac:dyDescent="0.2">
      <c r="A84" t="s">
        <v>115</v>
      </c>
      <c r="B84" t="s">
        <v>129</v>
      </c>
      <c r="C84" t="s">
        <v>32</v>
      </c>
      <c r="E84">
        <v>14.315267390699301</v>
      </c>
      <c r="F84" t="s">
        <v>115</v>
      </c>
      <c r="I84" t="e">
        <f t="shared" ref="I84:J85" si="99">I83</f>
        <v>#DIV/0!</v>
      </c>
      <c r="J84" t="e">
        <f t="shared" si="99"/>
        <v>#DIV/0!</v>
      </c>
      <c r="K84" t="e">
        <f>I8</f>
        <v>#DIV/0!</v>
      </c>
      <c r="L84" t="e">
        <f>I20</f>
        <v>#DIV/0!</v>
      </c>
      <c r="M84" t="e">
        <f t="shared" si="76"/>
        <v>#DIV/0!</v>
      </c>
      <c r="N84" t="e">
        <f t="shared" si="77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99"/>
        <v>#DIV/0!</v>
      </c>
      <c r="J85" t="e">
        <f t="shared" ref="J85" si="100">J83</f>
        <v>#DIV/0!</v>
      </c>
      <c r="K85" t="e">
        <f>I8</f>
        <v>#DIV/0!</v>
      </c>
      <c r="L85" t="e">
        <f>I20</f>
        <v>#DIV/0!</v>
      </c>
      <c r="M85" t="e">
        <f t="shared" si="76"/>
        <v>#DIV/0!</v>
      </c>
      <c r="N85" t="e">
        <f t="shared" si="77"/>
        <v>#DIV/0!</v>
      </c>
    </row>
    <row r="86" spans="1:14" ht="17" thickBot="1" x14ac:dyDescent="0.25">
      <c r="A86" t="s">
        <v>117</v>
      </c>
      <c r="B86" t="s">
        <v>129</v>
      </c>
      <c r="C86" t="s">
        <v>32</v>
      </c>
      <c r="E86">
        <v>2.76014775088648</v>
      </c>
      <c r="F86" t="s">
        <v>117</v>
      </c>
      <c r="G86" s="6" t="s">
        <v>19</v>
      </c>
      <c r="H86">
        <v>105</v>
      </c>
      <c r="I86" t="e">
        <f t="shared" ref="I86" si="101">AVERAGE(D86:D88)</f>
        <v>#DIV/0!</v>
      </c>
      <c r="J86" t="e">
        <f t="shared" ref="J86" si="102">STDEV(D86:D88)</f>
        <v>#DIV/0!</v>
      </c>
      <c r="K86">
        <f>I2</f>
        <v>32.95556341234775</v>
      </c>
      <c r="L86">
        <f>I14</f>
        <v>15.1058524657458</v>
      </c>
      <c r="M86" t="e">
        <f t="shared" si="76"/>
        <v>#DIV/0!</v>
      </c>
      <c r="N86" t="e">
        <f t="shared" si="77"/>
        <v>#DIV/0!</v>
      </c>
    </row>
    <row r="87" spans="1:14" ht="17" thickBot="1" x14ac:dyDescent="0.25">
      <c r="A87" t="s">
        <v>118</v>
      </c>
      <c r="B87" t="s">
        <v>129</v>
      </c>
      <c r="C87" t="s">
        <v>32</v>
      </c>
      <c r="E87">
        <v>38.1768483972198</v>
      </c>
      <c r="F87" t="s">
        <v>118</v>
      </c>
      <c r="G87" s="6" t="s">
        <v>19</v>
      </c>
      <c r="H87">
        <v>105</v>
      </c>
      <c r="I87" t="e">
        <f t="shared" ref="I87:J87" si="103">I86</f>
        <v>#DIV/0!</v>
      </c>
      <c r="J87" t="e">
        <f t="shared" si="103"/>
        <v>#DIV/0!</v>
      </c>
      <c r="K87">
        <f>I2</f>
        <v>32.95556341234775</v>
      </c>
      <c r="L87">
        <f>I14</f>
        <v>15.1058524657458</v>
      </c>
      <c r="M87" t="e">
        <f t="shared" si="76"/>
        <v>#DIV/0!</v>
      </c>
      <c r="N87" t="e">
        <f t="shared" si="77"/>
        <v>#DIV/0!</v>
      </c>
    </row>
    <row r="88" spans="1:14" ht="17" thickBot="1" x14ac:dyDescent="0.25">
      <c r="A88" t="s">
        <v>119</v>
      </c>
      <c r="B88" t="s">
        <v>129</v>
      </c>
      <c r="C88" t="s">
        <v>32</v>
      </c>
      <c r="E88">
        <v>12.0271361931395</v>
      </c>
      <c r="F88" t="s">
        <v>119</v>
      </c>
      <c r="G88" s="6" t="s">
        <v>19</v>
      </c>
      <c r="H88">
        <v>105</v>
      </c>
      <c r="I88" t="e">
        <f t="shared" ref="I88:J88" si="104">I86</f>
        <v>#DIV/0!</v>
      </c>
      <c r="J88" t="e">
        <f t="shared" si="104"/>
        <v>#DIV/0!</v>
      </c>
      <c r="K88">
        <f>I2</f>
        <v>32.95556341234775</v>
      </c>
      <c r="L88">
        <f>I14</f>
        <v>15.1058524657458</v>
      </c>
      <c r="M88" t="e">
        <f t="shared" si="76"/>
        <v>#DIV/0!</v>
      </c>
      <c r="N88" t="e">
        <f t="shared" si="77"/>
        <v>#DIV/0!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05">AVERAGE(D89:D91)</f>
        <v>#DIV/0!</v>
      </c>
      <c r="J89" t="e">
        <f t="shared" ref="J89" si="106">STDEV(D89:D91)</f>
        <v>#DIV/0!</v>
      </c>
      <c r="K89">
        <f>I2</f>
        <v>32.95556341234775</v>
      </c>
      <c r="L89">
        <f>I14</f>
        <v>15.1058524657458</v>
      </c>
      <c r="M89" t="e">
        <f t="shared" si="76"/>
        <v>#DIV/0!</v>
      </c>
      <c r="N89" t="e">
        <f t="shared" si="77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07">I89</f>
        <v>#DIV/0!</v>
      </c>
      <c r="J90" t="e">
        <f t="shared" si="107"/>
        <v>#DIV/0!</v>
      </c>
      <c r="K90">
        <f>I2</f>
        <v>32.95556341234775</v>
      </c>
      <c r="L90">
        <f>I14</f>
        <v>15.1058524657458</v>
      </c>
      <c r="M90" t="e">
        <f t="shared" si="76"/>
        <v>#DIV/0!</v>
      </c>
      <c r="N90" t="e">
        <f t="shared" si="77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07"/>
        <v>#DIV/0!</v>
      </c>
      <c r="J91" t="e">
        <f t="shared" ref="J91" si="108">J89</f>
        <v>#DIV/0!</v>
      </c>
      <c r="K91">
        <f>I2</f>
        <v>32.95556341234775</v>
      </c>
      <c r="L91">
        <f>I14</f>
        <v>15.1058524657458</v>
      </c>
      <c r="M91" t="e">
        <f t="shared" si="76"/>
        <v>#DIV/0!</v>
      </c>
      <c r="N91" t="e">
        <f t="shared" si="77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 t="s">
        <v>33</v>
      </c>
      <c r="E92" t="s">
        <v>33</v>
      </c>
      <c r="F92" t="s">
        <v>123</v>
      </c>
      <c r="G92" s="6" t="s">
        <v>19</v>
      </c>
      <c r="I92" t="e">
        <f t="shared" ref="I92" si="109">AVERAGE(D92:D94)</f>
        <v>#DIV/0!</v>
      </c>
      <c r="J92" t="e">
        <f t="shared" ref="J92" si="110">STDEV(D92:D94)</f>
        <v>#DIV/0!</v>
      </c>
      <c r="K92" t="e">
        <f>I8</f>
        <v>#DIV/0!</v>
      </c>
      <c r="L92" t="e">
        <f>I20</f>
        <v>#DIV/0!</v>
      </c>
      <c r="M92" t="e">
        <f t="shared" si="76"/>
        <v>#DIV/0!</v>
      </c>
      <c r="N92" t="e">
        <f t="shared" si="77"/>
        <v>#DIV/0!</v>
      </c>
    </row>
    <row r="93" spans="1:14" ht="17" thickBot="1" x14ac:dyDescent="0.25">
      <c r="A93" t="s">
        <v>124</v>
      </c>
      <c r="B93" t="s">
        <v>129</v>
      </c>
      <c r="C93" t="s">
        <v>32</v>
      </c>
      <c r="D93" t="s">
        <v>33</v>
      </c>
      <c r="E93" t="s">
        <v>33</v>
      </c>
      <c r="F93" t="s">
        <v>124</v>
      </c>
      <c r="G93" s="6" t="s">
        <v>19</v>
      </c>
      <c r="I93" t="e">
        <f t="shared" ref="I93:J93" si="111">I92</f>
        <v>#DIV/0!</v>
      </c>
      <c r="J93" t="e">
        <f t="shared" si="111"/>
        <v>#DIV/0!</v>
      </c>
      <c r="K93" t="e">
        <f>I8</f>
        <v>#DIV/0!</v>
      </c>
      <c r="L93" t="e">
        <f>I20</f>
        <v>#DIV/0!</v>
      </c>
      <c r="M93" t="e">
        <f t="shared" si="76"/>
        <v>#DIV/0!</v>
      </c>
      <c r="N93" t="e">
        <f t="shared" si="77"/>
        <v>#DIV/0!</v>
      </c>
    </row>
    <row r="94" spans="1:14" ht="17" thickBot="1" x14ac:dyDescent="0.25">
      <c r="A94" t="s">
        <v>125</v>
      </c>
      <c r="B94" t="s">
        <v>129</v>
      </c>
      <c r="C94" t="s">
        <v>32</v>
      </c>
      <c r="D94" t="s">
        <v>33</v>
      </c>
      <c r="E94" t="s">
        <v>33</v>
      </c>
      <c r="F94" t="s">
        <v>125</v>
      </c>
      <c r="G94" s="6" t="s">
        <v>19</v>
      </c>
      <c r="I94" t="e">
        <f t="shared" ref="I94:J94" si="112">I92</f>
        <v>#DIV/0!</v>
      </c>
      <c r="J94" t="e">
        <f t="shared" si="112"/>
        <v>#DIV/0!</v>
      </c>
      <c r="K94" t="e">
        <f>I8</f>
        <v>#DIV/0!</v>
      </c>
      <c r="L94" t="e">
        <f>I20</f>
        <v>#DIV/0!</v>
      </c>
      <c r="M94" t="e">
        <f t="shared" si="76"/>
        <v>#DIV/0!</v>
      </c>
      <c r="N94" t="e">
        <f t="shared" si="77"/>
        <v>#DIV/0!</v>
      </c>
    </row>
    <row r="95" spans="1:14" x14ac:dyDescent="0.2">
      <c r="A95" t="s">
        <v>126</v>
      </c>
      <c r="B95" t="s">
        <v>129</v>
      </c>
      <c r="C95" t="s">
        <v>32</v>
      </c>
      <c r="D95">
        <v>17.0551299453867</v>
      </c>
      <c r="E95">
        <v>17.0551299453867</v>
      </c>
      <c r="F95" t="s">
        <v>126</v>
      </c>
      <c r="I95">
        <f t="shared" ref="I95" si="113">AVERAGE(D95:D97)</f>
        <v>17.0551299453867</v>
      </c>
      <c r="J95" t="e">
        <f t="shared" ref="J95" si="114">STDEV(D95:D97)</f>
        <v>#DIV/0!</v>
      </c>
      <c r="K95" t="e">
        <f>I8</f>
        <v>#DIV/0!</v>
      </c>
      <c r="L95" t="e">
        <f>I20</f>
        <v>#DIV/0!</v>
      </c>
      <c r="M95" t="e">
        <f t="shared" si="76"/>
        <v>#DIV/0!</v>
      </c>
      <c r="N95" t="e">
        <f t="shared" si="77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>
        <f t="shared" ref="I96:J97" si="115">I95</f>
        <v>17.0551299453867</v>
      </c>
      <c r="J96" t="e">
        <f t="shared" si="115"/>
        <v>#DIV/0!</v>
      </c>
      <c r="K96" t="e">
        <f>I8</f>
        <v>#DIV/0!</v>
      </c>
      <c r="L96" t="e">
        <f>I20</f>
        <v>#DIV/0!</v>
      </c>
      <c r="M96" t="e">
        <f t="shared" si="76"/>
        <v>#DIV/0!</v>
      </c>
      <c r="N96" t="e">
        <f t="shared" si="77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>
        <f t="shared" si="115"/>
        <v>17.0551299453867</v>
      </c>
      <c r="J97" t="e">
        <f t="shared" ref="J97" si="116">J95</f>
        <v>#DIV/0!</v>
      </c>
      <c r="K97" t="e">
        <f>I8</f>
        <v>#DIV/0!</v>
      </c>
      <c r="L97" t="e">
        <f>I20</f>
        <v>#DIV/0!</v>
      </c>
      <c r="M97" t="e">
        <f t="shared" si="76"/>
        <v>#DIV/0!</v>
      </c>
      <c r="N97" t="e">
        <f t="shared" si="77"/>
        <v>#DIV/0!</v>
      </c>
    </row>
  </sheetData>
  <conditionalFormatting sqref="J2:J97">
    <cfRule type="cellIs" dxfId="20" priority="1" operator="greaterThan">
      <formula>0.3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8BB0-E4D0-E643-99C6-915A7141FD83}">
  <dimension ref="A1:N97"/>
  <sheetViews>
    <sheetView topLeftCell="A50" zoomScale="130" zoomScaleNormal="130" workbookViewId="0">
      <selection activeCell="A92" sqref="A92:XFD94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30.8841194573228</v>
      </c>
      <c r="E2">
        <v>30.8841194573228</v>
      </c>
      <c r="F2" t="s">
        <v>31</v>
      </c>
      <c r="G2" s="9" t="s">
        <v>9</v>
      </c>
      <c r="H2">
        <v>106</v>
      </c>
      <c r="I2">
        <f>AVERAGE(D2:D4)</f>
        <v>31.321015343702769</v>
      </c>
      <c r="J2">
        <f>STDEV(D2:D4)</f>
        <v>0.44237022623127004</v>
      </c>
      <c r="K2">
        <f>I2</f>
        <v>31.321015343702769</v>
      </c>
      <c r="L2">
        <f>I14</f>
        <v>17.454782908896398</v>
      </c>
      <c r="M2">
        <f>I2-K2</f>
        <v>0</v>
      </c>
      <c r="N2">
        <f>I2-L2</f>
        <v>13.866232434806371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31.7686638658713</v>
      </c>
      <c r="E3">
        <v>31.7686638658713</v>
      </c>
      <c r="F3" t="s">
        <v>34</v>
      </c>
      <c r="G3" s="9" t="s">
        <v>9</v>
      </c>
      <c r="H3">
        <v>106</v>
      </c>
      <c r="I3">
        <f>I2</f>
        <v>31.321015343702769</v>
      </c>
      <c r="J3">
        <f>J2</f>
        <v>0.44237022623127004</v>
      </c>
      <c r="K3">
        <f>I2</f>
        <v>31.321015343702769</v>
      </c>
      <c r="L3">
        <f>I14</f>
        <v>17.454782908896398</v>
      </c>
      <c r="M3">
        <f t="shared" ref="M3:M66" si="0">I3-K3</f>
        <v>0</v>
      </c>
      <c r="N3">
        <f t="shared" ref="N3:N66" si="1">I3-L3</f>
        <v>13.866232434806371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31.310262707914202</v>
      </c>
      <c r="E4">
        <v>31.310262707914202</v>
      </c>
      <c r="F4" t="s">
        <v>35</v>
      </c>
      <c r="G4" s="9" t="s">
        <v>9</v>
      </c>
      <c r="H4">
        <v>106</v>
      </c>
      <c r="I4">
        <f>I2</f>
        <v>31.321015343702769</v>
      </c>
      <c r="J4">
        <f>J2</f>
        <v>0.44237022623127004</v>
      </c>
      <c r="K4">
        <f>I2</f>
        <v>31.321015343702769</v>
      </c>
      <c r="L4">
        <f>I14</f>
        <v>17.454782908896398</v>
      </c>
      <c r="M4">
        <f t="shared" si="0"/>
        <v>0</v>
      </c>
      <c r="N4">
        <f t="shared" si="1"/>
        <v>13.866232434806371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32.221682239362103</v>
      </c>
      <c r="E5">
        <v>32.221682239362103</v>
      </c>
      <c r="F5" t="s">
        <v>36</v>
      </c>
      <c r="G5" s="2" t="s">
        <v>20</v>
      </c>
      <c r="H5">
        <v>106</v>
      </c>
      <c r="I5">
        <f>AVERAGE(D5:D7)</f>
        <v>31.880213360896466</v>
      </c>
      <c r="J5">
        <f>STDEV(D5:D7)</f>
        <v>0.4217620177119108</v>
      </c>
      <c r="K5">
        <f>I2</f>
        <v>31.321015343702769</v>
      </c>
      <c r="L5">
        <f>I14</f>
        <v>17.454782908896398</v>
      </c>
      <c r="M5">
        <f t="shared" si="0"/>
        <v>0.55919801719369744</v>
      </c>
      <c r="N5">
        <f t="shared" si="1"/>
        <v>14.425430452000068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31.408759029797501</v>
      </c>
      <c r="E6">
        <v>31.408759029797501</v>
      </c>
      <c r="F6" t="s">
        <v>37</v>
      </c>
      <c r="G6" s="2" t="s">
        <v>20</v>
      </c>
      <c r="H6">
        <v>106</v>
      </c>
      <c r="I6">
        <f>I5</f>
        <v>31.880213360896466</v>
      </c>
      <c r="J6">
        <f>J5</f>
        <v>0.4217620177119108</v>
      </c>
      <c r="K6">
        <f>I2</f>
        <v>31.321015343702769</v>
      </c>
      <c r="L6">
        <f>I14</f>
        <v>17.454782908896398</v>
      </c>
      <c r="M6">
        <f t="shared" si="0"/>
        <v>0.55919801719369744</v>
      </c>
      <c r="N6">
        <f t="shared" si="1"/>
        <v>14.425430452000068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32.010198813529797</v>
      </c>
      <c r="E7">
        <v>32.010198813529797</v>
      </c>
      <c r="F7" t="s">
        <v>38</v>
      </c>
      <c r="G7" s="2" t="s">
        <v>20</v>
      </c>
      <c r="H7">
        <v>106</v>
      </c>
      <c r="I7">
        <f>I6</f>
        <v>31.880213360896466</v>
      </c>
      <c r="J7">
        <f>J5</f>
        <v>0.4217620177119108</v>
      </c>
      <c r="K7">
        <f>I2</f>
        <v>31.321015343702769</v>
      </c>
      <c r="L7">
        <f>I14</f>
        <v>17.454782908896398</v>
      </c>
      <c r="M7">
        <f t="shared" si="0"/>
        <v>0.55919801719369744</v>
      </c>
      <c r="N7">
        <f t="shared" si="1"/>
        <v>14.425430452000068</v>
      </c>
    </row>
    <row r="8" spans="1:14" ht="17" thickBot="1" x14ac:dyDescent="0.25">
      <c r="A8" t="s">
        <v>39</v>
      </c>
      <c r="B8" t="s">
        <v>129</v>
      </c>
      <c r="C8" t="s">
        <v>32</v>
      </c>
      <c r="E8">
        <v>30.6022436259315</v>
      </c>
      <c r="F8" t="s">
        <v>39</v>
      </c>
      <c r="G8" s="9" t="s">
        <v>9</v>
      </c>
      <c r="H8">
        <v>107</v>
      </c>
      <c r="I8">
        <f t="shared" ref="I8" si="2">AVERAGE(D8:D10)</f>
        <v>31.51513322187845</v>
      </c>
      <c r="J8">
        <f t="shared" ref="J8" si="3">STDEV(D8:D10)</f>
        <v>0.16488645957560058</v>
      </c>
      <c r="K8">
        <f>I8</f>
        <v>31.51513322187845</v>
      </c>
      <c r="L8">
        <f>I20</f>
        <v>15.831431081187068</v>
      </c>
      <c r="M8">
        <f t="shared" si="0"/>
        <v>0</v>
      </c>
      <c r="N8">
        <f t="shared" si="1"/>
        <v>15.683702140691382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31.398540888186702</v>
      </c>
      <c r="E9">
        <v>31.398540888186702</v>
      </c>
      <c r="F9" t="s">
        <v>40</v>
      </c>
      <c r="G9" s="9" t="s">
        <v>9</v>
      </c>
      <c r="H9">
        <v>107</v>
      </c>
      <c r="I9">
        <f t="shared" ref="I9:J9" si="4">I8</f>
        <v>31.51513322187845</v>
      </c>
      <c r="J9">
        <f t="shared" si="4"/>
        <v>0.16488645957560058</v>
      </c>
      <c r="K9">
        <f>I8</f>
        <v>31.51513322187845</v>
      </c>
      <c r="L9">
        <f>I20</f>
        <v>15.831431081187068</v>
      </c>
      <c r="M9">
        <f t="shared" si="0"/>
        <v>0</v>
      </c>
      <c r="N9">
        <f t="shared" si="1"/>
        <v>15.683702140691382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31.631725555570199</v>
      </c>
      <c r="E10">
        <v>31.631725555570199</v>
      </c>
      <c r="F10" t="s">
        <v>41</v>
      </c>
      <c r="G10" s="9" t="s">
        <v>9</v>
      </c>
      <c r="H10">
        <v>107</v>
      </c>
      <c r="I10">
        <f t="shared" ref="I10:J10" si="5">I8</f>
        <v>31.51513322187845</v>
      </c>
      <c r="J10">
        <f t="shared" si="5"/>
        <v>0.16488645957560058</v>
      </c>
      <c r="K10">
        <f>I8</f>
        <v>31.51513322187845</v>
      </c>
      <c r="L10">
        <f>I20</f>
        <v>15.831431081187068</v>
      </c>
      <c r="M10">
        <f t="shared" si="0"/>
        <v>0</v>
      </c>
      <c r="N10">
        <f t="shared" si="1"/>
        <v>15.683702140691382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32.667925980411802</v>
      </c>
      <c r="F11" s="17" t="s">
        <v>42</v>
      </c>
      <c r="G11" s="18" t="s">
        <v>20</v>
      </c>
      <c r="H11" s="17">
        <v>107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31.51513322187845</v>
      </c>
      <c r="L11" s="17">
        <f>I20</f>
        <v>15.831431081187068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>
        <v>31.261202383335601</v>
      </c>
      <c r="F12" s="17" t="s">
        <v>43</v>
      </c>
      <c r="G12" s="18" t="s">
        <v>20</v>
      </c>
      <c r="H12" s="17">
        <v>107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31.51513322187845</v>
      </c>
      <c r="L12" s="17">
        <f>I20</f>
        <v>15.831431081187068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 t="s">
        <v>33</v>
      </c>
      <c r="F13" s="17" t="s">
        <v>44</v>
      </c>
      <c r="G13" s="18" t="s">
        <v>20</v>
      </c>
      <c r="H13" s="17">
        <v>107</v>
      </c>
      <c r="I13" s="17" t="e">
        <f t="shared" si="8"/>
        <v>#DIV/0!</v>
      </c>
      <c r="J13" s="17" t="e">
        <f t="shared" ref="J13" si="9">J11</f>
        <v>#DIV/0!</v>
      </c>
      <c r="K13" s="17">
        <f>I8</f>
        <v>31.51513322187845</v>
      </c>
      <c r="L13" s="17">
        <f>I20</f>
        <v>15.831431081187068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E14">
        <v>18.045703746176802</v>
      </c>
      <c r="F14" t="s">
        <v>45</v>
      </c>
      <c r="G14" s="11" t="s">
        <v>8</v>
      </c>
      <c r="H14">
        <v>106</v>
      </c>
      <c r="I14">
        <f t="shared" ref="I14" si="10">AVERAGE(D14:D16)</f>
        <v>17.454782908896398</v>
      </c>
      <c r="J14">
        <f t="shared" ref="J14" si="11">STDEV(D14:D16)</f>
        <v>8.5389482912015008E-2</v>
      </c>
      <c r="K14">
        <f>I2</f>
        <v>31.321015343702769</v>
      </c>
      <c r="L14">
        <f>I14</f>
        <v>17.454782908896398</v>
      </c>
      <c r="M14">
        <f t="shared" si="0"/>
        <v>-13.866232434806371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17.394403426487301</v>
      </c>
      <c r="E15">
        <v>17.394403426487301</v>
      </c>
      <c r="F15" t="s">
        <v>46</v>
      </c>
      <c r="G15" s="11" t="s">
        <v>8</v>
      </c>
      <c r="H15">
        <v>106</v>
      </c>
      <c r="I15">
        <f t="shared" ref="I15:J15" si="12">I14</f>
        <v>17.454782908896398</v>
      </c>
      <c r="J15">
        <f t="shared" si="12"/>
        <v>8.5389482912015008E-2</v>
      </c>
      <c r="K15">
        <f>I2</f>
        <v>31.321015343702769</v>
      </c>
      <c r="L15">
        <f>I14</f>
        <v>17.454782908896398</v>
      </c>
      <c r="M15">
        <f t="shared" si="0"/>
        <v>-13.866232434806371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17.515162391305498</v>
      </c>
      <c r="E16">
        <v>17.515162391305498</v>
      </c>
      <c r="F16" t="s">
        <v>47</v>
      </c>
      <c r="G16" s="11" t="s">
        <v>8</v>
      </c>
      <c r="H16">
        <v>106</v>
      </c>
      <c r="I16">
        <f t="shared" ref="I16:J16" si="13">I14</f>
        <v>17.454782908896398</v>
      </c>
      <c r="J16">
        <f t="shared" si="13"/>
        <v>8.5389482912015008E-2</v>
      </c>
      <c r="K16">
        <f>I2</f>
        <v>31.321015343702769</v>
      </c>
      <c r="L16">
        <f>I14</f>
        <v>17.454782908896398</v>
      </c>
      <c r="M16">
        <f t="shared" si="0"/>
        <v>-13.866232434806371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E17">
        <v>32.481727505959299</v>
      </c>
      <c r="F17" t="s">
        <v>48</v>
      </c>
      <c r="G17" s="1" t="s">
        <v>21</v>
      </c>
      <c r="H17">
        <v>106</v>
      </c>
      <c r="I17">
        <f t="shared" ref="I17" si="14">AVERAGE(D17:D19)</f>
        <v>31.930128343819401</v>
      </c>
      <c r="J17">
        <f t="shared" ref="J17" si="15">STDEV(D17:D19)</f>
        <v>0.2318849389535757</v>
      </c>
      <c r="K17">
        <f>I2</f>
        <v>31.321015343702769</v>
      </c>
      <c r="L17">
        <f>I14</f>
        <v>17.454782908896398</v>
      </c>
      <c r="M17">
        <f t="shared" si="0"/>
        <v>0.60911300011663272</v>
      </c>
      <c r="N17">
        <f t="shared" si="1"/>
        <v>14.475345434923003</v>
      </c>
    </row>
    <row r="18" spans="1:14" x14ac:dyDescent="0.2">
      <c r="A18" t="s">
        <v>49</v>
      </c>
      <c r="B18" t="s">
        <v>129</v>
      </c>
      <c r="C18" t="s">
        <v>32</v>
      </c>
      <c r="D18">
        <v>31.766160931030299</v>
      </c>
      <c r="E18">
        <v>31.766160931030299</v>
      </c>
      <c r="F18" t="s">
        <v>49</v>
      </c>
      <c r="G18" s="1" t="s">
        <v>21</v>
      </c>
      <c r="H18">
        <v>106</v>
      </c>
      <c r="I18">
        <f t="shared" ref="I18:J19" si="16">I17</f>
        <v>31.930128343819401</v>
      </c>
      <c r="J18">
        <f t="shared" si="16"/>
        <v>0.2318849389535757</v>
      </c>
      <c r="K18">
        <f>I2</f>
        <v>31.321015343702769</v>
      </c>
      <c r="L18">
        <f>I14</f>
        <v>17.454782908896398</v>
      </c>
      <c r="M18">
        <f t="shared" si="0"/>
        <v>0.60911300011663272</v>
      </c>
      <c r="N18">
        <f t="shared" si="1"/>
        <v>14.475345434923003</v>
      </c>
    </row>
    <row r="19" spans="1:14" x14ac:dyDescent="0.2">
      <c r="A19" t="s">
        <v>50</v>
      </c>
      <c r="B19" t="s">
        <v>129</v>
      </c>
      <c r="C19" t="s">
        <v>32</v>
      </c>
      <c r="D19">
        <v>32.094095756608503</v>
      </c>
      <c r="E19">
        <v>32.094095756608503</v>
      </c>
      <c r="F19" t="s">
        <v>50</v>
      </c>
      <c r="G19" s="1" t="s">
        <v>21</v>
      </c>
      <c r="H19">
        <v>106</v>
      </c>
      <c r="I19">
        <f t="shared" si="16"/>
        <v>31.930128343819401</v>
      </c>
      <c r="J19">
        <f t="shared" ref="J19" si="17">J17</f>
        <v>0.2318849389535757</v>
      </c>
      <c r="K19">
        <f>I2</f>
        <v>31.321015343702769</v>
      </c>
      <c r="L19">
        <f>I14</f>
        <v>17.454782908896398</v>
      </c>
      <c r="M19">
        <f t="shared" si="0"/>
        <v>0.60911300011663272</v>
      </c>
      <c r="N19">
        <f t="shared" si="1"/>
        <v>14.475345434923003</v>
      </c>
    </row>
    <row r="20" spans="1:14" x14ac:dyDescent="0.2">
      <c r="A20" t="s">
        <v>51</v>
      </c>
      <c r="B20" t="s">
        <v>129</v>
      </c>
      <c r="C20" t="s">
        <v>32</v>
      </c>
      <c r="D20">
        <v>15.62330096793</v>
      </c>
      <c r="E20">
        <v>15.62330096793</v>
      </c>
      <c r="F20" t="s">
        <v>51</v>
      </c>
      <c r="G20" s="11" t="s">
        <v>8</v>
      </c>
      <c r="H20">
        <v>107</v>
      </c>
      <c r="I20">
        <f t="shared" ref="I20" si="18">AVERAGE(D20:D22)</f>
        <v>15.831431081187068</v>
      </c>
      <c r="J20">
        <f t="shared" ref="J20" si="19">STDEV(D20:D22)</f>
        <v>0.20173473161490044</v>
      </c>
      <c r="K20">
        <f>I8</f>
        <v>31.51513322187845</v>
      </c>
      <c r="L20">
        <f>I20</f>
        <v>15.831431081187068</v>
      </c>
      <c r="M20">
        <f t="shared" si="0"/>
        <v>-15.683702140691382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16.026095773060099</v>
      </c>
      <c r="E21">
        <v>16.026095773060099</v>
      </c>
      <c r="F21" t="s">
        <v>52</v>
      </c>
      <c r="G21" s="11" t="s">
        <v>8</v>
      </c>
      <c r="H21">
        <v>107</v>
      </c>
      <c r="I21">
        <f t="shared" ref="I21:J21" si="20">I20</f>
        <v>15.831431081187068</v>
      </c>
      <c r="J21">
        <f t="shared" si="20"/>
        <v>0.20173473161490044</v>
      </c>
      <c r="K21">
        <f>I8</f>
        <v>31.51513322187845</v>
      </c>
      <c r="L21">
        <f>I20</f>
        <v>15.831431081187068</v>
      </c>
      <c r="M21">
        <f t="shared" si="0"/>
        <v>-15.683702140691382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15.8448965025711</v>
      </c>
      <c r="E22">
        <v>15.8448965025711</v>
      </c>
      <c r="F22" t="s">
        <v>53</v>
      </c>
      <c r="G22" s="11" t="s">
        <v>8</v>
      </c>
      <c r="H22">
        <v>107</v>
      </c>
      <c r="I22">
        <f t="shared" ref="I22:J22" si="21">I20</f>
        <v>15.831431081187068</v>
      </c>
      <c r="J22">
        <f t="shared" si="21"/>
        <v>0.20173473161490044</v>
      </c>
      <c r="K22">
        <f>I8</f>
        <v>31.51513322187845</v>
      </c>
      <c r="L22">
        <f>I20</f>
        <v>15.831431081187068</v>
      </c>
      <c r="M22">
        <f t="shared" si="0"/>
        <v>-15.683702140691382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36.172984866719403</v>
      </c>
      <c r="F23" s="17" t="s">
        <v>54</v>
      </c>
      <c r="G23" s="19" t="s">
        <v>21</v>
      </c>
      <c r="H23" s="17">
        <v>107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31.51513322187845</v>
      </c>
      <c r="L23" s="17">
        <f>I20</f>
        <v>15.831431081187068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33.702185683543497</v>
      </c>
      <c r="F24" s="17" t="s">
        <v>55</v>
      </c>
      <c r="G24" s="19" t="s">
        <v>21</v>
      </c>
      <c r="H24" s="17">
        <v>107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31.51513322187845</v>
      </c>
      <c r="L24" s="17">
        <f>I20</f>
        <v>15.831431081187068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17.163400673621599</v>
      </c>
      <c r="F25" s="17" t="s">
        <v>56</v>
      </c>
      <c r="G25" s="19" t="s">
        <v>21</v>
      </c>
      <c r="H25" s="17">
        <v>107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31.51513322187845</v>
      </c>
      <c r="L25" s="17">
        <f>I20</f>
        <v>15.831431081187068</v>
      </c>
      <c r="M25" s="17" t="e">
        <f t="shared" si="0"/>
        <v>#DIV/0!</v>
      </c>
      <c r="N25" s="17" t="e">
        <f t="shared" si="1"/>
        <v>#DIV/0!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31.063013840321101</v>
      </c>
      <c r="F26" s="17" t="s">
        <v>57</v>
      </c>
      <c r="G26" s="20" t="s">
        <v>14</v>
      </c>
      <c r="H26" s="17">
        <v>106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31.321015343702769</v>
      </c>
      <c r="L26" s="17">
        <f>I14</f>
        <v>17.454782908896398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33.258272624394799</v>
      </c>
      <c r="F27" s="17" t="s">
        <v>58</v>
      </c>
      <c r="G27" s="20" t="s">
        <v>14</v>
      </c>
      <c r="H27" s="17">
        <v>106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31.321015343702769</v>
      </c>
      <c r="L27" s="17">
        <f>I14</f>
        <v>17.454782908896398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29.971710432612898</v>
      </c>
      <c r="F28" s="17" t="s">
        <v>59</v>
      </c>
      <c r="G28" s="20" t="s">
        <v>14</v>
      </c>
      <c r="H28" s="17">
        <v>106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31.321015343702769</v>
      </c>
      <c r="L28" s="17">
        <f>I14</f>
        <v>17.454782908896398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31.068846287290501</v>
      </c>
      <c r="E29">
        <v>31.068846287290501</v>
      </c>
      <c r="F29" t="s">
        <v>60</v>
      </c>
      <c r="G29" s="1" t="s">
        <v>23</v>
      </c>
      <c r="H29">
        <v>106</v>
      </c>
      <c r="I29">
        <f t="shared" ref="I29" si="30">AVERAGE(D29:D31)</f>
        <v>31.163357063465</v>
      </c>
      <c r="J29">
        <f t="shared" ref="J29" si="31">STDEV(D29:D31)</f>
        <v>0.13365842145638382</v>
      </c>
      <c r="K29">
        <f>I2</f>
        <v>31.321015343702769</v>
      </c>
      <c r="L29">
        <f>I14</f>
        <v>17.454782908896398</v>
      </c>
      <c r="M29">
        <f t="shared" si="0"/>
        <v>-0.15765828023776862</v>
      </c>
      <c r="N29">
        <f t="shared" si="1"/>
        <v>13.708574154568602</v>
      </c>
    </row>
    <row r="30" spans="1:14" x14ac:dyDescent="0.2">
      <c r="A30" t="s">
        <v>61</v>
      </c>
      <c r="B30" t="s">
        <v>129</v>
      </c>
      <c r="C30" t="s">
        <v>32</v>
      </c>
      <c r="D30">
        <v>31.257867839639498</v>
      </c>
      <c r="E30">
        <v>31.257867839639498</v>
      </c>
      <c r="F30" t="s">
        <v>61</v>
      </c>
      <c r="G30" s="1" t="s">
        <v>23</v>
      </c>
      <c r="H30">
        <v>106</v>
      </c>
      <c r="I30">
        <f t="shared" ref="I30:J31" si="32">I29</f>
        <v>31.163357063465</v>
      </c>
      <c r="J30">
        <f t="shared" si="32"/>
        <v>0.13365842145638382</v>
      </c>
      <c r="K30">
        <f>I2</f>
        <v>31.321015343702769</v>
      </c>
      <c r="L30">
        <f>I14</f>
        <v>17.454782908896398</v>
      </c>
      <c r="M30">
        <f t="shared" si="0"/>
        <v>-0.15765828023776862</v>
      </c>
      <c r="N30">
        <f t="shared" si="1"/>
        <v>13.708574154568602</v>
      </c>
    </row>
    <row r="31" spans="1:14" x14ac:dyDescent="0.2">
      <c r="A31" t="s">
        <v>62</v>
      </c>
      <c r="B31" t="s">
        <v>129</v>
      </c>
      <c r="C31" t="s">
        <v>32</v>
      </c>
      <c r="E31">
        <v>32.201121751753</v>
      </c>
      <c r="F31" t="s">
        <v>62</v>
      </c>
      <c r="G31" s="1" t="s">
        <v>23</v>
      </c>
      <c r="H31">
        <v>106</v>
      </c>
      <c r="I31">
        <f t="shared" si="32"/>
        <v>31.163357063465</v>
      </c>
      <c r="J31">
        <f t="shared" ref="J31" si="33">J29</f>
        <v>0.13365842145638382</v>
      </c>
      <c r="K31">
        <f>I2</f>
        <v>31.321015343702769</v>
      </c>
      <c r="L31">
        <f>I14</f>
        <v>17.454782908896398</v>
      </c>
      <c r="M31">
        <f t="shared" si="0"/>
        <v>-0.15765828023776862</v>
      </c>
      <c r="N31">
        <f t="shared" si="1"/>
        <v>13.708574154568602</v>
      </c>
    </row>
    <row r="32" spans="1:14" x14ac:dyDescent="0.2">
      <c r="A32" t="s">
        <v>63</v>
      </c>
      <c r="B32" t="s">
        <v>129</v>
      </c>
      <c r="C32" t="s">
        <v>32</v>
      </c>
      <c r="E32">
        <v>30.0933556464792</v>
      </c>
      <c r="F32" t="s">
        <v>63</v>
      </c>
      <c r="G32" s="4" t="s">
        <v>14</v>
      </c>
      <c r="H32">
        <v>107</v>
      </c>
      <c r="I32">
        <f t="shared" ref="I32" si="34">AVERAGE(D32:D34)</f>
        <v>31.875934859596001</v>
      </c>
      <c r="J32">
        <f t="shared" ref="J32" si="35">STDEV(D32:D34)</f>
        <v>0.47994959318381736</v>
      </c>
      <c r="K32">
        <f>I8</f>
        <v>31.51513322187845</v>
      </c>
      <c r="L32">
        <f>I20</f>
        <v>15.831431081187068</v>
      </c>
      <c r="M32">
        <f t="shared" si="0"/>
        <v>0.36080163771755025</v>
      </c>
      <c r="N32">
        <f t="shared" si="1"/>
        <v>16.044503778408931</v>
      </c>
    </row>
    <row r="33" spans="1:14" x14ac:dyDescent="0.2">
      <c r="A33" t="s">
        <v>64</v>
      </c>
      <c r="B33" t="s">
        <v>129</v>
      </c>
      <c r="C33" t="s">
        <v>32</v>
      </c>
      <c r="D33">
        <v>32.215310471564003</v>
      </c>
      <c r="E33">
        <v>32.215310471564003</v>
      </c>
      <c r="F33" t="s">
        <v>64</v>
      </c>
      <c r="G33" s="4" t="s">
        <v>14</v>
      </c>
      <c r="H33">
        <v>107</v>
      </c>
      <c r="I33">
        <f t="shared" ref="I33:J33" si="36">I32</f>
        <v>31.875934859596001</v>
      </c>
      <c r="J33">
        <f t="shared" si="36"/>
        <v>0.47994959318381736</v>
      </c>
      <c r="K33">
        <f>I8</f>
        <v>31.51513322187845</v>
      </c>
      <c r="L33">
        <f>I20</f>
        <v>15.831431081187068</v>
      </c>
      <c r="M33">
        <f t="shared" si="0"/>
        <v>0.36080163771755025</v>
      </c>
      <c r="N33">
        <f t="shared" si="1"/>
        <v>16.044503778408931</v>
      </c>
    </row>
    <row r="34" spans="1:14" x14ac:dyDescent="0.2">
      <c r="A34" t="s">
        <v>65</v>
      </c>
      <c r="B34" t="s">
        <v>129</v>
      </c>
      <c r="C34" t="s">
        <v>32</v>
      </c>
      <c r="D34">
        <v>31.536559247627999</v>
      </c>
      <c r="E34">
        <v>31.536559247627999</v>
      </c>
      <c r="F34" t="s">
        <v>65</v>
      </c>
      <c r="G34" s="4" t="s">
        <v>14</v>
      </c>
      <c r="H34">
        <v>107</v>
      </c>
      <c r="I34">
        <f t="shared" ref="I34:J34" si="37">I32</f>
        <v>31.875934859596001</v>
      </c>
      <c r="J34">
        <f t="shared" si="37"/>
        <v>0.47994959318381736</v>
      </c>
      <c r="K34">
        <f>I8</f>
        <v>31.51513322187845</v>
      </c>
      <c r="L34">
        <f>I20</f>
        <v>15.831431081187068</v>
      </c>
      <c r="M34">
        <f t="shared" si="0"/>
        <v>0.36080163771755025</v>
      </c>
      <c r="N34">
        <f t="shared" si="1"/>
        <v>16.044503778408931</v>
      </c>
    </row>
    <row r="35" spans="1:14" x14ac:dyDescent="0.2">
      <c r="A35" t="s">
        <v>66</v>
      </c>
      <c r="B35" t="s">
        <v>129</v>
      </c>
      <c r="C35" t="s">
        <v>32</v>
      </c>
      <c r="D35">
        <v>31.6121187052069</v>
      </c>
      <c r="E35">
        <v>31.6121187052069</v>
      </c>
      <c r="F35" t="s">
        <v>66</v>
      </c>
      <c r="G35" s="1" t="s">
        <v>23</v>
      </c>
      <c r="H35">
        <v>107</v>
      </c>
      <c r="I35">
        <f t="shared" ref="I35" si="38">AVERAGE(D35:D37)</f>
        <v>31.923899071605149</v>
      </c>
      <c r="J35">
        <f t="shared" ref="J35" si="39">STDEV(D35:D37)</f>
        <v>0.44092402264205938</v>
      </c>
      <c r="K35">
        <f>I8</f>
        <v>31.51513322187845</v>
      </c>
      <c r="L35">
        <f>I20</f>
        <v>15.831431081187068</v>
      </c>
      <c r="M35">
        <f t="shared" si="0"/>
        <v>0.4087658497266986</v>
      </c>
      <c r="N35">
        <f t="shared" si="1"/>
        <v>16.092467990418079</v>
      </c>
    </row>
    <row r="36" spans="1:14" x14ac:dyDescent="0.2">
      <c r="A36" t="s">
        <v>67</v>
      </c>
      <c r="B36" t="s">
        <v>129</v>
      </c>
      <c r="C36" t="s">
        <v>32</v>
      </c>
      <c r="D36">
        <v>32.235679438003402</v>
      </c>
      <c r="E36">
        <v>32.235679438003402</v>
      </c>
      <c r="F36" t="s">
        <v>67</v>
      </c>
      <c r="G36" s="1" t="s">
        <v>23</v>
      </c>
      <c r="H36">
        <v>107</v>
      </c>
      <c r="I36">
        <f t="shared" ref="I36:J37" si="40">I35</f>
        <v>31.923899071605149</v>
      </c>
      <c r="J36">
        <f t="shared" si="40"/>
        <v>0.44092402264205938</v>
      </c>
      <c r="K36">
        <f>I8</f>
        <v>31.51513322187845</v>
      </c>
      <c r="L36">
        <f>I20</f>
        <v>15.831431081187068</v>
      </c>
      <c r="M36">
        <f t="shared" si="0"/>
        <v>0.4087658497266986</v>
      </c>
      <c r="N36">
        <f t="shared" si="1"/>
        <v>16.092467990418079</v>
      </c>
    </row>
    <row r="37" spans="1:14" x14ac:dyDescent="0.2">
      <c r="A37" t="s">
        <v>68</v>
      </c>
      <c r="B37" t="s">
        <v>129</v>
      </c>
      <c r="C37" t="s">
        <v>32</v>
      </c>
      <c r="D37" t="s">
        <v>33</v>
      </c>
      <c r="E37" t="s">
        <v>33</v>
      </c>
      <c r="F37" t="s">
        <v>68</v>
      </c>
      <c r="G37" s="1" t="s">
        <v>23</v>
      </c>
      <c r="H37">
        <v>107</v>
      </c>
      <c r="I37">
        <f t="shared" si="40"/>
        <v>31.923899071605149</v>
      </c>
      <c r="J37">
        <f t="shared" ref="J37" si="41">J35</f>
        <v>0.44092402264205938</v>
      </c>
      <c r="K37">
        <f>I8</f>
        <v>31.51513322187845</v>
      </c>
      <c r="L37">
        <f>I20</f>
        <v>15.831431081187068</v>
      </c>
      <c r="M37">
        <f t="shared" si="0"/>
        <v>0.4087658497266986</v>
      </c>
      <c r="N37">
        <f t="shared" si="1"/>
        <v>16.092467990418079</v>
      </c>
    </row>
    <row r="38" spans="1:14" x14ac:dyDescent="0.2">
      <c r="A38" t="s">
        <v>69</v>
      </c>
      <c r="B38" t="s">
        <v>129</v>
      </c>
      <c r="C38" t="s">
        <v>32</v>
      </c>
      <c r="D38">
        <v>32.857157684989502</v>
      </c>
      <c r="E38">
        <v>32.857157684989502</v>
      </c>
      <c r="F38" t="s">
        <v>69</v>
      </c>
      <c r="G38" s="4" t="s">
        <v>15</v>
      </c>
      <c r="H38">
        <v>106</v>
      </c>
      <c r="I38">
        <f t="shared" ref="I38" si="42">AVERAGE(D38:D40)</f>
        <v>32.875972614888752</v>
      </c>
      <c r="J38">
        <f t="shared" ref="J38" si="43">STDEV(D38:D40)</f>
        <v>2.6608329038618306E-2</v>
      </c>
      <c r="K38">
        <f>I2</f>
        <v>31.321015343702769</v>
      </c>
      <c r="L38">
        <f>I14</f>
        <v>17.454782908896398</v>
      </c>
      <c r="M38">
        <f t="shared" si="0"/>
        <v>1.5549572711859838</v>
      </c>
      <c r="N38">
        <f t="shared" si="1"/>
        <v>15.421189705992354</v>
      </c>
    </row>
    <row r="39" spans="1:14" x14ac:dyDescent="0.2">
      <c r="A39" t="s">
        <v>70</v>
      </c>
      <c r="B39" t="s">
        <v>129</v>
      </c>
      <c r="C39" t="s">
        <v>32</v>
      </c>
      <c r="E39">
        <v>31.214387131245498</v>
      </c>
      <c r="F39" t="s">
        <v>70</v>
      </c>
      <c r="G39" s="4" t="s">
        <v>15</v>
      </c>
      <c r="H39">
        <v>106</v>
      </c>
      <c r="I39">
        <f t="shared" ref="I39:J39" si="44">I38</f>
        <v>32.875972614888752</v>
      </c>
      <c r="J39">
        <f t="shared" si="44"/>
        <v>2.6608329038618306E-2</v>
      </c>
      <c r="K39">
        <f>I2</f>
        <v>31.321015343702769</v>
      </c>
      <c r="L39">
        <f>I14</f>
        <v>17.454782908896398</v>
      </c>
      <c r="M39">
        <f t="shared" si="0"/>
        <v>1.5549572711859838</v>
      </c>
      <c r="N39">
        <f t="shared" si="1"/>
        <v>15.421189705992354</v>
      </c>
    </row>
    <row r="40" spans="1:14" x14ac:dyDescent="0.2">
      <c r="A40" t="s">
        <v>71</v>
      </c>
      <c r="B40" t="s">
        <v>129</v>
      </c>
      <c r="C40" t="s">
        <v>32</v>
      </c>
      <c r="D40">
        <v>32.894787544788002</v>
      </c>
      <c r="E40">
        <v>32.894787544788002</v>
      </c>
      <c r="F40" t="s">
        <v>71</v>
      </c>
      <c r="G40" s="4" t="s">
        <v>15</v>
      </c>
      <c r="H40">
        <v>106</v>
      </c>
      <c r="I40">
        <f t="shared" ref="I40:J40" si="45">I38</f>
        <v>32.875972614888752</v>
      </c>
      <c r="J40">
        <f t="shared" si="45"/>
        <v>2.6608329038618306E-2</v>
      </c>
      <c r="K40">
        <f>I2</f>
        <v>31.321015343702769</v>
      </c>
      <c r="L40">
        <f>I14</f>
        <v>17.454782908896398</v>
      </c>
      <c r="M40">
        <f t="shared" si="0"/>
        <v>1.5549572711859838</v>
      </c>
      <c r="N40">
        <f t="shared" si="1"/>
        <v>15.421189705992354</v>
      </c>
    </row>
    <row r="41" spans="1:14" x14ac:dyDescent="0.2">
      <c r="A41" t="s">
        <v>72</v>
      </c>
      <c r="B41" t="s">
        <v>129</v>
      </c>
      <c r="C41" t="s">
        <v>32</v>
      </c>
      <c r="E41">
        <v>33.496361104115103</v>
      </c>
      <c r="F41" t="s">
        <v>72</v>
      </c>
      <c r="G41" s="1" t="s">
        <v>22</v>
      </c>
      <c r="H41">
        <v>106</v>
      </c>
      <c r="I41">
        <f t="shared" ref="I41" si="46">AVERAGE(D41:D43)</f>
        <v>35.110650776367201</v>
      </c>
      <c r="J41">
        <f t="shared" ref="J41" si="47">STDEV(D41:D43)</f>
        <v>0.48342266880823348</v>
      </c>
      <c r="K41">
        <f>I2</f>
        <v>31.321015343702769</v>
      </c>
      <c r="L41">
        <f>I14</f>
        <v>17.454782908896398</v>
      </c>
      <c r="M41">
        <f t="shared" si="0"/>
        <v>3.7896354326644328</v>
      </c>
      <c r="N41">
        <f t="shared" si="1"/>
        <v>17.655867867470803</v>
      </c>
    </row>
    <row r="42" spans="1:14" x14ac:dyDescent="0.2">
      <c r="A42" t="s">
        <v>73</v>
      </c>
      <c r="B42" t="s">
        <v>129</v>
      </c>
      <c r="C42" t="s">
        <v>32</v>
      </c>
      <c r="D42">
        <v>34.768819329073601</v>
      </c>
      <c r="E42">
        <v>34.768819329073601</v>
      </c>
      <c r="F42" t="s">
        <v>73</v>
      </c>
      <c r="G42" s="1" t="s">
        <v>22</v>
      </c>
      <c r="H42">
        <v>106</v>
      </c>
      <c r="I42">
        <f t="shared" ref="I42:J43" si="48">I41</f>
        <v>35.110650776367201</v>
      </c>
      <c r="J42">
        <f t="shared" si="48"/>
        <v>0.48342266880823348</v>
      </c>
      <c r="K42">
        <f>I2</f>
        <v>31.321015343702769</v>
      </c>
      <c r="L42">
        <f>I14</f>
        <v>17.454782908896398</v>
      </c>
      <c r="M42">
        <f t="shared" si="0"/>
        <v>3.7896354326644328</v>
      </c>
      <c r="N42">
        <f t="shared" si="1"/>
        <v>17.655867867470803</v>
      </c>
    </row>
    <row r="43" spans="1:14" x14ac:dyDescent="0.2">
      <c r="A43" t="s">
        <v>74</v>
      </c>
      <c r="B43" t="s">
        <v>129</v>
      </c>
      <c r="C43" t="s">
        <v>32</v>
      </c>
      <c r="D43">
        <v>35.452482223660802</v>
      </c>
      <c r="E43">
        <v>35.452482223660802</v>
      </c>
      <c r="F43" t="s">
        <v>74</v>
      </c>
      <c r="G43" s="1" t="s">
        <v>22</v>
      </c>
      <c r="H43">
        <v>106</v>
      </c>
      <c r="I43">
        <f t="shared" si="48"/>
        <v>35.110650776367201</v>
      </c>
      <c r="J43">
        <f t="shared" ref="J43" si="49">J41</f>
        <v>0.48342266880823348</v>
      </c>
      <c r="K43">
        <f>I2</f>
        <v>31.321015343702769</v>
      </c>
      <c r="L43">
        <f>I14</f>
        <v>17.454782908896398</v>
      </c>
      <c r="M43">
        <f t="shared" si="0"/>
        <v>3.7896354326644328</v>
      </c>
      <c r="N43">
        <f t="shared" si="1"/>
        <v>17.655867867470803</v>
      </c>
    </row>
    <row r="44" spans="1:14" x14ac:dyDescent="0.2">
      <c r="A44" t="s">
        <v>75</v>
      </c>
      <c r="B44" t="s">
        <v>129</v>
      </c>
      <c r="C44" t="s">
        <v>32</v>
      </c>
      <c r="D44">
        <v>32.706472887981199</v>
      </c>
      <c r="E44">
        <v>32.706472887981199</v>
      </c>
      <c r="F44" t="s">
        <v>75</v>
      </c>
      <c r="G44" s="4" t="s">
        <v>15</v>
      </c>
      <c r="H44">
        <v>107</v>
      </c>
      <c r="I44">
        <f t="shared" ref="I44" si="50">AVERAGE(D44:D46)</f>
        <v>32.418262175142502</v>
      </c>
      <c r="J44">
        <f t="shared" ref="J44" si="51">STDEV(D44:D46)</f>
        <v>0.40759149891770879</v>
      </c>
      <c r="K44">
        <f>I8</f>
        <v>31.51513322187845</v>
      </c>
      <c r="L44">
        <f>I20</f>
        <v>15.831431081187068</v>
      </c>
      <c r="M44">
        <f t="shared" si="0"/>
        <v>0.9031289532640514</v>
      </c>
      <c r="N44">
        <f t="shared" si="1"/>
        <v>16.586831093955432</v>
      </c>
    </row>
    <row r="45" spans="1:14" x14ac:dyDescent="0.2">
      <c r="A45" t="s">
        <v>76</v>
      </c>
      <c r="B45" t="s">
        <v>129</v>
      </c>
      <c r="C45" t="s">
        <v>32</v>
      </c>
      <c r="E45">
        <v>33.7188122946771</v>
      </c>
      <c r="F45" t="s">
        <v>76</v>
      </c>
      <c r="G45" s="4" t="s">
        <v>15</v>
      </c>
      <c r="H45">
        <v>107</v>
      </c>
      <c r="I45">
        <f t="shared" ref="I45:J45" si="52">I44</f>
        <v>32.418262175142502</v>
      </c>
      <c r="J45">
        <f t="shared" si="52"/>
        <v>0.40759149891770879</v>
      </c>
      <c r="K45">
        <f>I8</f>
        <v>31.51513322187845</v>
      </c>
      <c r="L45">
        <f>I20</f>
        <v>15.831431081187068</v>
      </c>
      <c r="M45">
        <f t="shared" si="0"/>
        <v>0.9031289532640514</v>
      </c>
      <c r="N45">
        <f t="shared" si="1"/>
        <v>16.586831093955432</v>
      </c>
    </row>
    <row r="46" spans="1:14" x14ac:dyDescent="0.2">
      <c r="A46" t="s">
        <v>77</v>
      </c>
      <c r="B46" t="s">
        <v>129</v>
      </c>
      <c r="C46" t="s">
        <v>32</v>
      </c>
      <c r="D46">
        <v>32.130051462303797</v>
      </c>
      <c r="E46">
        <v>32.130051462303797</v>
      </c>
      <c r="F46" t="s">
        <v>77</v>
      </c>
      <c r="G46" s="4" t="s">
        <v>15</v>
      </c>
      <c r="H46">
        <v>107</v>
      </c>
      <c r="I46">
        <f t="shared" ref="I46:J46" si="53">I44</f>
        <v>32.418262175142502</v>
      </c>
      <c r="J46">
        <f t="shared" si="53"/>
        <v>0.40759149891770879</v>
      </c>
      <c r="K46">
        <f>I8</f>
        <v>31.51513322187845</v>
      </c>
      <c r="L46">
        <f>I20</f>
        <v>15.831431081187068</v>
      </c>
      <c r="M46">
        <f t="shared" si="0"/>
        <v>0.9031289532640514</v>
      </c>
      <c r="N46">
        <f t="shared" si="1"/>
        <v>16.586831093955432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35.058165833417497</v>
      </c>
      <c r="F47" s="17" t="s">
        <v>78</v>
      </c>
      <c r="G47" s="19" t="s">
        <v>22</v>
      </c>
      <c r="H47" s="17">
        <v>107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31.51513322187845</v>
      </c>
      <c r="L47" s="17">
        <f>I20</f>
        <v>15.831431081187068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36.429231908429301</v>
      </c>
      <c r="F48" s="17" t="s">
        <v>79</v>
      </c>
      <c r="G48" s="19" t="s">
        <v>22</v>
      </c>
      <c r="H48" s="17">
        <v>107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31.51513322187845</v>
      </c>
      <c r="L48" s="17">
        <f>I20</f>
        <v>15.831431081187068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 t="s">
        <v>33</v>
      </c>
      <c r="F49" s="17" t="s">
        <v>80</v>
      </c>
      <c r="G49" s="19" t="s">
        <v>22</v>
      </c>
      <c r="H49" s="17">
        <v>107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31.51513322187845</v>
      </c>
      <c r="L49" s="17">
        <f>I20</f>
        <v>15.831431081187068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E50">
        <v>30.687205037551902</v>
      </c>
      <c r="F50" t="s">
        <v>81</v>
      </c>
      <c r="G50" s="4" t="s">
        <v>16</v>
      </c>
      <c r="H50">
        <v>106</v>
      </c>
      <c r="I50">
        <f t="shared" ref="I50" si="58">AVERAGE(D50:D52)</f>
        <v>30.037149710013949</v>
      </c>
      <c r="J50">
        <f t="shared" ref="J50" si="59">STDEV(D50:D52)</f>
        <v>8.4163600937734881E-2</v>
      </c>
      <c r="K50">
        <f>I2</f>
        <v>31.321015343702769</v>
      </c>
      <c r="L50">
        <f>I14</f>
        <v>17.454782908896398</v>
      </c>
      <c r="M50">
        <f t="shared" si="0"/>
        <v>-1.2838656336888192</v>
      </c>
      <c r="N50">
        <f t="shared" si="1"/>
        <v>12.582366801117551</v>
      </c>
    </row>
    <row r="51" spans="1:14" x14ac:dyDescent="0.2">
      <c r="A51" t="s">
        <v>82</v>
      </c>
      <c r="B51" t="s">
        <v>129</v>
      </c>
      <c r="C51" t="s">
        <v>32</v>
      </c>
      <c r="D51">
        <v>30.0966623629661</v>
      </c>
      <c r="E51">
        <v>30.0966623629661</v>
      </c>
      <c r="F51" t="s">
        <v>82</v>
      </c>
      <c r="G51" s="4" t="s">
        <v>16</v>
      </c>
      <c r="H51">
        <v>106</v>
      </c>
      <c r="I51">
        <f t="shared" ref="I51:J51" si="60">I50</f>
        <v>30.037149710013949</v>
      </c>
      <c r="J51">
        <f t="shared" si="60"/>
        <v>8.4163600937734881E-2</v>
      </c>
      <c r="K51">
        <f>I2</f>
        <v>31.321015343702769</v>
      </c>
      <c r="L51">
        <f>I14</f>
        <v>17.454782908896398</v>
      </c>
      <c r="M51">
        <f t="shared" si="0"/>
        <v>-1.2838656336888192</v>
      </c>
      <c r="N51">
        <f t="shared" si="1"/>
        <v>12.582366801117551</v>
      </c>
    </row>
    <row r="52" spans="1:14" x14ac:dyDescent="0.2">
      <c r="A52" t="s">
        <v>83</v>
      </c>
      <c r="B52" t="s">
        <v>129</v>
      </c>
      <c r="C52" t="s">
        <v>32</v>
      </c>
      <c r="D52">
        <v>29.977637057061798</v>
      </c>
      <c r="E52">
        <v>29.977637057061798</v>
      </c>
      <c r="F52" t="s">
        <v>83</v>
      </c>
      <c r="G52" s="4" t="s">
        <v>16</v>
      </c>
      <c r="H52">
        <v>106</v>
      </c>
      <c r="I52">
        <f t="shared" ref="I52:J52" si="61">I50</f>
        <v>30.037149710013949</v>
      </c>
      <c r="J52">
        <f t="shared" si="61"/>
        <v>8.4163600937734881E-2</v>
      </c>
      <c r="K52">
        <f>I2</f>
        <v>31.321015343702769</v>
      </c>
      <c r="L52">
        <f>I14</f>
        <v>17.454782908896398</v>
      </c>
      <c r="M52">
        <f t="shared" si="0"/>
        <v>-1.2838656336888192</v>
      </c>
      <c r="N52">
        <f t="shared" si="1"/>
        <v>12.582366801117551</v>
      </c>
    </row>
    <row r="53" spans="1:14" x14ac:dyDescent="0.2">
      <c r="A53" t="s">
        <v>84</v>
      </c>
      <c r="B53" t="s">
        <v>129</v>
      </c>
      <c r="C53" t="s">
        <v>32</v>
      </c>
      <c r="E53">
        <v>33.071906701702702</v>
      </c>
      <c r="F53" t="s">
        <v>84</v>
      </c>
      <c r="G53" s="1" t="s">
        <v>24</v>
      </c>
      <c r="H53">
        <v>106</v>
      </c>
      <c r="I53">
        <f t="shared" ref="I53" si="62">AVERAGE(D53:D55)</f>
        <v>32.140706789727105</v>
      </c>
      <c r="J53">
        <f t="shared" ref="J53" si="63">STDEV(D53:D55)</f>
        <v>7.7056638778329842E-2</v>
      </c>
      <c r="K53">
        <f>I2</f>
        <v>31.321015343702769</v>
      </c>
      <c r="L53">
        <f>I14</f>
        <v>17.454782908896398</v>
      </c>
      <c r="M53">
        <f t="shared" si="0"/>
        <v>0.8196914460243363</v>
      </c>
      <c r="N53">
        <f t="shared" si="1"/>
        <v>14.685923880830707</v>
      </c>
    </row>
    <row r="54" spans="1:14" x14ac:dyDescent="0.2">
      <c r="A54" t="s">
        <v>85</v>
      </c>
      <c r="B54" t="s">
        <v>129</v>
      </c>
      <c r="C54" t="s">
        <v>32</v>
      </c>
      <c r="D54">
        <v>32.195194061542701</v>
      </c>
      <c r="E54">
        <v>32.195194061542701</v>
      </c>
      <c r="F54" t="s">
        <v>85</v>
      </c>
      <c r="G54" s="1" t="s">
        <v>24</v>
      </c>
      <c r="H54">
        <v>106</v>
      </c>
      <c r="I54">
        <f t="shared" ref="I54:J55" si="64">I53</f>
        <v>32.140706789727105</v>
      </c>
      <c r="J54">
        <f t="shared" si="64"/>
        <v>7.7056638778329842E-2</v>
      </c>
      <c r="K54">
        <f>I2</f>
        <v>31.321015343702769</v>
      </c>
      <c r="L54">
        <f>I14</f>
        <v>17.454782908896398</v>
      </c>
      <c r="M54">
        <f t="shared" si="0"/>
        <v>0.8196914460243363</v>
      </c>
      <c r="N54">
        <f t="shared" si="1"/>
        <v>14.685923880830707</v>
      </c>
    </row>
    <row r="55" spans="1:14" x14ac:dyDescent="0.2">
      <c r="A55" t="s">
        <v>86</v>
      </c>
      <c r="B55" t="s">
        <v>129</v>
      </c>
      <c r="C55" t="s">
        <v>32</v>
      </c>
      <c r="D55">
        <v>32.086219517911502</v>
      </c>
      <c r="E55">
        <v>32.086219517911502</v>
      </c>
      <c r="F55" t="s">
        <v>86</v>
      </c>
      <c r="G55" s="1" t="s">
        <v>24</v>
      </c>
      <c r="H55">
        <v>106</v>
      </c>
      <c r="I55">
        <f t="shared" si="64"/>
        <v>32.140706789727105</v>
      </c>
      <c r="J55">
        <f t="shared" ref="J55" si="65">J53</f>
        <v>7.7056638778329842E-2</v>
      </c>
      <c r="K55">
        <f>I2</f>
        <v>31.321015343702769</v>
      </c>
      <c r="L55">
        <f>I14</f>
        <v>17.454782908896398</v>
      </c>
      <c r="M55">
        <f t="shared" si="0"/>
        <v>0.8196914460243363</v>
      </c>
      <c r="N55">
        <f t="shared" si="1"/>
        <v>14.685923880830707</v>
      </c>
    </row>
    <row r="56" spans="1:14" x14ac:dyDescent="0.2">
      <c r="A56" t="s">
        <v>87</v>
      </c>
      <c r="B56" t="s">
        <v>129</v>
      </c>
      <c r="C56" t="s">
        <v>32</v>
      </c>
      <c r="E56">
        <v>30.696644811790598</v>
      </c>
      <c r="F56" t="s">
        <v>87</v>
      </c>
      <c r="G56" s="4" t="s">
        <v>16</v>
      </c>
      <c r="H56">
        <v>107</v>
      </c>
      <c r="I56">
        <f t="shared" ref="I56" si="66">AVERAGE(D56:D58)</f>
        <v>31.2239990228991</v>
      </c>
      <c r="J56">
        <f t="shared" ref="J56" si="67">STDEV(D56:D58)</f>
        <v>0.11083209718069932</v>
      </c>
      <c r="K56">
        <f>I8</f>
        <v>31.51513322187845</v>
      </c>
      <c r="L56">
        <f>I20</f>
        <v>15.831431081187068</v>
      </c>
      <c r="M56">
        <f t="shared" si="0"/>
        <v>-0.29113419897934989</v>
      </c>
      <c r="N56">
        <f t="shared" si="1"/>
        <v>15.392567941712032</v>
      </c>
    </row>
    <row r="57" spans="1:14" x14ac:dyDescent="0.2">
      <c r="A57" t="s">
        <v>88</v>
      </c>
      <c r="B57" t="s">
        <v>129</v>
      </c>
      <c r="C57" t="s">
        <v>32</v>
      </c>
      <c r="D57">
        <v>31.145628895409502</v>
      </c>
      <c r="E57">
        <v>31.145628895409502</v>
      </c>
      <c r="F57" t="s">
        <v>88</v>
      </c>
      <c r="G57" s="4" t="s">
        <v>16</v>
      </c>
      <c r="H57">
        <v>107</v>
      </c>
      <c r="I57">
        <f t="shared" ref="I57:J57" si="68">I56</f>
        <v>31.2239990228991</v>
      </c>
      <c r="J57">
        <f t="shared" si="68"/>
        <v>0.11083209718069932</v>
      </c>
      <c r="K57">
        <f>I8</f>
        <v>31.51513322187845</v>
      </c>
      <c r="L57">
        <f>I20</f>
        <v>15.831431081187068</v>
      </c>
      <c r="M57">
        <f t="shared" si="0"/>
        <v>-0.29113419897934989</v>
      </c>
      <c r="N57">
        <f t="shared" si="1"/>
        <v>15.392567941712032</v>
      </c>
    </row>
    <row r="58" spans="1:14" x14ac:dyDescent="0.2">
      <c r="A58" t="s">
        <v>89</v>
      </c>
      <c r="B58" t="s">
        <v>129</v>
      </c>
      <c r="C58" t="s">
        <v>32</v>
      </c>
      <c r="D58">
        <v>31.302369150388699</v>
      </c>
      <c r="E58">
        <v>31.302369150388699</v>
      </c>
      <c r="F58" t="s">
        <v>89</v>
      </c>
      <c r="G58" s="4" t="s">
        <v>16</v>
      </c>
      <c r="H58">
        <v>107</v>
      </c>
      <c r="I58">
        <f t="shared" ref="I58:J58" si="69">I56</f>
        <v>31.2239990228991</v>
      </c>
      <c r="J58">
        <f t="shared" si="69"/>
        <v>0.11083209718069932</v>
      </c>
      <c r="K58">
        <f>I8</f>
        <v>31.51513322187845</v>
      </c>
      <c r="L58">
        <f>I20</f>
        <v>15.831431081187068</v>
      </c>
      <c r="M58">
        <f t="shared" si="0"/>
        <v>-0.29113419897934989</v>
      </c>
      <c r="N58">
        <f t="shared" si="1"/>
        <v>15.392567941712032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32.613286603619102</v>
      </c>
      <c r="F59" s="17" t="s">
        <v>90</v>
      </c>
      <c r="G59" s="19" t="s">
        <v>24</v>
      </c>
      <c r="H59" s="17">
        <v>107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31.51513322187845</v>
      </c>
      <c r="L59" s="17">
        <f>I20</f>
        <v>15.831431081187068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34.139300165502497</v>
      </c>
      <c r="F60" s="17" t="s">
        <v>91</v>
      </c>
      <c r="G60" s="19" t="s">
        <v>24</v>
      </c>
      <c r="H60" s="17">
        <v>107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31.51513322187845</v>
      </c>
      <c r="L60" s="17">
        <f>I20</f>
        <v>15.831431081187068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9" t="s">
        <v>24</v>
      </c>
      <c r="H61" s="17">
        <v>107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31.51513322187845</v>
      </c>
      <c r="L61" s="17">
        <f>I20</f>
        <v>15.831431081187068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30.9495709675173</v>
      </c>
      <c r="E62">
        <v>30.9495709675173</v>
      </c>
      <c r="F62" t="s">
        <v>93</v>
      </c>
      <c r="G62" s="4" t="s">
        <v>17</v>
      </c>
      <c r="H62">
        <v>106</v>
      </c>
      <c r="I62">
        <f t="shared" ref="I62" si="74">AVERAGE(D62:D64)</f>
        <v>30.751888971843748</v>
      </c>
      <c r="J62">
        <f t="shared" ref="J62" si="75">STDEV(D62:D64)</f>
        <v>0.27956455931851398</v>
      </c>
      <c r="K62">
        <f>I2</f>
        <v>31.321015343702769</v>
      </c>
      <c r="L62">
        <f>I14</f>
        <v>17.454782908896398</v>
      </c>
      <c r="M62">
        <f t="shared" si="0"/>
        <v>-0.56912637185902071</v>
      </c>
      <c r="N62">
        <f t="shared" si="1"/>
        <v>13.29710606294735</v>
      </c>
    </row>
    <row r="63" spans="1:14" x14ac:dyDescent="0.2">
      <c r="A63" t="s">
        <v>94</v>
      </c>
      <c r="B63" t="s">
        <v>129</v>
      </c>
      <c r="C63" t="s">
        <v>32</v>
      </c>
      <c r="E63">
        <v>29.790360185520498</v>
      </c>
      <c r="F63" t="s">
        <v>94</v>
      </c>
      <c r="G63" s="4" t="s">
        <v>17</v>
      </c>
      <c r="H63">
        <v>106</v>
      </c>
      <c r="I63">
        <f t="shared" ref="I63:J63" si="76">I62</f>
        <v>30.751888971843748</v>
      </c>
      <c r="J63">
        <f t="shared" si="76"/>
        <v>0.27956455931851398</v>
      </c>
      <c r="K63">
        <f>I2</f>
        <v>31.321015343702769</v>
      </c>
      <c r="L63">
        <f>I14</f>
        <v>17.454782908896398</v>
      </c>
      <c r="M63">
        <f t="shared" si="0"/>
        <v>-0.56912637185902071</v>
      </c>
      <c r="N63">
        <f t="shared" si="1"/>
        <v>13.29710606294735</v>
      </c>
    </row>
    <row r="64" spans="1:14" x14ac:dyDescent="0.2">
      <c r="A64" t="s">
        <v>95</v>
      </c>
      <c r="B64" t="s">
        <v>129</v>
      </c>
      <c r="C64" t="s">
        <v>32</v>
      </c>
      <c r="D64">
        <v>30.5542069761702</v>
      </c>
      <c r="E64">
        <v>30.5542069761702</v>
      </c>
      <c r="F64" t="s">
        <v>95</v>
      </c>
      <c r="G64" s="4" t="s">
        <v>17</v>
      </c>
      <c r="H64">
        <v>106</v>
      </c>
      <c r="I64">
        <f t="shared" ref="I64:J64" si="77">I62</f>
        <v>30.751888971843748</v>
      </c>
      <c r="J64">
        <f t="shared" si="77"/>
        <v>0.27956455931851398</v>
      </c>
      <c r="K64">
        <f>I2</f>
        <v>31.321015343702769</v>
      </c>
      <c r="L64">
        <f>I14</f>
        <v>17.454782908896398</v>
      </c>
      <c r="M64">
        <f t="shared" si="0"/>
        <v>-0.56912637185902071</v>
      </c>
      <c r="N64">
        <f t="shared" si="1"/>
        <v>13.29710606294735</v>
      </c>
    </row>
    <row r="65" spans="1:14" x14ac:dyDescent="0.2">
      <c r="A65" t="s">
        <v>96</v>
      </c>
      <c r="B65" t="s">
        <v>129</v>
      </c>
      <c r="C65" t="s">
        <v>32</v>
      </c>
      <c r="D65">
        <v>30.6472822379164</v>
      </c>
      <c r="E65">
        <v>30.6472822379164</v>
      </c>
      <c r="F65" t="s">
        <v>96</v>
      </c>
      <c r="G65" s="1" t="s">
        <v>25</v>
      </c>
      <c r="H65">
        <v>106</v>
      </c>
      <c r="I65">
        <f t="shared" ref="I65" si="78">AVERAGE(D65:D67)</f>
        <v>30.480715699985435</v>
      </c>
      <c r="J65">
        <f t="shared" ref="J65" si="79">STDEV(D65:D67)</f>
        <v>0.26918117360841559</v>
      </c>
      <c r="K65">
        <f>I2</f>
        <v>31.321015343702769</v>
      </c>
      <c r="L65">
        <f>I14</f>
        <v>17.454782908896398</v>
      </c>
      <c r="M65">
        <f t="shared" si="0"/>
        <v>-0.84029964371733357</v>
      </c>
      <c r="N65">
        <f t="shared" si="1"/>
        <v>13.025932791089037</v>
      </c>
    </row>
    <row r="66" spans="1:14" x14ac:dyDescent="0.2">
      <c r="A66" t="s">
        <v>97</v>
      </c>
      <c r="B66" t="s">
        <v>129</v>
      </c>
      <c r="C66" t="s">
        <v>32</v>
      </c>
      <c r="D66">
        <v>30.170165637236799</v>
      </c>
      <c r="E66">
        <v>30.170165637236799</v>
      </c>
      <c r="F66" t="s">
        <v>97</v>
      </c>
      <c r="G66" s="1" t="s">
        <v>25</v>
      </c>
      <c r="H66">
        <v>106</v>
      </c>
      <c r="I66">
        <f t="shared" ref="I66:J67" si="80">I65</f>
        <v>30.480715699985435</v>
      </c>
      <c r="J66">
        <f t="shared" si="80"/>
        <v>0.26918117360841559</v>
      </c>
      <c r="K66">
        <f>I2</f>
        <v>31.321015343702769</v>
      </c>
      <c r="L66">
        <f>I14</f>
        <v>17.454782908896398</v>
      </c>
      <c r="M66">
        <f t="shared" si="0"/>
        <v>-0.84029964371733357</v>
      </c>
      <c r="N66">
        <f t="shared" si="1"/>
        <v>13.025932791089037</v>
      </c>
    </row>
    <row r="67" spans="1:14" x14ac:dyDescent="0.2">
      <c r="A67" t="s">
        <v>98</v>
      </c>
      <c r="B67" t="s">
        <v>129</v>
      </c>
      <c r="C67" t="s">
        <v>32</v>
      </c>
      <c r="D67">
        <v>30.624699224803098</v>
      </c>
      <c r="E67">
        <v>30.624699224803098</v>
      </c>
      <c r="F67" t="s">
        <v>98</v>
      </c>
      <c r="G67" s="1" t="s">
        <v>25</v>
      </c>
      <c r="H67">
        <v>106</v>
      </c>
      <c r="I67">
        <f t="shared" si="80"/>
        <v>30.480715699985435</v>
      </c>
      <c r="J67">
        <f t="shared" ref="J67" si="81">J65</f>
        <v>0.26918117360841559</v>
      </c>
      <c r="K67">
        <f>I2</f>
        <v>31.321015343702769</v>
      </c>
      <c r="L67">
        <f>I14</f>
        <v>17.454782908896398</v>
      </c>
      <c r="M67">
        <f t="shared" ref="M67:M97" si="82">I67-K67</f>
        <v>-0.84029964371733357</v>
      </c>
      <c r="N67">
        <f t="shared" ref="N67:N97" si="83">I67-L67</f>
        <v>13.025932791089037</v>
      </c>
    </row>
    <row r="68" spans="1:14" x14ac:dyDescent="0.2">
      <c r="A68" t="s">
        <v>99</v>
      </c>
      <c r="B68" t="s">
        <v>129</v>
      </c>
      <c r="C68" t="s">
        <v>32</v>
      </c>
      <c r="D68">
        <v>30.102064019543501</v>
      </c>
      <c r="E68">
        <v>30.102064019543501</v>
      </c>
      <c r="F68" t="s">
        <v>99</v>
      </c>
      <c r="G68" s="4" t="s">
        <v>17</v>
      </c>
      <c r="H68">
        <v>107</v>
      </c>
      <c r="I68">
        <f t="shared" ref="I68" si="84">AVERAGE(D68:D70)</f>
        <v>30.254266294588753</v>
      </c>
      <c r="J68">
        <f t="shared" ref="J68" si="85">STDEV(D68:D70)</f>
        <v>0.21524652159303212</v>
      </c>
      <c r="K68">
        <f>I8</f>
        <v>31.51513322187845</v>
      </c>
      <c r="L68">
        <f>I20</f>
        <v>15.831431081187068</v>
      </c>
      <c r="M68">
        <f t="shared" si="82"/>
        <v>-1.2608669272896975</v>
      </c>
      <c r="N68">
        <f t="shared" si="83"/>
        <v>14.422835213401685</v>
      </c>
    </row>
    <row r="69" spans="1:14" x14ac:dyDescent="0.2">
      <c r="A69" t="s">
        <v>100</v>
      </c>
      <c r="B69" t="s">
        <v>129</v>
      </c>
      <c r="C69" t="s">
        <v>32</v>
      </c>
      <c r="E69">
        <v>29.4329651723761</v>
      </c>
      <c r="F69" t="s">
        <v>100</v>
      </c>
      <c r="G69" s="4" t="s">
        <v>17</v>
      </c>
      <c r="H69">
        <v>107</v>
      </c>
      <c r="I69">
        <f t="shared" ref="I69:J69" si="86">I68</f>
        <v>30.254266294588753</v>
      </c>
      <c r="J69">
        <f t="shared" si="86"/>
        <v>0.21524652159303212</v>
      </c>
      <c r="K69">
        <f>I8</f>
        <v>31.51513322187845</v>
      </c>
      <c r="L69">
        <f>I20</f>
        <v>15.831431081187068</v>
      </c>
      <c r="M69">
        <f t="shared" si="82"/>
        <v>-1.2608669272896975</v>
      </c>
      <c r="N69">
        <f t="shared" si="83"/>
        <v>14.422835213401685</v>
      </c>
    </row>
    <row r="70" spans="1:14" x14ac:dyDescent="0.2">
      <c r="A70" t="s">
        <v>101</v>
      </c>
      <c r="B70" t="s">
        <v>129</v>
      </c>
      <c r="C70" t="s">
        <v>32</v>
      </c>
      <c r="D70">
        <v>30.406468569634001</v>
      </c>
      <c r="E70">
        <v>30.406468569634001</v>
      </c>
      <c r="F70" t="s">
        <v>101</v>
      </c>
      <c r="G70" s="4" t="s">
        <v>17</v>
      </c>
      <c r="H70">
        <v>107</v>
      </c>
      <c r="I70">
        <f t="shared" ref="I70:J70" si="87">I68</f>
        <v>30.254266294588753</v>
      </c>
      <c r="J70">
        <f t="shared" si="87"/>
        <v>0.21524652159303212</v>
      </c>
      <c r="K70">
        <f>I8</f>
        <v>31.51513322187845</v>
      </c>
      <c r="L70">
        <f>I20</f>
        <v>15.831431081187068</v>
      </c>
      <c r="M70">
        <f t="shared" si="82"/>
        <v>-1.2608669272896975</v>
      </c>
      <c r="N70">
        <f t="shared" si="83"/>
        <v>14.422835213401685</v>
      </c>
    </row>
    <row r="71" spans="1:14" x14ac:dyDescent="0.2">
      <c r="A71" t="s">
        <v>102</v>
      </c>
      <c r="B71" t="s">
        <v>129</v>
      </c>
      <c r="C71" t="s">
        <v>32</v>
      </c>
      <c r="D71">
        <v>30.373604381082</v>
      </c>
      <c r="E71">
        <v>30.373604381082</v>
      </c>
      <c r="F71" t="s">
        <v>102</v>
      </c>
      <c r="G71" s="1" t="s">
        <v>25</v>
      </c>
      <c r="H71">
        <v>107</v>
      </c>
      <c r="I71">
        <f t="shared" ref="I71" si="88">AVERAGE(D71:D73)</f>
        <v>30.497409003543449</v>
      </c>
      <c r="J71">
        <f t="shared" ref="J71" si="89">STDEV(D71:D73)</f>
        <v>0.17508617616946232</v>
      </c>
      <c r="K71">
        <f>I8</f>
        <v>31.51513322187845</v>
      </c>
      <c r="L71">
        <f>I20</f>
        <v>15.831431081187068</v>
      </c>
      <c r="M71">
        <f t="shared" si="82"/>
        <v>-1.017724218335001</v>
      </c>
      <c r="N71">
        <f t="shared" si="83"/>
        <v>14.665977922356381</v>
      </c>
    </row>
    <row r="72" spans="1:14" x14ac:dyDescent="0.2">
      <c r="A72" t="s">
        <v>103</v>
      </c>
      <c r="B72" t="s">
        <v>129</v>
      </c>
      <c r="C72" t="s">
        <v>32</v>
      </c>
      <c r="D72">
        <v>30.621213626004899</v>
      </c>
      <c r="E72">
        <v>30.621213626004899</v>
      </c>
      <c r="F72" t="s">
        <v>103</v>
      </c>
      <c r="G72" s="1" t="s">
        <v>25</v>
      </c>
      <c r="H72">
        <v>107</v>
      </c>
      <c r="I72">
        <f t="shared" ref="I72:J73" si="90">I71</f>
        <v>30.497409003543449</v>
      </c>
      <c r="J72">
        <f t="shared" si="90"/>
        <v>0.17508617616946232</v>
      </c>
      <c r="K72">
        <f>I8</f>
        <v>31.51513322187845</v>
      </c>
      <c r="L72">
        <f>I20</f>
        <v>15.831431081187068</v>
      </c>
      <c r="M72">
        <f t="shared" si="82"/>
        <v>-1.017724218335001</v>
      </c>
      <c r="N72">
        <f t="shared" si="83"/>
        <v>14.665977922356381</v>
      </c>
    </row>
    <row r="73" spans="1:14" x14ac:dyDescent="0.2">
      <c r="A73" t="s">
        <v>104</v>
      </c>
      <c r="B73" t="s">
        <v>129</v>
      </c>
      <c r="C73" t="s">
        <v>32</v>
      </c>
      <c r="E73">
        <v>32.435575939949402</v>
      </c>
      <c r="F73" t="s">
        <v>104</v>
      </c>
      <c r="G73" s="1" t="s">
        <v>25</v>
      </c>
      <c r="H73">
        <v>107</v>
      </c>
      <c r="I73">
        <f t="shared" si="90"/>
        <v>30.497409003543449</v>
      </c>
      <c r="J73">
        <f t="shared" ref="J73" si="91">J71</f>
        <v>0.17508617616946232</v>
      </c>
      <c r="K73">
        <f>I8</f>
        <v>31.51513322187845</v>
      </c>
      <c r="L73">
        <f>I20</f>
        <v>15.831431081187068</v>
      </c>
      <c r="M73">
        <f t="shared" si="82"/>
        <v>-1.017724218335001</v>
      </c>
      <c r="N73">
        <f t="shared" si="83"/>
        <v>14.665977922356381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38.439523409093802</v>
      </c>
      <c r="F74" s="17" t="s">
        <v>105</v>
      </c>
      <c r="G74" s="20" t="s">
        <v>18</v>
      </c>
      <c r="H74" s="17">
        <v>106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31.321015343702769</v>
      </c>
      <c r="L74" s="17">
        <f>I14</f>
        <v>17.454782908896398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36.721928015644203</v>
      </c>
      <c r="F75" s="17" t="s">
        <v>106</v>
      </c>
      <c r="G75" s="20" t="s">
        <v>18</v>
      </c>
      <c r="H75" s="17">
        <v>106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31.321015343702769</v>
      </c>
      <c r="L75" s="17">
        <f>I14</f>
        <v>17.454782908896398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32.476764497014202</v>
      </c>
      <c r="F76" s="17" t="s">
        <v>107</v>
      </c>
      <c r="G76" s="20" t="s">
        <v>18</v>
      </c>
      <c r="H76" s="17">
        <v>106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31.321015343702769</v>
      </c>
      <c r="L76" s="17">
        <f>I14</f>
        <v>17.454782908896398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31.321015343702769</v>
      </c>
      <c r="L77">
        <f>I14</f>
        <v>17.454782908896398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31.321015343702769</v>
      </c>
      <c r="L78">
        <f>I14</f>
        <v>17.454782908896398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31.321015343702769</v>
      </c>
      <c r="L79">
        <f>I14</f>
        <v>17.454782908896398</v>
      </c>
      <c r="M79" t="e">
        <f t="shared" si="82"/>
        <v>#DIV/0!</v>
      </c>
      <c r="N79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 t="s">
        <v>33</v>
      </c>
      <c r="F80" s="17" t="s">
        <v>111</v>
      </c>
      <c r="G80" s="20" t="s">
        <v>18</v>
      </c>
      <c r="H80" s="17">
        <v>107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31.51513322187845</v>
      </c>
      <c r="L80" s="17">
        <f>I20</f>
        <v>15.831431081187068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38.970244769056698</v>
      </c>
      <c r="F81" s="17" t="s">
        <v>112</v>
      </c>
      <c r="G81" s="20" t="s">
        <v>18</v>
      </c>
      <c r="H81" s="17">
        <v>107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31.51513322187845</v>
      </c>
      <c r="L81" s="17">
        <f>I20</f>
        <v>15.831431081187068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31.699771515086699</v>
      </c>
      <c r="F82" s="17" t="s">
        <v>113</v>
      </c>
      <c r="G82" s="20" t="s">
        <v>18</v>
      </c>
      <c r="H82" s="17">
        <v>107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31.51513322187845</v>
      </c>
      <c r="L82" s="17">
        <f>I20</f>
        <v>15.831431081187068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E83">
        <v>3.7750794688435101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31.51513322187845</v>
      </c>
      <c r="L83">
        <f>I20</f>
        <v>15.831431081187068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31.51513322187845</v>
      </c>
      <c r="L84">
        <f>I20</f>
        <v>15.831431081187068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31.51513322187845</v>
      </c>
      <c r="L85">
        <f>I20</f>
        <v>15.831431081187068</v>
      </c>
      <c r="M85" t="e">
        <f t="shared" si="82"/>
        <v>#DIV/0!</v>
      </c>
      <c r="N85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36.258211859363598</v>
      </c>
      <c r="F86" s="17" t="s">
        <v>117</v>
      </c>
      <c r="G86" s="21" t="s">
        <v>19</v>
      </c>
      <c r="H86" s="17">
        <v>106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31.321015343702769</v>
      </c>
      <c r="L86" s="17">
        <f>I14</f>
        <v>17.454782908896398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33.371938735087298</v>
      </c>
      <c r="F87" s="17" t="s">
        <v>118</v>
      </c>
      <c r="G87" s="21" t="s">
        <v>19</v>
      </c>
      <c r="H87" s="17">
        <v>106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31.321015343702769</v>
      </c>
      <c r="L87" s="17">
        <f>I14</f>
        <v>17.454782908896398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35.074513730331901</v>
      </c>
      <c r="F88" s="17" t="s">
        <v>119</v>
      </c>
      <c r="G88" s="21" t="s">
        <v>19</v>
      </c>
      <c r="H88" s="17">
        <v>106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31.321015343702769</v>
      </c>
      <c r="L88" s="17">
        <f>I14</f>
        <v>17.454782908896398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E89">
        <v>3.2416745908499802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31.321015343702769</v>
      </c>
      <c r="L89">
        <f>I14</f>
        <v>17.454782908896398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31.321015343702769</v>
      </c>
      <c r="L90">
        <f>I14</f>
        <v>17.454782908896398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31.321015343702769</v>
      </c>
      <c r="L91">
        <f>I14</f>
        <v>17.454782908896398</v>
      </c>
      <c r="M91" t="e">
        <f t="shared" si="82"/>
        <v>#DIV/0!</v>
      </c>
      <c r="N91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 t="s">
        <v>33</v>
      </c>
      <c r="F92" s="17" t="s">
        <v>123</v>
      </c>
      <c r="G92" s="21" t="s">
        <v>19</v>
      </c>
      <c r="H92" s="17">
        <v>107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31.51513322187845</v>
      </c>
      <c r="L92" s="17">
        <f>I20</f>
        <v>15.831431081187068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35.236340807899303</v>
      </c>
      <c r="F93" s="17" t="s">
        <v>124</v>
      </c>
      <c r="G93" s="21" t="s">
        <v>19</v>
      </c>
      <c r="H93" s="17">
        <v>107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31.51513322187845</v>
      </c>
      <c r="L93" s="17">
        <f>I20</f>
        <v>15.831431081187068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33.617896351533403</v>
      </c>
      <c r="F94" s="17" t="s">
        <v>125</v>
      </c>
      <c r="G94" s="21" t="s">
        <v>19</v>
      </c>
      <c r="H94" s="17">
        <v>107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31.51513322187845</v>
      </c>
      <c r="L94" s="17">
        <f>I20</f>
        <v>15.831431081187068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31.51513322187845</v>
      </c>
      <c r="L95">
        <f>I20</f>
        <v>15.831431081187068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31.51513322187845</v>
      </c>
      <c r="L96">
        <f>I20</f>
        <v>15.831431081187068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31.51513322187845</v>
      </c>
      <c r="L97">
        <f>I20</f>
        <v>15.831431081187068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9" priority="1" operator="greaterThan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8B84-5444-6C44-B770-780C2D2FCA02}">
  <dimension ref="A1:N97"/>
  <sheetViews>
    <sheetView tabSelected="1" topLeftCell="A7" zoomScale="130" zoomScaleNormal="130" workbookViewId="0">
      <selection activeCell="H7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s="17" customFormat="1" ht="17" thickBot="1" x14ac:dyDescent="0.25">
      <c r="A2" s="17" t="s">
        <v>31</v>
      </c>
      <c r="B2" s="17" t="s">
        <v>129</v>
      </c>
      <c r="C2" s="17" t="s">
        <v>32</v>
      </c>
      <c r="E2" s="17">
        <v>34.176831625936401</v>
      </c>
      <c r="F2" s="17" t="s">
        <v>31</v>
      </c>
      <c r="G2" s="22" t="s">
        <v>9</v>
      </c>
      <c r="H2" s="17" t="s">
        <v>151</v>
      </c>
      <c r="I2" s="17">
        <f>AVERAGE(D2:D4)</f>
        <v>32.80216029975535</v>
      </c>
      <c r="J2" s="17">
        <f>STDEV(D2:D4)</f>
        <v>0.72565478513956427</v>
      </c>
      <c r="K2" s="17">
        <f>I2</f>
        <v>32.80216029975535</v>
      </c>
      <c r="L2" s="17">
        <f>I14</f>
        <v>18.682266387289602</v>
      </c>
      <c r="M2" s="17">
        <f>I2-K2</f>
        <v>0</v>
      </c>
      <c r="N2" s="17">
        <f>I2-L2</f>
        <v>14.119893912465749</v>
      </c>
    </row>
    <row r="3" spans="1:14" s="17" customFormat="1" ht="17" thickBot="1" x14ac:dyDescent="0.25">
      <c r="A3" s="17" t="s">
        <v>34</v>
      </c>
      <c r="B3" s="17" t="s">
        <v>129</v>
      </c>
      <c r="C3" s="17" t="s">
        <v>32</v>
      </c>
      <c r="D3" s="17">
        <v>33.315275719128003</v>
      </c>
      <c r="E3" s="17">
        <v>33.315275719128003</v>
      </c>
      <c r="F3" s="17" t="s">
        <v>34</v>
      </c>
      <c r="G3" s="22" t="s">
        <v>9</v>
      </c>
      <c r="H3" s="17" t="s">
        <v>151</v>
      </c>
      <c r="I3" s="17">
        <f>I2</f>
        <v>32.80216029975535</v>
      </c>
      <c r="J3" s="17">
        <f>J2</f>
        <v>0.72565478513956427</v>
      </c>
      <c r="K3" s="17">
        <f>I2</f>
        <v>32.80216029975535</v>
      </c>
      <c r="L3" s="17">
        <f>I14</f>
        <v>18.682266387289602</v>
      </c>
      <c r="M3" s="17">
        <f t="shared" ref="M3:M66" si="0">I3-K3</f>
        <v>0</v>
      </c>
      <c r="N3" s="17">
        <f t="shared" ref="N3:N66" si="1">I3-L3</f>
        <v>14.119893912465749</v>
      </c>
    </row>
    <row r="4" spans="1:14" s="17" customFormat="1" ht="17" thickBot="1" x14ac:dyDescent="0.25">
      <c r="A4" s="17" t="s">
        <v>35</v>
      </c>
      <c r="B4" s="17" t="s">
        <v>129</v>
      </c>
      <c r="C4" s="17" t="s">
        <v>32</v>
      </c>
      <c r="D4" s="17">
        <v>32.289044880382697</v>
      </c>
      <c r="E4" s="17">
        <v>32.289044880382697</v>
      </c>
      <c r="F4" s="17" t="s">
        <v>35</v>
      </c>
      <c r="G4" s="22" t="s">
        <v>9</v>
      </c>
      <c r="H4" s="17" t="s">
        <v>151</v>
      </c>
      <c r="I4" s="17">
        <f>I2</f>
        <v>32.80216029975535</v>
      </c>
      <c r="J4" s="17">
        <f>J2</f>
        <v>0.72565478513956427</v>
      </c>
      <c r="K4" s="17">
        <f>I2</f>
        <v>32.80216029975535</v>
      </c>
      <c r="L4" s="17">
        <f>I14</f>
        <v>18.682266387289602</v>
      </c>
      <c r="M4" s="17">
        <f t="shared" si="0"/>
        <v>0</v>
      </c>
      <c r="N4" s="17">
        <f t="shared" si="1"/>
        <v>14.119893912465749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33.184002435588098</v>
      </c>
      <c r="E5">
        <v>33.184002435588098</v>
      </c>
      <c r="F5" t="s">
        <v>36</v>
      </c>
      <c r="G5" s="2" t="s">
        <v>20</v>
      </c>
      <c r="H5" t="s">
        <v>151</v>
      </c>
      <c r="I5">
        <f>AVERAGE(D5:D7)</f>
        <v>33.544593524456793</v>
      </c>
      <c r="J5">
        <f>STDEV(D5:D7)</f>
        <v>0.32100622821941704</v>
      </c>
      <c r="K5">
        <f>I2</f>
        <v>32.80216029975535</v>
      </c>
      <c r="L5">
        <f>I14</f>
        <v>18.682266387289602</v>
      </c>
      <c r="M5">
        <f t="shared" si="0"/>
        <v>0.74243322470144335</v>
      </c>
      <c r="N5">
        <f t="shared" si="1"/>
        <v>14.862327137167192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33.799223102328199</v>
      </c>
      <c r="E6">
        <v>33.799223102328199</v>
      </c>
      <c r="F6" t="s">
        <v>37</v>
      </c>
      <c r="G6" s="2" t="s">
        <v>20</v>
      </c>
      <c r="H6" t="s">
        <v>151</v>
      </c>
      <c r="I6">
        <f>I5</f>
        <v>33.544593524456793</v>
      </c>
      <c r="J6">
        <f>J5</f>
        <v>0.32100622821941704</v>
      </c>
      <c r="K6">
        <f>I2</f>
        <v>32.80216029975535</v>
      </c>
      <c r="L6">
        <f>I14</f>
        <v>18.682266387289602</v>
      </c>
      <c r="M6">
        <f t="shared" si="0"/>
        <v>0.74243322470144335</v>
      </c>
      <c r="N6">
        <f t="shared" si="1"/>
        <v>14.862327137167192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33.650555035454097</v>
      </c>
      <c r="E7">
        <v>33.650555035454097</v>
      </c>
      <c r="F7" t="s">
        <v>38</v>
      </c>
      <c r="G7" s="2" t="s">
        <v>20</v>
      </c>
      <c r="H7" t="s">
        <v>151</v>
      </c>
      <c r="I7">
        <f>I6</f>
        <v>33.544593524456793</v>
      </c>
      <c r="J7">
        <f>J5</f>
        <v>0.32100622821941704</v>
      </c>
      <c r="K7">
        <f>I2</f>
        <v>32.80216029975535</v>
      </c>
      <c r="L7">
        <f>I14</f>
        <v>18.682266387289602</v>
      </c>
      <c r="M7">
        <f t="shared" si="0"/>
        <v>0.74243322470144335</v>
      </c>
      <c r="N7">
        <f t="shared" si="1"/>
        <v>14.862327137167192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34.834118406320101</v>
      </c>
      <c r="E8">
        <v>34.834118406320101</v>
      </c>
      <c r="F8" t="s">
        <v>39</v>
      </c>
      <c r="G8" s="9" t="s">
        <v>9</v>
      </c>
      <c r="H8">
        <v>113</v>
      </c>
      <c r="I8">
        <f t="shared" ref="I8" si="2">AVERAGE(D8:D10)</f>
        <v>34.587757551175301</v>
      </c>
      <c r="J8">
        <f t="shared" ref="J8" si="3">STDEV(D8:D10)</f>
        <v>0.34840686258361026</v>
      </c>
      <c r="K8">
        <f>I8</f>
        <v>34.587757551175301</v>
      </c>
      <c r="L8">
        <f>I20</f>
        <v>17.598895754001333</v>
      </c>
      <c r="M8">
        <f t="shared" si="0"/>
        <v>0</v>
      </c>
      <c r="N8">
        <f t="shared" si="1"/>
        <v>16.988861797173968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33.007232035678697</v>
      </c>
      <c r="F9" t="s">
        <v>40</v>
      </c>
      <c r="G9" s="9" t="s">
        <v>9</v>
      </c>
      <c r="H9">
        <v>113</v>
      </c>
      <c r="I9">
        <f t="shared" ref="I9:J9" si="4">I8</f>
        <v>34.587757551175301</v>
      </c>
      <c r="J9">
        <f t="shared" si="4"/>
        <v>0.34840686258361026</v>
      </c>
      <c r="K9">
        <f>I8</f>
        <v>34.587757551175301</v>
      </c>
      <c r="L9">
        <f>I20</f>
        <v>17.598895754001333</v>
      </c>
      <c r="M9">
        <f t="shared" si="0"/>
        <v>0</v>
      </c>
      <c r="N9">
        <f t="shared" si="1"/>
        <v>16.988861797173968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34.3413966960305</v>
      </c>
      <c r="E10">
        <v>34.3413966960305</v>
      </c>
      <c r="F10" t="s">
        <v>41</v>
      </c>
      <c r="G10" s="9" t="s">
        <v>9</v>
      </c>
      <c r="H10">
        <v>113</v>
      </c>
      <c r="I10">
        <f t="shared" ref="I10:J10" si="5">I8</f>
        <v>34.587757551175301</v>
      </c>
      <c r="J10">
        <f t="shared" si="5"/>
        <v>0.34840686258361026</v>
      </c>
      <c r="K10">
        <f>I8</f>
        <v>34.587757551175301</v>
      </c>
      <c r="L10">
        <f>I20</f>
        <v>17.598895754001333</v>
      </c>
      <c r="M10">
        <f t="shared" si="0"/>
        <v>0</v>
      </c>
      <c r="N10">
        <f t="shared" si="1"/>
        <v>16.988861797173968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33.419148345794</v>
      </c>
      <c r="F11" s="17" t="s">
        <v>42</v>
      </c>
      <c r="G11" s="18" t="s">
        <v>20</v>
      </c>
      <c r="H11" s="17">
        <v>113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34.587757551175301</v>
      </c>
      <c r="L11" s="17">
        <f>I20</f>
        <v>17.598895754001333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>
        <v>36.211622505731903</v>
      </c>
      <c r="F12" s="17" t="s">
        <v>43</v>
      </c>
      <c r="G12" s="18" t="s">
        <v>20</v>
      </c>
      <c r="H12" s="17">
        <v>113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34.587757551175301</v>
      </c>
      <c r="L12" s="17">
        <f>I20</f>
        <v>17.598895754001333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34.291616599899001</v>
      </c>
      <c r="F13" s="17" t="s">
        <v>44</v>
      </c>
      <c r="G13" s="18" t="s">
        <v>20</v>
      </c>
      <c r="H13" s="17">
        <v>113</v>
      </c>
      <c r="I13" s="17" t="e">
        <f t="shared" si="8"/>
        <v>#DIV/0!</v>
      </c>
      <c r="J13" s="17" t="e">
        <f t="shared" ref="J13" si="9">J11</f>
        <v>#DIV/0!</v>
      </c>
      <c r="K13" s="17">
        <f>I8</f>
        <v>34.587757551175301</v>
      </c>
      <c r="L13" s="17">
        <f>I20</f>
        <v>17.598895754001333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18.5420115101888</v>
      </c>
      <c r="E14">
        <v>18.5420115101888</v>
      </c>
      <c r="F14" t="s">
        <v>45</v>
      </c>
      <c r="G14" s="11" t="s">
        <v>8</v>
      </c>
      <c r="H14" t="s">
        <v>151</v>
      </c>
      <c r="I14">
        <f t="shared" ref="I14" si="10">AVERAGE(D14:D16)</f>
        <v>18.682266387289602</v>
      </c>
      <c r="J14">
        <f t="shared" ref="J14" si="11">STDEV(D14:D16)</f>
        <v>0.12266167573751556</v>
      </c>
      <c r="K14">
        <f>I2</f>
        <v>32.80216029975535</v>
      </c>
      <c r="L14">
        <f>I14</f>
        <v>18.682266387289602</v>
      </c>
      <c r="M14">
        <f t="shared" si="0"/>
        <v>-14.119893912465749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18.7352966394687</v>
      </c>
      <c r="E15">
        <v>18.7352966394687</v>
      </c>
      <c r="F15" t="s">
        <v>46</v>
      </c>
      <c r="G15" s="11" t="s">
        <v>8</v>
      </c>
      <c r="H15" t="s">
        <v>151</v>
      </c>
      <c r="I15">
        <f t="shared" ref="I15:J15" si="12">I14</f>
        <v>18.682266387289602</v>
      </c>
      <c r="J15">
        <f t="shared" si="12"/>
        <v>0.12266167573751556</v>
      </c>
      <c r="K15">
        <f>I2</f>
        <v>32.80216029975535</v>
      </c>
      <c r="L15">
        <f>I14</f>
        <v>18.682266387289602</v>
      </c>
      <c r="M15">
        <f t="shared" si="0"/>
        <v>-14.119893912465749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18.769491012211301</v>
      </c>
      <c r="E16">
        <v>18.769491012211301</v>
      </c>
      <c r="F16" t="s">
        <v>47</v>
      </c>
      <c r="G16" s="11" t="s">
        <v>8</v>
      </c>
      <c r="H16" t="s">
        <v>151</v>
      </c>
      <c r="I16">
        <f t="shared" ref="I16:J16" si="13">I14</f>
        <v>18.682266387289602</v>
      </c>
      <c r="J16">
        <f t="shared" si="13"/>
        <v>0.12266167573751556</v>
      </c>
      <c r="K16">
        <f>I2</f>
        <v>32.80216029975535</v>
      </c>
      <c r="L16">
        <f>I14</f>
        <v>18.682266387289602</v>
      </c>
      <c r="M16">
        <f t="shared" si="0"/>
        <v>-14.119893912465749</v>
      </c>
      <c r="N16">
        <f t="shared" si="1"/>
        <v>0</v>
      </c>
    </row>
    <row r="17" spans="1:14" s="17" customFormat="1" x14ac:dyDescent="0.2">
      <c r="A17" s="17" t="s">
        <v>48</v>
      </c>
      <c r="B17" s="17" t="s">
        <v>129</v>
      </c>
      <c r="C17" s="17" t="s">
        <v>32</v>
      </c>
      <c r="E17" s="17">
        <v>35.206703533342598</v>
      </c>
      <c r="F17" s="17" t="s">
        <v>48</v>
      </c>
      <c r="G17" s="19" t="s">
        <v>21</v>
      </c>
      <c r="H17" s="17" t="s">
        <v>151</v>
      </c>
      <c r="I17" s="17" t="e">
        <f t="shared" ref="I17" si="14">AVERAGE(D17:D19)</f>
        <v>#DIV/0!</v>
      </c>
      <c r="J17" s="17" t="e">
        <f t="shared" ref="J17" si="15">STDEV(D17:D19)</f>
        <v>#DIV/0!</v>
      </c>
      <c r="K17" s="17">
        <f>I2</f>
        <v>32.80216029975535</v>
      </c>
      <c r="L17" s="17">
        <f>I14</f>
        <v>18.682266387289602</v>
      </c>
      <c r="M17" s="17" t="e">
        <f t="shared" si="0"/>
        <v>#DIV/0!</v>
      </c>
      <c r="N17" s="17" t="e">
        <f t="shared" si="1"/>
        <v>#DIV/0!</v>
      </c>
    </row>
    <row r="18" spans="1:14" s="17" customFormat="1" x14ac:dyDescent="0.2">
      <c r="A18" s="17" t="s">
        <v>49</v>
      </c>
      <c r="B18" s="17" t="s">
        <v>129</v>
      </c>
      <c r="C18" s="17" t="s">
        <v>32</v>
      </c>
      <c r="E18" s="17">
        <v>36.175480198525896</v>
      </c>
      <c r="F18" s="17" t="s">
        <v>49</v>
      </c>
      <c r="G18" s="19" t="s">
        <v>21</v>
      </c>
      <c r="H18" s="17" t="s">
        <v>151</v>
      </c>
      <c r="I18" s="17" t="e">
        <f t="shared" ref="I18:J19" si="16">I17</f>
        <v>#DIV/0!</v>
      </c>
      <c r="J18" s="17" t="e">
        <f t="shared" si="16"/>
        <v>#DIV/0!</v>
      </c>
      <c r="K18" s="17">
        <f>I2</f>
        <v>32.80216029975535</v>
      </c>
      <c r="L18" s="17">
        <f>I14</f>
        <v>18.682266387289602</v>
      </c>
      <c r="M18" s="17" t="e">
        <f t="shared" si="0"/>
        <v>#DIV/0!</v>
      </c>
      <c r="N18" s="17" t="e">
        <f t="shared" si="1"/>
        <v>#DIV/0!</v>
      </c>
    </row>
    <row r="19" spans="1:14" s="17" customFormat="1" x14ac:dyDescent="0.2">
      <c r="A19" s="17" t="s">
        <v>50</v>
      </c>
      <c r="B19" s="17" t="s">
        <v>129</v>
      </c>
      <c r="C19" s="17" t="s">
        <v>32</v>
      </c>
      <c r="E19" s="17" t="s">
        <v>33</v>
      </c>
      <c r="F19" s="17" t="s">
        <v>50</v>
      </c>
      <c r="G19" s="19" t="s">
        <v>21</v>
      </c>
      <c r="H19" s="17" t="s">
        <v>151</v>
      </c>
      <c r="I19" s="17" t="e">
        <f t="shared" si="16"/>
        <v>#DIV/0!</v>
      </c>
      <c r="J19" s="17" t="e">
        <f t="shared" ref="J19" si="17">J17</f>
        <v>#DIV/0!</v>
      </c>
      <c r="K19" s="17">
        <f>I2</f>
        <v>32.80216029975535</v>
      </c>
      <c r="L19" s="17">
        <f>I14</f>
        <v>18.682266387289602</v>
      </c>
      <c r="M19" s="17" t="e">
        <f t="shared" si="0"/>
        <v>#DIV/0!</v>
      </c>
      <c r="N19" s="17" t="e">
        <f t="shared" si="1"/>
        <v>#DIV/0!</v>
      </c>
    </row>
    <row r="20" spans="1:14" x14ac:dyDescent="0.2">
      <c r="A20" t="s">
        <v>51</v>
      </c>
      <c r="B20" t="s">
        <v>129</v>
      </c>
      <c r="C20" t="s">
        <v>32</v>
      </c>
      <c r="D20">
        <v>17.2713816819568</v>
      </c>
      <c r="E20">
        <v>17.2713816819568</v>
      </c>
      <c r="F20" t="s">
        <v>51</v>
      </c>
      <c r="G20" s="11" t="s">
        <v>8</v>
      </c>
      <c r="H20">
        <v>113</v>
      </c>
      <c r="I20">
        <f t="shared" ref="I20" si="18">AVERAGE(D20:D22)</f>
        <v>17.598895754001333</v>
      </c>
      <c r="J20">
        <f t="shared" ref="J20" si="19">STDEV(D20:D22)</f>
        <v>0.32973053383917733</v>
      </c>
      <c r="K20">
        <f>I8</f>
        <v>34.587757551175301</v>
      </c>
      <c r="L20">
        <f>I20</f>
        <v>17.598895754001333</v>
      </c>
      <c r="M20">
        <f t="shared" si="0"/>
        <v>-16.988861797173968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17.594506649998099</v>
      </c>
      <c r="E21">
        <v>17.594506649998099</v>
      </c>
      <c r="F21" t="s">
        <v>52</v>
      </c>
      <c r="G21" s="11" t="s">
        <v>8</v>
      </c>
      <c r="H21">
        <v>113</v>
      </c>
      <c r="I21">
        <f t="shared" ref="I21:J21" si="20">I20</f>
        <v>17.598895754001333</v>
      </c>
      <c r="J21">
        <f t="shared" si="20"/>
        <v>0.32973053383917733</v>
      </c>
      <c r="K21">
        <f>I8</f>
        <v>34.587757551175301</v>
      </c>
      <c r="L21">
        <f>I20</f>
        <v>17.598895754001333</v>
      </c>
      <c r="M21">
        <f t="shared" si="0"/>
        <v>-16.988861797173968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17.9307989300491</v>
      </c>
      <c r="E22">
        <v>17.9307989300491</v>
      </c>
      <c r="F22" t="s">
        <v>53</v>
      </c>
      <c r="G22" s="11" t="s">
        <v>8</v>
      </c>
      <c r="H22">
        <v>113</v>
      </c>
      <c r="I22">
        <f t="shared" ref="I22:J22" si="21">I20</f>
        <v>17.598895754001333</v>
      </c>
      <c r="J22">
        <f t="shared" si="21"/>
        <v>0.32973053383917733</v>
      </c>
      <c r="K22">
        <f>I8</f>
        <v>34.587757551175301</v>
      </c>
      <c r="L22">
        <f>I20</f>
        <v>17.598895754001333</v>
      </c>
      <c r="M22">
        <f t="shared" si="0"/>
        <v>-16.988861797173968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35.2223561354702</v>
      </c>
      <c r="F23" s="17" t="s">
        <v>54</v>
      </c>
      <c r="G23" s="19" t="s">
        <v>21</v>
      </c>
      <c r="H23" s="17">
        <v>113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34.587757551175301</v>
      </c>
      <c r="L23" s="17">
        <f>I20</f>
        <v>17.598895754001333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 t="s">
        <v>33</v>
      </c>
      <c r="F24" s="17" t="s">
        <v>55</v>
      </c>
      <c r="G24" s="19" t="s">
        <v>21</v>
      </c>
      <c r="H24" s="17">
        <v>113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34.587757551175301</v>
      </c>
      <c r="L24" s="17">
        <f>I20</f>
        <v>17.598895754001333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37.1524224112258</v>
      </c>
      <c r="F25" s="17" t="s">
        <v>56</v>
      </c>
      <c r="G25" s="19" t="s">
        <v>21</v>
      </c>
      <c r="H25" s="17">
        <v>113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34.587757551175301</v>
      </c>
      <c r="L25" s="17">
        <f>I20</f>
        <v>17.598895754001333</v>
      </c>
      <c r="M25" s="17" t="e">
        <f t="shared" si="0"/>
        <v>#DIV/0!</v>
      </c>
      <c r="N25" s="17" t="e">
        <f t="shared" si="1"/>
        <v>#DIV/0!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37.103735524595599</v>
      </c>
      <c r="F26" s="17" t="s">
        <v>57</v>
      </c>
      <c r="G26" s="20" t="s">
        <v>14</v>
      </c>
      <c r="H26" s="17" t="s">
        <v>151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32.80216029975535</v>
      </c>
      <c r="L26" s="17">
        <f>I14</f>
        <v>18.682266387289602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29.0020056275306</v>
      </c>
      <c r="F27" s="17" t="s">
        <v>58</v>
      </c>
      <c r="G27" s="20" t="s">
        <v>14</v>
      </c>
      <c r="H27" s="17" t="s">
        <v>151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32.80216029975535</v>
      </c>
      <c r="L27" s="17">
        <f>I14</f>
        <v>18.682266387289602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35.159908363691002</v>
      </c>
      <c r="F28" s="17" t="s">
        <v>59</v>
      </c>
      <c r="G28" s="20" t="s">
        <v>14</v>
      </c>
      <c r="H28" s="17" t="s">
        <v>151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32.80216029975535</v>
      </c>
      <c r="L28" s="17">
        <f>I14</f>
        <v>18.682266387289602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34.256385155696201</v>
      </c>
      <c r="E29">
        <v>34.256385155696201</v>
      </c>
      <c r="F29" t="s">
        <v>60</v>
      </c>
      <c r="G29" s="1" t="s">
        <v>23</v>
      </c>
      <c r="H29" t="s">
        <v>151</v>
      </c>
      <c r="I29">
        <f t="shared" ref="I29" si="30">AVERAGE(D29:D31)</f>
        <v>34.210908658289163</v>
      </c>
      <c r="J29">
        <f t="shared" ref="J29" si="31">STDEV(D29:D31)</f>
        <v>0.47668318469211091</v>
      </c>
      <c r="K29">
        <f>I2</f>
        <v>32.80216029975535</v>
      </c>
      <c r="L29">
        <f>I14</f>
        <v>18.682266387289602</v>
      </c>
      <c r="M29">
        <f t="shared" si="0"/>
        <v>1.4087483585338134</v>
      </c>
      <c r="N29">
        <f t="shared" si="1"/>
        <v>15.528642270999562</v>
      </c>
    </row>
    <row r="30" spans="1:14" x14ac:dyDescent="0.2">
      <c r="A30" t="s">
        <v>61</v>
      </c>
      <c r="B30" t="s">
        <v>129</v>
      </c>
      <c r="C30" t="s">
        <v>32</v>
      </c>
      <c r="D30">
        <v>34.663223853637902</v>
      </c>
      <c r="E30">
        <v>34.663223853637902</v>
      </c>
      <c r="F30" t="s">
        <v>61</v>
      </c>
      <c r="G30" s="1" t="s">
        <v>23</v>
      </c>
      <c r="H30" t="s">
        <v>151</v>
      </c>
      <c r="I30">
        <f t="shared" ref="I30:J31" si="32">I29</f>
        <v>34.210908658289163</v>
      </c>
      <c r="J30">
        <f t="shared" si="32"/>
        <v>0.47668318469211091</v>
      </c>
      <c r="K30">
        <f>I2</f>
        <v>32.80216029975535</v>
      </c>
      <c r="L30">
        <f>I14</f>
        <v>18.682266387289602</v>
      </c>
      <c r="M30">
        <f t="shared" si="0"/>
        <v>1.4087483585338134</v>
      </c>
      <c r="N30">
        <f t="shared" si="1"/>
        <v>15.528642270999562</v>
      </c>
    </row>
    <row r="31" spans="1:14" x14ac:dyDescent="0.2">
      <c r="A31" t="s">
        <v>62</v>
      </c>
      <c r="B31" t="s">
        <v>129</v>
      </c>
      <c r="C31" t="s">
        <v>32</v>
      </c>
      <c r="D31">
        <v>33.713116965533402</v>
      </c>
      <c r="E31">
        <v>33.713116965533402</v>
      </c>
      <c r="F31" t="s">
        <v>62</v>
      </c>
      <c r="G31" s="1" t="s">
        <v>23</v>
      </c>
      <c r="H31" t="s">
        <v>151</v>
      </c>
      <c r="I31">
        <f t="shared" si="32"/>
        <v>34.210908658289163</v>
      </c>
      <c r="J31">
        <f t="shared" ref="J31" si="33">J29</f>
        <v>0.47668318469211091</v>
      </c>
      <c r="K31">
        <f>I2</f>
        <v>32.80216029975535</v>
      </c>
      <c r="L31">
        <f>I14</f>
        <v>18.682266387289602</v>
      </c>
      <c r="M31">
        <f t="shared" si="0"/>
        <v>1.4087483585338134</v>
      </c>
      <c r="N31">
        <f t="shared" si="1"/>
        <v>15.528642270999562</v>
      </c>
    </row>
    <row r="32" spans="1:14" x14ac:dyDescent="0.2">
      <c r="A32" t="s">
        <v>63</v>
      </c>
      <c r="B32" t="s">
        <v>129</v>
      </c>
      <c r="C32" t="s">
        <v>32</v>
      </c>
      <c r="D32">
        <v>35.609316659147503</v>
      </c>
      <c r="E32">
        <v>35.609316659147503</v>
      </c>
      <c r="F32" t="s">
        <v>63</v>
      </c>
      <c r="G32" s="4" t="s">
        <v>14</v>
      </c>
      <c r="H32">
        <v>113</v>
      </c>
      <c r="I32">
        <f t="shared" ref="I32" si="34">AVERAGE(D32:D34)</f>
        <v>35.366428493973402</v>
      </c>
      <c r="J32">
        <f t="shared" ref="J32" si="35">STDEV(D32:D34)</f>
        <v>0.34349573732912986</v>
      </c>
      <c r="K32">
        <f>I8</f>
        <v>34.587757551175301</v>
      </c>
      <c r="L32">
        <f>I20</f>
        <v>17.598895754001333</v>
      </c>
      <c r="M32">
        <f t="shared" si="0"/>
        <v>0.7786709427981009</v>
      </c>
      <c r="N32">
        <f t="shared" si="1"/>
        <v>17.767532739972069</v>
      </c>
    </row>
    <row r="33" spans="1:14" x14ac:dyDescent="0.2">
      <c r="A33" t="s">
        <v>64</v>
      </c>
      <c r="B33" t="s">
        <v>129</v>
      </c>
      <c r="C33" t="s">
        <v>32</v>
      </c>
      <c r="D33">
        <v>35.123540328799301</v>
      </c>
      <c r="E33">
        <v>35.123540328799301</v>
      </c>
      <c r="F33" t="s">
        <v>64</v>
      </c>
      <c r="G33" s="4" t="s">
        <v>14</v>
      </c>
      <c r="H33">
        <v>113</v>
      </c>
      <c r="I33">
        <f t="shared" ref="I33:J33" si="36">I32</f>
        <v>35.366428493973402</v>
      </c>
      <c r="J33">
        <f t="shared" si="36"/>
        <v>0.34349573732912986</v>
      </c>
      <c r="K33">
        <f>I8</f>
        <v>34.587757551175301</v>
      </c>
      <c r="L33">
        <f>I20</f>
        <v>17.598895754001333</v>
      </c>
      <c r="M33">
        <f t="shared" si="0"/>
        <v>0.7786709427981009</v>
      </c>
      <c r="N33">
        <f t="shared" si="1"/>
        <v>17.767532739972069</v>
      </c>
    </row>
    <row r="34" spans="1:14" x14ac:dyDescent="0.2">
      <c r="A34" t="s">
        <v>65</v>
      </c>
      <c r="B34" t="s">
        <v>129</v>
      </c>
      <c r="C34" t="s">
        <v>32</v>
      </c>
      <c r="E34">
        <v>34.3740204579112</v>
      </c>
      <c r="F34" t="s">
        <v>65</v>
      </c>
      <c r="G34" s="4" t="s">
        <v>14</v>
      </c>
      <c r="H34">
        <v>113</v>
      </c>
      <c r="I34">
        <f t="shared" ref="I34:J34" si="37">I32</f>
        <v>35.366428493973402</v>
      </c>
      <c r="J34">
        <f t="shared" si="37"/>
        <v>0.34349573732912986</v>
      </c>
      <c r="K34">
        <f>I8</f>
        <v>34.587757551175301</v>
      </c>
      <c r="L34">
        <f>I20</f>
        <v>17.598895754001333</v>
      </c>
      <c r="M34">
        <f t="shared" si="0"/>
        <v>0.7786709427981009</v>
      </c>
      <c r="N34">
        <f t="shared" si="1"/>
        <v>17.767532739972069</v>
      </c>
    </row>
    <row r="35" spans="1:14" x14ac:dyDescent="0.2">
      <c r="A35" t="s">
        <v>66</v>
      </c>
      <c r="B35" t="s">
        <v>129</v>
      </c>
      <c r="C35" t="s">
        <v>32</v>
      </c>
      <c r="D35">
        <v>37.137718736471498</v>
      </c>
      <c r="E35">
        <v>37.137718736471498</v>
      </c>
      <c r="F35" t="s">
        <v>66</v>
      </c>
      <c r="G35" s="1" t="s">
        <v>23</v>
      </c>
      <c r="H35">
        <v>113</v>
      </c>
      <c r="I35">
        <f t="shared" ref="I35" si="38">AVERAGE(D35:D37)</f>
        <v>36.740807761306797</v>
      </c>
      <c r="J35">
        <f t="shared" ref="J35" si="39">STDEV(D35:D37)</f>
        <v>0.35264850233738515</v>
      </c>
      <c r="K35">
        <f>I8</f>
        <v>34.587757551175301</v>
      </c>
      <c r="L35">
        <f>I20</f>
        <v>17.598895754001333</v>
      </c>
      <c r="M35">
        <f t="shared" si="0"/>
        <v>2.1530502101314966</v>
      </c>
      <c r="N35">
        <f t="shared" si="1"/>
        <v>19.141912007305464</v>
      </c>
    </row>
    <row r="36" spans="1:14" x14ac:dyDescent="0.2">
      <c r="A36" t="s">
        <v>67</v>
      </c>
      <c r="B36" t="s">
        <v>129</v>
      </c>
      <c r="C36" t="s">
        <v>32</v>
      </c>
      <c r="D36">
        <v>36.6211382150221</v>
      </c>
      <c r="E36">
        <v>36.6211382150221</v>
      </c>
      <c r="F36" t="s">
        <v>67</v>
      </c>
      <c r="G36" s="1" t="s">
        <v>23</v>
      </c>
      <c r="H36">
        <v>113</v>
      </c>
      <c r="I36">
        <f t="shared" ref="I36:J37" si="40">I35</f>
        <v>36.740807761306797</v>
      </c>
      <c r="J36">
        <f t="shared" si="40"/>
        <v>0.35264850233738515</v>
      </c>
      <c r="K36">
        <f>I8</f>
        <v>34.587757551175301</v>
      </c>
      <c r="L36">
        <f>I20</f>
        <v>17.598895754001333</v>
      </c>
      <c r="M36">
        <f t="shared" si="0"/>
        <v>2.1530502101314966</v>
      </c>
      <c r="N36">
        <f t="shared" si="1"/>
        <v>19.141912007305464</v>
      </c>
    </row>
    <row r="37" spans="1:14" x14ac:dyDescent="0.2">
      <c r="A37" t="s">
        <v>68</v>
      </c>
      <c r="B37" t="s">
        <v>129</v>
      </c>
      <c r="C37" t="s">
        <v>32</v>
      </c>
      <c r="D37">
        <v>36.463566332426801</v>
      </c>
      <c r="E37">
        <v>36.463566332426801</v>
      </c>
      <c r="F37" t="s">
        <v>68</v>
      </c>
      <c r="G37" s="1" t="s">
        <v>23</v>
      </c>
      <c r="H37">
        <v>113</v>
      </c>
      <c r="I37">
        <f t="shared" si="40"/>
        <v>36.740807761306797</v>
      </c>
      <c r="J37">
        <f t="shared" ref="J37" si="41">J35</f>
        <v>0.35264850233738515</v>
      </c>
      <c r="K37">
        <f>I8</f>
        <v>34.587757551175301</v>
      </c>
      <c r="L37">
        <f>I20</f>
        <v>17.598895754001333</v>
      </c>
      <c r="M37">
        <f t="shared" si="0"/>
        <v>2.1530502101314966</v>
      </c>
      <c r="N37">
        <f t="shared" si="1"/>
        <v>19.141912007305464</v>
      </c>
    </row>
    <row r="38" spans="1:14" s="17" customFormat="1" x14ac:dyDescent="0.2">
      <c r="A38" s="17" t="s">
        <v>69</v>
      </c>
      <c r="B38" s="17" t="s">
        <v>129</v>
      </c>
      <c r="C38" s="17" t="s">
        <v>32</v>
      </c>
      <c r="E38" s="17">
        <v>32.889761429653497</v>
      </c>
      <c r="F38" s="17" t="s">
        <v>69</v>
      </c>
      <c r="G38" s="20" t="s">
        <v>15</v>
      </c>
      <c r="H38" s="17" t="s">
        <v>151</v>
      </c>
      <c r="I38" s="17" t="e">
        <f t="shared" ref="I38" si="42">AVERAGE(D38:D40)</f>
        <v>#DIV/0!</v>
      </c>
      <c r="J38" s="17" t="e">
        <f t="shared" ref="J38" si="43">STDEV(D38:D40)</f>
        <v>#DIV/0!</v>
      </c>
      <c r="K38" s="17">
        <f>I2</f>
        <v>32.80216029975535</v>
      </c>
      <c r="L38" s="17">
        <f>I14</f>
        <v>18.682266387289602</v>
      </c>
      <c r="M38" s="17" t="e">
        <f t="shared" si="0"/>
        <v>#DIV/0!</v>
      </c>
      <c r="N38" s="17" t="e">
        <f t="shared" si="1"/>
        <v>#DIV/0!</v>
      </c>
    </row>
    <row r="39" spans="1:14" s="17" customFormat="1" x14ac:dyDescent="0.2">
      <c r="A39" s="17" t="s">
        <v>70</v>
      </c>
      <c r="B39" s="17" t="s">
        <v>129</v>
      </c>
      <c r="C39" s="17" t="s">
        <v>32</v>
      </c>
      <c r="E39" s="17">
        <v>34.503164856850397</v>
      </c>
      <c r="F39" s="17" t="s">
        <v>70</v>
      </c>
      <c r="G39" s="20" t="s">
        <v>15</v>
      </c>
      <c r="H39" s="17" t="s">
        <v>151</v>
      </c>
      <c r="I39" s="17" t="e">
        <f t="shared" ref="I39:J39" si="44">I38</f>
        <v>#DIV/0!</v>
      </c>
      <c r="J39" s="17" t="e">
        <f t="shared" si="44"/>
        <v>#DIV/0!</v>
      </c>
      <c r="K39" s="17">
        <f>I2</f>
        <v>32.80216029975535</v>
      </c>
      <c r="L39" s="17">
        <f>I14</f>
        <v>18.682266387289602</v>
      </c>
      <c r="M39" s="17" t="e">
        <f t="shared" si="0"/>
        <v>#DIV/0!</v>
      </c>
      <c r="N39" s="17" t="e">
        <f t="shared" si="1"/>
        <v>#DIV/0!</v>
      </c>
    </row>
    <row r="40" spans="1:14" s="17" customFormat="1" x14ac:dyDescent="0.2">
      <c r="A40" s="17" t="s">
        <v>71</v>
      </c>
      <c r="B40" s="17" t="s">
        <v>129</v>
      </c>
      <c r="C40" s="17" t="s">
        <v>32</v>
      </c>
      <c r="E40" s="17">
        <v>35.278165078335398</v>
      </c>
      <c r="F40" s="17" t="s">
        <v>71</v>
      </c>
      <c r="G40" s="20" t="s">
        <v>15</v>
      </c>
      <c r="H40" s="17" t="s">
        <v>151</v>
      </c>
      <c r="I40" s="17" t="e">
        <f t="shared" ref="I40:J40" si="45">I38</f>
        <v>#DIV/0!</v>
      </c>
      <c r="J40" s="17" t="e">
        <f t="shared" si="45"/>
        <v>#DIV/0!</v>
      </c>
      <c r="K40" s="17">
        <f>I2</f>
        <v>32.80216029975535</v>
      </c>
      <c r="L40" s="17">
        <f>I14</f>
        <v>18.682266387289602</v>
      </c>
      <c r="M40" s="17" t="e">
        <f t="shared" si="0"/>
        <v>#DIV/0!</v>
      </c>
      <c r="N40" s="17" t="e">
        <f t="shared" si="1"/>
        <v>#DIV/0!</v>
      </c>
    </row>
    <row r="41" spans="1:14" x14ac:dyDescent="0.2">
      <c r="A41" t="s">
        <v>72</v>
      </c>
      <c r="B41" t="s">
        <v>129</v>
      </c>
      <c r="C41" t="s">
        <v>32</v>
      </c>
      <c r="D41">
        <v>36.003462615419103</v>
      </c>
      <c r="E41">
        <v>36.003462615419103</v>
      </c>
      <c r="F41" t="s">
        <v>72</v>
      </c>
      <c r="G41" s="1" t="s">
        <v>22</v>
      </c>
      <c r="H41" t="s">
        <v>151</v>
      </c>
      <c r="I41">
        <f t="shared" ref="I41" si="46">AVERAGE(D41:D43)</f>
        <v>35.7677232793896</v>
      </c>
      <c r="J41">
        <f t="shared" ref="J41" si="47">STDEV(D41:D43)</f>
        <v>0.33338576619774724</v>
      </c>
      <c r="K41">
        <f>I2</f>
        <v>32.80216029975535</v>
      </c>
      <c r="L41">
        <f>I14</f>
        <v>18.682266387289602</v>
      </c>
      <c r="M41">
        <f t="shared" si="0"/>
        <v>2.9655629796342495</v>
      </c>
      <c r="N41">
        <f t="shared" si="1"/>
        <v>17.085456892099998</v>
      </c>
    </row>
    <row r="42" spans="1:14" x14ac:dyDescent="0.2">
      <c r="A42" t="s">
        <v>73</v>
      </c>
      <c r="B42" t="s">
        <v>129</v>
      </c>
      <c r="C42" t="s">
        <v>32</v>
      </c>
      <c r="E42">
        <v>34.700422003526803</v>
      </c>
      <c r="F42" t="s">
        <v>73</v>
      </c>
      <c r="G42" s="1" t="s">
        <v>22</v>
      </c>
      <c r="H42" t="s">
        <v>151</v>
      </c>
      <c r="I42">
        <f t="shared" ref="I42:J43" si="48">I41</f>
        <v>35.7677232793896</v>
      </c>
      <c r="J42">
        <f t="shared" si="48"/>
        <v>0.33338576619774724</v>
      </c>
      <c r="K42">
        <f>I2</f>
        <v>32.80216029975535</v>
      </c>
      <c r="L42">
        <f>I14</f>
        <v>18.682266387289602</v>
      </c>
      <c r="M42">
        <f t="shared" si="0"/>
        <v>2.9655629796342495</v>
      </c>
      <c r="N42">
        <f t="shared" si="1"/>
        <v>17.085456892099998</v>
      </c>
    </row>
    <row r="43" spans="1:14" x14ac:dyDescent="0.2">
      <c r="A43" t="s">
        <v>74</v>
      </c>
      <c r="B43" t="s">
        <v>129</v>
      </c>
      <c r="C43" t="s">
        <v>32</v>
      </c>
      <c r="D43">
        <v>35.531983943360103</v>
      </c>
      <c r="E43">
        <v>35.531983943360103</v>
      </c>
      <c r="F43" t="s">
        <v>74</v>
      </c>
      <c r="G43" s="1" t="s">
        <v>22</v>
      </c>
      <c r="H43" t="s">
        <v>151</v>
      </c>
      <c r="I43">
        <f t="shared" si="48"/>
        <v>35.7677232793896</v>
      </c>
      <c r="J43">
        <f t="shared" ref="J43" si="49">J41</f>
        <v>0.33338576619774724</v>
      </c>
      <c r="K43">
        <f>I2</f>
        <v>32.80216029975535</v>
      </c>
      <c r="L43">
        <f>I14</f>
        <v>18.682266387289602</v>
      </c>
      <c r="M43">
        <f t="shared" si="0"/>
        <v>2.9655629796342495</v>
      </c>
      <c r="N43">
        <f t="shared" si="1"/>
        <v>17.085456892099998</v>
      </c>
    </row>
    <row r="44" spans="1:14" s="17" customFormat="1" x14ac:dyDescent="0.2">
      <c r="A44" s="17" t="s">
        <v>75</v>
      </c>
      <c r="B44" s="17" t="s">
        <v>129</v>
      </c>
      <c r="C44" s="17" t="s">
        <v>32</v>
      </c>
      <c r="E44" s="17">
        <v>38.134880651146403</v>
      </c>
      <c r="F44" s="17" t="s">
        <v>75</v>
      </c>
      <c r="G44" s="20" t="s">
        <v>15</v>
      </c>
      <c r="H44" s="17">
        <v>113</v>
      </c>
      <c r="I44" s="17" t="e">
        <f t="shared" ref="I44" si="50">AVERAGE(D44:D46)</f>
        <v>#DIV/0!</v>
      </c>
      <c r="J44" s="17" t="e">
        <f t="shared" ref="J44" si="51">STDEV(D44:D46)</f>
        <v>#DIV/0!</v>
      </c>
      <c r="K44" s="17">
        <f>I8</f>
        <v>34.587757551175301</v>
      </c>
      <c r="L44" s="17">
        <f>I20</f>
        <v>17.598895754001333</v>
      </c>
      <c r="M44" s="17" t="e">
        <f t="shared" si="0"/>
        <v>#DIV/0!</v>
      </c>
      <c r="N44" s="17" t="e">
        <f t="shared" si="1"/>
        <v>#DIV/0!</v>
      </c>
    </row>
    <row r="45" spans="1:14" s="17" customFormat="1" x14ac:dyDescent="0.2">
      <c r="A45" s="17" t="s">
        <v>76</v>
      </c>
      <c r="B45" s="17" t="s">
        <v>129</v>
      </c>
      <c r="C45" s="17" t="s">
        <v>32</v>
      </c>
      <c r="E45" s="17">
        <v>34.694406474260198</v>
      </c>
      <c r="F45" s="17" t="s">
        <v>76</v>
      </c>
      <c r="G45" s="20" t="s">
        <v>15</v>
      </c>
      <c r="H45" s="17">
        <v>113</v>
      </c>
      <c r="I45" s="17" t="e">
        <f t="shared" ref="I45:J45" si="52">I44</f>
        <v>#DIV/0!</v>
      </c>
      <c r="J45" s="17" t="e">
        <f t="shared" si="52"/>
        <v>#DIV/0!</v>
      </c>
      <c r="K45" s="17">
        <f>I8</f>
        <v>34.587757551175301</v>
      </c>
      <c r="L45" s="17">
        <f>I20</f>
        <v>17.598895754001333</v>
      </c>
      <c r="M45" s="17" t="e">
        <f t="shared" si="0"/>
        <v>#DIV/0!</v>
      </c>
      <c r="N45" s="17" t="e">
        <f t="shared" si="1"/>
        <v>#DIV/0!</v>
      </c>
    </row>
    <row r="46" spans="1:14" s="17" customFormat="1" x14ac:dyDescent="0.2">
      <c r="A46" s="17" t="s">
        <v>77</v>
      </c>
      <c r="B46" s="17" t="s">
        <v>129</v>
      </c>
      <c r="C46" s="17" t="s">
        <v>32</v>
      </c>
      <c r="E46" s="17">
        <v>36.3221151241315</v>
      </c>
      <c r="F46" s="17" t="s">
        <v>77</v>
      </c>
      <c r="G46" s="20" t="s">
        <v>15</v>
      </c>
      <c r="H46" s="17">
        <v>113</v>
      </c>
      <c r="I46" s="17" t="e">
        <f t="shared" ref="I46:J46" si="53">I44</f>
        <v>#DIV/0!</v>
      </c>
      <c r="J46" s="17" t="e">
        <f t="shared" si="53"/>
        <v>#DIV/0!</v>
      </c>
      <c r="K46" s="17">
        <f>I8</f>
        <v>34.587757551175301</v>
      </c>
      <c r="L46" s="17">
        <f>I20</f>
        <v>17.598895754001333</v>
      </c>
      <c r="M46" s="17" t="e">
        <f t="shared" si="0"/>
        <v>#DIV/0!</v>
      </c>
      <c r="N46" s="17" t="e">
        <f t="shared" si="1"/>
        <v>#DIV/0!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36.166701092254101</v>
      </c>
      <c r="F47" s="17" t="s">
        <v>78</v>
      </c>
      <c r="G47" s="19" t="s">
        <v>22</v>
      </c>
      <c r="H47" s="17">
        <v>113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34.587757551175301</v>
      </c>
      <c r="L47" s="17">
        <f>I20</f>
        <v>17.598895754001333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 t="s">
        <v>33</v>
      </c>
      <c r="F48" s="17" t="s">
        <v>79</v>
      </c>
      <c r="G48" s="19" t="s">
        <v>22</v>
      </c>
      <c r="H48" s="17">
        <v>113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34.587757551175301</v>
      </c>
      <c r="L48" s="17">
        <f>I20</f>
        <v>17.598895754001333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 t="s">
        <v>33</v>
      </c>
      <c r="F49" s="17" t="s">
        <v>80</v>
      </c>
      <c r="G49" s="19" t="s">
        <v>22</v>
      </c>
      <c r="H49" s="17">
        <v>113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34.587757551175301</v>
      </c>
      <c r="L49" s="17">
        <f>I20</f>
        <v>17.598895754001333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33.411500008516803</v>
      </c>
      <c r="E50">
        <v>33.411500008516803</v>
      </c>
      <c r="F50" t="s">
        <v>81</v>
      </c>
      <c r="G50" s="4" t="s">
        <v>16</v>
      </c>
      <c r="H50" t="s">
        <v>151</v>
      </c>
      <c r="I50">
        <f t="shared" ref="I50" si="58">AVERAGE(D50:D52)</f>
        <v>33.336178419206334</v>
      </c>
      <c r="J50">
        <f t="shared" ref="J50" si="59">STDEV(D50:D52)</f>
        <v>0.29336887737649875</v>
      </c>
      <c r="K50">
        <f>I2</f>
        <v>32.80216029975535</v>
      </c>
      <c r="L50">
        <f>I14</f>
        <v>18.682266387289602</v>
      </c>
      <c r="M50">
        <f t="shared" si="0"/>
        <v>0.53401811945098387</v>
      </c>
      <c r="N50">
        <f t="shared" si="1"/>
        <v>14.653912031916732</v>
      </c>
    </row>
    <row r="51" spans="1:14" x14ac:dyDescent="0.2">
      <c r="A51" t="s">
        <v>82</v>
      </c>
      <c r="B51" t="s">
        <v>129</v>
      </c>
      <c r="C51" t="s">
        <v>32</v>
      </c>
      <c r="D51">
        <v>33.584542609213202</v>
      </c>
      <c r="E51">
        <v>33.584542609213202</v>
      </c>
      <c r="F51" t="s">
        <v>82</v>
      </c>
      <c r="G51" s="4" t="s">
        <v>16</v>
      </c>
      <c r="H51" t="s">
        <v>151</v>
      </c>
      <c r="I51">
        <f t="shared" ref="I51:J51" si="60">I50</f>
        <v>33.336178419206334</v>
      </c>
      <c r="J51">
        <f t="shared" si="60"/>
        <v>0.29336887737649875</v>
      </c>
      <c r="K51">
        <f>I2</f>
        <v>32.80216029975535</v>
      </c>
      <c r="L51">
        <f>I14</f>
        <v>18.682266387289602</v>
      </c>
      <c r="M51">
        <f t="shared" si="0"/>
        <v>0.53401811945098387</v>
      </c>
      <c r="N51">
        <f t="shared" si="1"/>
        <v>14.653912031916732</v>
      </c>
    </row>
    <row r="52" spans="1:14" x14ac:dyDescent="0.2">
      <c r="A52" t="s">
        <v>83</v>
      </c>
      <c r="B52" t="s">
        <v>129</v>
      </c>
      <c r="C52" t="s">
        <v>32</v>
      </c>
      <c r="D52">
        <v>33.012492639888997</v>
      </c>
      <c r="E52">
        <v>33.012492639888997</v>
      </c>
      <c r="F52" t="s">
        <v>83</v>
      </c>
      <c r="G52" s="4" t="s">
        <v>16</v>
      </c>
      <c r="H52" t="s">
        <v>151</v>
      </c>
      <c r="I52">
        <f t="shared" ref="I52:J52" si="61">I50</f>
        <v>33.336178419206334</v>
      </c>
      <c r="J52">
        <f t="shared" si="61"/>
        <v>0.29336887737649875</v>
      </c>
      <c r="K52">
        <f>I2</f>
        <v>32.80216029975535</v>
      </c>
      <c r="L52">
        <f>I14</f>
        <v>18.682266387289602</v>
      </c>
      <c r="M52">
        <f t="shared" si="0"/>
        <v>0.53401811945098387</v>
      </c>
      <c r="N52">
        <f t="shared" si="1"/>
        <v>14.653912031916732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34.1193748370073</v>
      </c>
      <c r="F53" s="17" t="s">
        <v>84</v>
      </c>
      <c r="G53" s="19" t="s">
        <v>24</v>
      </c>
      <c r="H53" s="17" t="s">
        <v>151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32.80216029975535</v>
      </c>
      <c r="L53" s="17">
        <f>I14</f>
        <v>18.682266387289602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 t="s">
        <v>33</v>
      </c>
      <c r="F54" s="17" t="s">
        <v>85</v>
      </c>
      <c r="G54" s="19" t="s">
        <v>24</v>
      </c>
      <c r="H54" s="17" t="s">
        <v>151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32.80216029975535</v>
      </c>
      <c r="L54" s="17">
        <f>I14</f>
        <v>18.682266387289602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37.703462077233297</v>
      </c>
      <c r="F55" s="17" t="s">
        <v>86</v>
      </c>
      <c r="G55" s="19" t="s">
        <v>24</v>
      </c>
      <c r="H55" s="17" t="s">
        <v>151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32.80216029975535</v>
      </c>
      <c r="L55" s="17">
        <f>I14</f>
        <v>18.682266387289602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34.746275678735998</v>
      </c>
      <c r="E56">
        <v>34.746275678735998</v>
      </c>
      <c r="F56" t="s">
        <v>87</v>
      </c>
      <c r="G56" s="4" t="s">
        <v>16</v>
      </c>
      <c r="H56">
        <v>113</v>
      </c>
      <c r="I56">
        <f t="shared" ref="I56" si="66">AVERAGE(D56:D58)</f>
        <v>34.647812291754548</v>
      </c>
      <c r="J56">
        <f t="shared" ref="J56" si="67">STDEV(D56:D58)</f>
        <v>0.13924825726635728</v>
      </c>
      <c r="K56">
        <f>I8</f>
        <v>34.587757551175301</v>
      </c>
      <c r="L56">
        <f>I20</f>
        <v>17.598895754001333</v>
      </c>
      <c r="M56">
        <f t="shared" si="0"/>
        <v>6.0054740579246868E-2</v>
      </c>
      <c r="N56">
        <f t="shared" si="1"/>
        <v>17.048916537753215</v>
      </c>
    </row>
    <row r="57" spans="1:14" x14ac:dyDescent="0.2">
      <c r="A57" t="s">
        <v>88</v>
      </c>
      <c r="B57" t="s">
        <v>129</v>
      </c>
      <c r="C57" t="s">
        <v>32</v>
      </c>
      <c r="D57">
        <v>34.549348904773098</v>
      </c>
      <c r="E57">
        <v>34.549348904773098</v>
      </c>
      <c r="F57" t="s">
        <v>88</v>
      </c>
      <c r="G57" s="4" t="s">
        <v>16</v>
      </c>
      <c r="H57">
        <v>113</v>
      </c>
      <c r="I57">
        <f t="shared" ref="I57:J57" si="68">I56</f>
        <v>34.647812291754548</v>
      </c>
      <c r="J57">
        <f t="shared" si="68"/>
        <v>0.13924825726635728</v>
      </c>
      <c r="K57">
        <f>I8</f>
        <v>34.587757551175301</v>
      </c>
      <c r="L57">
        <f>I20</f>
        <v>17.598895754001333</v>
      </c>
      <c r="M57">
        <f t="shared" si="0"/>
        <v>6.0054740579246868E-2</v>
      </c>
      <c r="N57">
        <f t="shared" si="1"/>
        <v>17.048916537753215</v>
      </c>
    </row>
    <row r="58" spans="1:14" x14ac:dyDescent="0.2">
      <c r="A58" t="s">
        <v>89</v>
      </c>
      <c r="B58" t="s">
        <v>129</v>
      </c>
      <c r="C58" t="s">
        <v>32</v>
      </c>
      <c r="E58">
        <v>33.167168032219699</v>
      </c>
      <c r="F58" t="s">
        <v>89</v>
      </c>
      <c r="G58" s="4" t="s">
        <v>16</v>
      </c>
      <c r="H58">
        <v>113</v>
      </c>
      <c r="I58">
        <f t="shared" ref="I58:J58" si="69">I56</f>
        <v>34.647812291754548</v>
      </c>
      <c r="J58">
        <f t="shared" si="69"/>
        <v>0.13924825726635728</v>
      </c>
      <c r="K58">
        <f>I8</f>
        <v>34.587757551175301</v>
      </c>
      <c r="L58">
        <f>I20</f>
        <v>17.598895754001333</v>
      </c>
      <c r="M58">
        <f t="shared" si="0"/>
        <v>6.0054740579246868E-2</v>
      </c>
      <c r="N58">
        <f t="shared" si="1"/>
        <v>17.048916537753215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D59" s="17" t="s">
        <v>33</v>
      </c>
      <c r="E59" s="17" t="s">
        <v>33</v>
      </c>
      <c r="F59" s="17" t="s">
        <v>90</v>
      </c>
      <c r="G59" s="19" t="s">
        <v>24</v>
      </c>
      <c r="H59" s="17">
        <v>113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34.587757551175301</v>
      </c>
      <c r="L59" s="17">
        <f>I20</f>
        <v>17.598895754001333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D60" s="17" t="s">
        <v>33</v>
      </c>
      <c r="E60" s="17" t="s">
        <v>33</v>
      </c>
      <c r="F60" s="17" t="s">
        <v>91</v>
      </c>
      <c r="G60" s="19" t="s">
        <v>24</v>
      </c>
      <c r="H60" s="17">
        <v>113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34.587757551175301</v>
      </c>
      <c r="L60" s="17">
        <f>I20</f>
        <v>17.598895754001333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D61" s="17" t="s">
        <v>33</v>
      </c>
      <c r="E61" s="17" t="s">
        <v>33</v>
      </c>
      <c r="F61" s="17" t="s">
        <v>92</v>
      </c>
      <c r="G61" s="19" t="s">
        <v>24</v>
      </c>
      <c r="H61" s="17">
        <v>113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34.587757551175301</v>
      </c>
      <c r="L61" s="17">
        <f>I20</f>
        <v>17.598895754001333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E62">
        <v>34.258598748339203</v>
      </c>
      <c r="F62" t="s">
        <v>93</v>
      </c>
      <c r="G62" s="4" t="s">
        <v>17</v>
      </c>
      <c r="H62" t="s">
        <v>151</v>
      </c>
      <c r="I62">
        <f t="shared" ref="I62" si="74">AVERAGE(D62:D64)</f>
        <v>33.163152953201902</v>
      </c>
      <c r="J62">
        <f t="shared" ref="J62" si="75">STDEV(D62:D64)</f>
        <v>0.14796092510417902</v>
      </c>
      <c r="K62">
        <f>I2</f>
        <v>32.80216029975535</v>
      </c>
      <c r="L62">
        <f>I14</f>
        <v>18.682266387289602</v>
      </c>
      <c r="M62">
        <f t="shared" si="0"/>
        <v>0.36099265344655151</v>
      </c>
      <c r="N62">
        <f t="shared" si="1"/>
        <v>14.4808865659123</v>
      </c>
    </row>
    <row r="63" spans="1:14" x14ac:dyDescent="0.2">
      <c r="A63" t="s">
        <v>94</v>
      </c>
      <c r="B63" t="s">
        <v>129</v>
      </c>
      <c r="C63" t="s">
        <v>32</v>
      </c>
      <c r="D63">
        <v>33.267777126693701</v>
      </c>
      <c r="E63">
        <v>33.267777126693701</v>
      </c>
      <c r="F63" t="s">
        <v>94</v>
      </c>
      <c r="G63" s="4" t="s">
        <v>17</v>
      </c>
      <c r="H63" t="s">
        <v>151</v>
      </c>
      <c r="I63">
        <f t="shared" ref="I63:J63" si="76">I62</f>
        <v>33.163152953201902</v>
      </c>
      <c r="J63">
        <f t="shared" si="76"/>
        <v>0.14796092510417902</v>
      </c>
      <c r="K63">
        <f>I2</f>
        <v>32.80216029975535</v>
      </c>
      <c r="L63">
        <f>I14</f>
        <v>18.682266387289602</v>
      </c>
      <c r="M63">
        <f t="shared" si="0"/>
        <v>0.36099265344655151</v>
      </c>
      <c r="N63">
        <f t="shared" si="1"/>
        <v>14.4808865659123</v>
      </c>
    </row>
    <row r="64" spans="1:14" x14ac:dyDescent="0.2">
      <c r="A64" t="s">
        <v>95</v>
      </c>
      <c r="B64" t="s">
        <v>129</v>
      </c>
      <c r="C64" t="s">
        <v>32</v>
      </c>
      <c r="D64">
        <v>33.058528779710102</v>
      </c>
      <c r="E64">
        <v>33.058528779710102</v>
      </c>
      <c r="F64" t="s">
        <v>95</v>
      </c>
      <c r="G64" s="4" t="s">
        <v>17</v>
      </c>
      <c r="H64" t="s">
        <v>151</v>
      </c>
      <c r="I64">
        <f t="shared" ref="I64:J64" si="77">I62</f>
        <v>33.163152953201902</v>
      </c>
      <c r="J64">
        <f t="shared" si="77"/>
        <v>0.14796092510417902</v>
      </c>
      <c r="K64">
        <f>I2</f>
        <v>32.80216029975535</v>
      </c>
      <c r="L64">
        <f>I14</f>
        <v>18.682266387289602</v>
      </c>
      <c r="M64">
        <f t="shared" si="0"/>
        <v>0.36099265344655151</v>
      </c>
      <c r="N64">
        <f t="shared" si="1"/>
        <v>14.4808865659123</v>
      </c>
    </row>
    <row r="65" spans="1:14" x14ac:dyDescent="0.2">
      <c r="A65" t="s">
        <v>96</v>
      </c>
      <c r="B65" t="s">
        <v>129</v>
      </c>
      <c r="C65" t="s">
        <v>32</v>
      </c>
      <c r="D65">
        <v>31.963470540310599</v>
      </c>
      <c r="E65">
        <v>31.963470540310599</v>
      </c>
      <c r="F65" t="s">
        <v>96</v>
      </c>
      <c r="G65" s="1" t="s">
        <v>25</v>
      </c>
      <c r="H65" t="s">
        <v>151</v>
      </c>
      <c r="I65">
        <f t="shared" ref="I65" si="78">AVERAGE(D65:D67)</f>
        <v>31.861556558106134</v>
      </c>
      <c r="J65">
        <f t="shared" ref="J65" si="79">STDEV(D65:D67)</f>
        <v>0.37999426621118793</v>
      </c>
      <c r="K65">
        <f>I2</f>
        <v>32.80216029975535</v>
      </c>
      <c r="L65">
        <f>I14</f>
        <v>18.682266387289602</v>
      </c>
      <c r="M65">
        <f t="shared" si="0"/>
        <v>-0.94060374164921612</v>
      </c>
      <c r="N65">
        <f t="shared" si="1"/>
        <v>13.179290170816532</v>
      </c>
    </row>
    <row r="66" spans="1:14" x14ac:dyDescent="0.2">
      <c r="A66" t="s">
        <v>97</v>
      </c>
      <c r="B66" t="s">
        <v>129</v>
      </c>
      <c r="C66" t="s">
        <v>32</v>
      </c>
      <c r="D66">
        <v>31.440997351741601</v>
      </c>
      <c r="E66">
        <v>31.440997351741601</v>
      </c>
      <c r="F66" t="s">
        <v>97</v>
      </c>
      <c r="G66" s="1" t="s">
        <v>25</v>
      </c>
      <c r="H66" t="s">
        <v>151</v>
      </c>
      <c r="I66">
        <f t="shared" ref="I66:J67" si="80">I65</f>
        <v>31.861556558106134</v>
      </c>
      <c r="J66">
        <f t="shared" si="80"/>
        <v>0.37999426621118793</v>
      </c>
      <c r="K66">
        <f>I2</f>
        <v>32.80216029975535</v>
      </c>
      <c r="L66">
        <f>I14</f>
        <v>18.682266387289602</v>
      </c>
      <c r="M66">
        <f t="shared" si="0"/>
        <v>-0.94060374164921612</v>
      </c>
      <c r="N66">
        <f t="shared" si="1"/>
        <v>13.179290170816532</v>
      </c>
    </row>
    <row r="67" spans="1:14" x14ac:dyDescent="0.2">
      <c r="A67" t="s">
        <v>98</v>
      </c>
      <c r="B67" t="s">
        <v>129</v>
      </c>
      <c r="C67" t="s">
        <v>32</v>
      </c>
      <c r="D67">
        <v>32.180201782266202</v>
      </c>
      <c r="E67">
        <v>32.180201782266202</v>
      </c>
      <c r="F67" t="s">
        <v>98</v>
      </c>
      <c r="G67" s="1" t="s">
        <v>25</v>
      </c>
      <c r="H67" t="s">
        <v>151</v>
      </c>
      <c r="I67">
        <f t="shared" si="80"/>
        <v>31.861556558106134</v>
      </c>
      <c r="J67">
        <f t="shared" ref="J67" si="81">J65</f>
        <v>0.37999426621118793</v>
      </c>
      <c r="K67">
        <f>I2</f>
        <v>32.80216029975535</v>
      </c>
      <c r="L67">
        <f>I14</f>
        <v>18.682266387289602</v>
      </c>
      <c r="M67">
        <f t="shared" ref="M67:M97" si="82">I67-K67</f>
        <v>-0.94060374164921612</v>
      </c>
      <c r="N67">
        <f t="shared" ref="N67:N97" si="83">I67-L67</f>
        <v>13.179290170816532</v>
      </c>
    </row>
    <row r="68" spans="1:14" x14ac:dyDescent="0.2">
      <c r="A68" t="s">
        <v>99</v>
      </c>
      <c r="B68" t="s">
        <v>129</v>
      </c>
      <c r="C68" t="s">
        <v>32</v>
      </c>
      <c r="D68">
        <v>33.2349130642882</v>
      </c>
      <c r="E68">
        <v>33.2349130642882</v>
      </c>
      <c r="F68" t="s">
        <v>99</v>
      </c>
      <c r="G68" s="4" t="s">
        <v>17</v>
      </c>
      <c r="H68">
        <v>113</v>
      </c>
      <c r="I68">
        <f t="shared" ref="I68" si="84">AVERAGE(D68:D70)</f>
        <v>33.3860390933175</v>
      </c>
      <c r="J68">
        <f t="shared" ref="J68" si="85">STDEV(D68:D70)</f>
        <v>0.48152114852342981</v>
      </c>
      <c r="K68">
        <f>I8</f>
        <v>34.587757551175301</v>
      </c>
      <c r="L68">
        <f>I20</f>
        <v>17.598895754001333</v>
      </c>
      <c r="M68">
        <f t="shared" si="82"/>
        <v>-1.2017184578578011</v>
      </c>
      <c r="N68">
        <f t="shared" si="83"/>
        <v>15.787143339316167</v>
      </c>
    </row>
    <row r="69" spans="1:14" x14ac:dyDescent="0.2">
      <c r="A69" t="s">
        <v>100</v>
      </c>
      <c r="B69" t="s">
        <v>129</v>
      </c>
      <c r="C69" t="s">
        <v>32</v>
      </c>
      <c r="D69">
        <v>33.924995363056802</v>
      </c>
      <c r="E69">
        <v>33.924995363056802</v>
      </c>
      <c r="F69" t="s">
        <v>100</v>
      </c>
      <c r="G69" s="4" t="s">
        <v>17</v>
      </c>
      <c r="H69">
        <v>113</v>
      </c>
      <c r="I69">
        <f t="shared" ref="I69:J69" si="86">I68</f>
        <v>33.3860390933175</v>
      </c>
      <c r="J69">
        <f t="shared" si="86"/>
        <v>0.48152114852342981</v>
      </c>
      <c r="K69">
        <f>I8</f>
        <v>34.587757551175301</v>
      </c>
      <c r="L69">
        <f>I20</f>
        <v>17.598895754001333</v>
      </c>
      <c r="M69">
        <f t="shared" si="82"/>
        <v>-1.2017184578578011</v>
      </c>
      <c r="N69">
        <f t="shared" si="83"/>
        <v>15.787143339316167</v>
      </c>
    </row>
    <row r="70" spans="1:14" x14ac:dyDescent="0.2">
      <c r="A70" t="s">
        <v>101</v>
      </c>
      <c r="B70" t="s">
        <v>129</v>
      </c>
      <c r="C70" t="s">
        <v>32</v>
      </c>
      <c r="D70">
        <v>32.998208852607497</v>
      </c>
      <c r="E70">
        <v>32.998208852607497</v>
      </c>
      <c r="F70" t="s">
        <v>101</v>
      </c>
      <c r="G70" s="4" t="s">
        <v>17</v>
      </c>
      <c r="H70">
        <v>113</v>
      </c>
      <c r="I70">
        <f t="shared" ref="I70:J70" si="87">I68</f>
        <v>33.3860390933175</v>
      </c>
      <c r="J70">
        <f t="shared" si="87"/>
        <v>0.48152114852342981</v>
      </c>
      <c r="K70">
        <f>I8</f>
        <v>34.587757551175301</v>
      </c>
      <c r="L70">
        <f>I20</f>
        <v>17.598895754001333</v>
      </c>
      <c r="M70">
        <f t="shared" si="82"/>
        <v>-1.2017184578578011</v>
      </c>
      <c r="N70">
        <f t="shared" si="83"/>
        <v>15.787143339316167</v>
      </c>
    </row>
    <row r="71" spans="1:14" x14ac:dyDescent="0.2">
      <c r="A71" t="s">
        <v>102</v>
      </c>
      <c r="B71" t="s">
        <v>129</v>
      </c>
      <c r="C71" t="s">
        <v>32</v>
      </c>
      <c r="D71">
        <v>35.614140653419199</v>
      </c>
      <c r="E71">
        <v>35.614140653419199</v>
      </c>
      <c r="F71" t="s">
        <v>102</v>
      </c>
      <c r="G71" s="1" t="s">
        <v>25</v>
      </c>
      <c r="H71">
        <v>113</v>
      </c>
      <c r="I71">
        <f t="shared" ref="I71" si="88">AVERAGE(D71:D73)</f>
        <v>35.400995119143801</v>
      </c>
      <c r="J71">
        <f t="shared" ref="J71" si="89">STDEV(D71:D73)</f>
        <v>0.30143330533152735</v>
      </c>
      <c r="K71">
        <f>I8</f>
        <v>34.587757551175301</v>
      </c>
      <c r="L71">
        <f>I20</f>
        <v>17.598895754001333</v>
      </c>
      <c r="M71">
        <f t="shared" si="82"/>
        <v>0.81323756796849977</v>
      </c>
      <c r="N71">
        <f t="shared" si="83"/>
        <v>17.802099365142467</v>
      </c>
    </row>
    <row r="72" spans="1:14" x14ac:dyDescent="0.2">
      <c r="A72" t="s">
        <v>103</v>
      </c>
      <c r="B72" t="s">
        <v>129</v>
      </c>
      <c r="C72" t="s">
        <v>32</v>
      </c>
      <c r="D72">
        <v>35.187849584868403</v>
      </c>
      <c r="E72">
        <v>35.187849584868403</v>
      </c>
      <c r="F72" t="s">
        <v>103</v>
      </c>
      <c r="G72" s="1" t="s">
        <v>25</v>
      </c>
      <c r="H72">
        <v>113</v>
      </c>
      <c r="I72">
        <f t="shared" ref="I72:J73" si="90">I71</f>
        <v>35.400995119143801</v>
      </c>
      <c r="J72">
        <f t="shared" si="90"/>
        <v>0.30143330533152735</v>
      </c>
      <c r="K72">
        <f>I8</f>
        <v>34.587757551175301</v>
      </c>
      <c r="L72">
        <f>I20</f>
        <v>17.598895754001333</v>
      </c>
      <c r="M72">
        <f t="shared" si="82"/>
        <v>0.81323756796849977</v>
      </c>
      <c r="N72">
        <f t="shared" si="83"/>
        <v>17.802099365142467</v>
      </c>
    </row>
    <row r="73" spans="1:14" x14ac:dyDescent="0.2">
      <c r="A73" t="s">
        <v>104</v>
      </c>
      <c r="B73" t="s">
        <v>129</v>
      </c>
      <c r="C73" t="s">
        <v>32</v>
      </c>
      <c r="E73">
        <v>34.590338354634</v>
      </c>
      <c r="F73" t="s">
        <v>104</v>
      </c>
      <c r="G73" s="1" t="s">
        <v>25</v>
      </c>
      <c r="H73">
        <v>113</v>
      </c>
      <c r="I73">
        <f t="shared" si="90"/>
        <v>35.400995119143801</v>
      </c>
      <c r="J73">
        <f t="shared" ref="J73" si="91">J71</f>
        <v>0.30143330533152735</v>
      </c>
      <c r="K73">
        <f>I8</f>
        <v>34.587757551175301</v>
      </c>
      <c r="L73">
        <f>I20</f>
        <v>17.598895754001333</v>
      </c>
      <c r="M73">
        <f t="shared" si="82"/>
        <v>0.81323756796849977</v>
      </c>
      <c r="N73">
        <f t="shared" si="83"/>
        <v>17.802099365142467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34.753443697693001</v>
      </c>
      <c r="F74" s="17" t="s">
        <v>105</v>
      </c>
      <c r="G74" s="20" t="s">
        <v>18</v>
      </c>
      <c r="H74" s="17" t="s">
        <v>151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32.80216029975535</v>
      </c>
      <c r="L74" s="17">
        <f>I14</f>
        <v>18.682266387289602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 t="s">
        <v>33</v>
      </c>
      <c r="F75" s="17" t="s">
        <v>106</v>
      </c>
      <c r="G75" s="20" t="s">
        <v>18</v>
      </c>
      <c r="H75" s="17" t="s">
        <v>151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32.80216029975535</v>
      </c>
      <c r="L75" s="17">
        <f>I14</f>
        <v>18.682266387289602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39.567473150526602</v>
      </c>
      <c r="F76" s="17" t="s">
        <v>107</v>
      </c>
      <c r="G76" s="20" t="s">
        <v>18</v>
      </c>
      <c r="H76" s="17" t="s">
        <v>151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32.80216029975535</v>
      </c>
      <c r="L76" s="17">
        <f>I14</f>
        <v>18.682266387289602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32.80216029975535</v>
      </c>
      <c r="L77">
        <f>I14</f>
        <v>18.682266387289602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32.80216029975535</v>
      </c>
      <c r="L78">
        <f>I14</f>
        <v>18.682266387289602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32.80216029975535</v>
      </c>
      <c r="L79">
        <f>I14</f>
        <v>18.682266387289602</v>
      </c>
      <c r="M79" t="e">
        <f t="shared" si="82"/>
        <v>#DIV/0!</v>
      </c>
      <c r="N79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D80" s="17" t="s">
        <v>33</v>
      </c>
      <c r="E80" s="17" t="s">
        <v>33</v>
      </c>
      <c r="F80" s="17" t="s">
        <v>111</v>
      </c>
      <c r="G80" s="20" t="s">
        <v>18</v>
      </c>
      <c r="H80" s="17">
        <v>113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34.587757551175301</v>
      </c>
      <c r="L80" s="17">
        <f>I20</f>
        <v>17.598895754001333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D81" s="17" t="s">
        <v>33</v>
      </c>
      <c r="E81" s="17" t="s">
        <v>33</v>
      </c>
      <c r="F81" s="17" t="s">
        <v>112</v>
      </c>
      <c r="G81" s="20" t="s">
        <v>18</v>
      </c>
      <c r="H81" s="17">
        <v>113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34.587757551175301</v>
      </c>
      <c r="L81" s="17">
        <f>I20</f>
        <v>17.598895754001333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D82" s="17" t="s">
        <v>33</v>
      </c>
      <c r="E82" s="17" t="s">
        <v>33</v>
      </c>
      <c r="F82" s="17" t="s">
        <v>113</v>
      </c>
      <c r="G82" s="20" t="s">
        <v>18</v>
      </c>
      <c r="H82" s="17">
        <v>113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34.587757551175301</v>
      </c>
      <c r="L82" s="17">
        <f>I20</f>
        <v>17.598895754001333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D83" s="17" t="s">
        <v>33</v>
      </c>
      <c r="E83" s="17" t="s">
        <v>33</v>
      </c>
      <c r="F83" s="17" t="s">
        <v>114</v>
      </c>
      <c r="I83" s="17" t="e">
        <f t="shared" ref="I83" si="103">AVERAGE(D83:D85)</f>
        <v>#DIV/0!</v>
      </c>
      <c r="J83" s="17" t="e">
        <f t="shared" ref="J83" si="104">STDEV(D83:D85)</f>
        <v>#DIV/0!</v>
      </c>
      <c r="K83" s="17">
        <f>I8</f>
        <v>34.587757551175301</v>
      </c>
      <c r="L83" s="17">
        <f>I20</f>
        <v>17.598895754001333</v>
      </c>
      <c r="M83" s="17" t="e">
        <f t="shared" si="82"/>
        <v>#DIV/0!</v>
      </c>
      <c r="N83" s="17" t="e">
        <f t="shared" si="83"/>
        <v>#DIV/0!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D84" s="17" t="s">
        <v>33</v>
      </c>
      <c r="E84" s="17" t="s">
        <v>33</v>
      </c>
      <c r="F84" s="17" t="s">
        <v>115</v>
      </c>
      <c r="I84" s="17" t="e">
        <f t="shared" ref="I84:J85" si="105">I83</f>
        <v>#DIV/0!</v>
      </c>
      <c r="J84" s="17" t="e">
        <f t="shared" si="105"/>
        <v>#DIV/0!</v>
      </c>
      <c r="K84" s="17">
        <f>I8</f>
        <v>34.587757551175301</v>
      </c>
      <c r="L84" s="17">
        <f>I20</f>
        <v>17.598895754001333</v>
      </c>
      <c r="M84" s="17" t="e">
        <f t="shared" si="82"/>
        <v>#DIV/0!</v>
      </c>
      <c r="N84" s="17" t="e">
        <f t="shared" si="83"/>
        <v>#DIV/0!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D85" s="17" t="s">
        <v>33</v>
      </c>
      <c r="E85" s="17" t="s">
        <v>33</v>
      </c>
      <c r="F85" s="17" t="s">
        <v>116</v>
      </c>
      <c r="I85" s="17" t="e">
        <f t="shared" si="105"/>
        <v>#DIV/0!</v>
      </c>
      <c r="J85" s="17" t="e">
        <f t="shared" ref="J85" si="106">J83</f>
        <v>#DIV/0!</v>
      </c>
      <c r="K85" s="17">
        <f>I8</f>
        <v>34.587757551175301</v>
      </c>
      <c r="L85" s="17">
        <f>I20</f>
        <v>17.598895754001333</v>
      </c>
      <c r="M85" s="17" t="e">
        <f t="shared" si="82"/>
        <v>#DIV/0!</v>
      </c>
      <c r="N85" s="17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 t="s">
        <v>151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32.80216029975535</v>
      </c>
      <c r="L86" s="17">
        <f>I14</f>
        <v>18.682266387289602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35.301446946758396</v>
      </c>
      <c r="F87" s="17" t="s">
        <v>118</v>
      </c>
      <c r="G87" s="21" t="s">
        <v>19</v>
      </c>
      <c r="H87" s="17" t="s">
        <v>151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32.80216029975535</v>
      </c>
      <c r="L87" s="17">
        <f>I14</f>
        <v>18.682266387289602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38.060636078684198</v>
      </c>
      <c r="F88" s="17" t="s">
        <v>119</v>
      </c>
      <c r="G88" s="21" t="s">
        <v>19</v>
      </c>
      <c r="H88" s="17" t="s">
        <v>151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32.80216029975535</v>
      </c>
      <c r="L88" s="17">
        <f>I14</f>
        <v>18.682266387289602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D89" s="17" t="s">
        <v>33</v>
      </c>
      <c r="E89" s="17" t="s">
        <v>33</v>
      </c>
      <c r="F89" s="17" t="s">
        <v>120</v>
      </c>
      <c r="I89" s="17" t="e">
        <f t="shared" ref="I89" si="111">AVERAGE(D89:D91)</f>
        <v>#DIV/0!</v>
      </c>
      <c r="J89" s="17" t="e">
        <f t="shared" ref="J89" si="112">STDEV(D89:D91)</f>
        <v>#DIV/0!</v>
      </c>
      <c r="K89" s="17">
        <f>I2</f>
        <v>32.80216029975535</v>
      </c>
      <c r="L89" s="17">
        <f>I14</f>
        <v>18.682266387289602</v>
      </c>
      <c r="M89" s="17" t="e">
        <f t="shared" si="82"/>
        <v>#DIV/0!</v>
      </c>
      <c r="N89" s="17" t="e">
        <f t="shared" si="83"/>
        <v>#DIV/0!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D90" s="17" t="s">
        <v>33</v>
      </c>
      <c r="E90" s="17" t="s">
        <v>33</v>
      </c>
      <c r="F90" s="17" t="s">
        <v>121</v>
      </c>
      <c r="I90" s="17" t="e">
        <f t="shared" ref="I90:J91" si="113">I89</f>
        <v>#DIV/0!</v>
      </c>
      <c r="J90" s="17" t="e">
        <f t="shared" si="113"/>
        <v>#DIV/0!</v>
      </c>
      <c r="K90" s="17">
        <f>I2</f>
        <v>32.80216029975535</v>
      </c>
      <c r="L90" s="17">
        <f>I14</f>
        <v>18.682266387289602</v>
      </c>
      <c r="M90" s="17" t="e">
        <f t="shared" si="82"/>
        <v>#DIV/0!</v>
      </c>
      <c r="N90" s="17" t="e">
        <f t="shared" si="83"/>
        <v>#DIV/0!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D91" s="17" t="s">
        <v>33</v>
      </c>
      <c r="E91" s="17" t="s">
        <v>33</v>
      </c>
      <c r="F91" s="17" t="s">
        <v>122</v>
      </c>
      <c r="I91" s="17" t="e">
        <f t="shared" si="113"/>
        <v>#DIV/0!</v>
      </c>
      <c r="J91" s="17" t="e">
        <f t="shared" ref="J91" si="114">J89</f>
        <v>#DIV/0!</v>
      </c>
      <c r="K91" s="17">
        <f>I2</f>
        <v>32.80216029975535</v>
      </c>
      <c r="L91" s="17">
        <f>I14</f>
        <v>18.682266387289602</v>
      </c>
      <c r="M91" s="17" t="e">
        <f t="shared" si="82"/>
        <v>#DIV/0!</v>
      </c>
      <c r="N91" s="17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>
        <v>37.123388348952801</v>
      </c>
      <c r="F92" s="17" t="s">
        <v>123</v>
      </c>
      <c r="G92" s="21" t="s">
        <v>19</v>
      </c>
      <c r="H92" s="17">
        <v>113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34.587757551175301</v>
      </c>
      <c r="L92" s="17">
        <f>I20</f>
        <v>17.598895754001333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39.703785381021298</v>
      </c>
      <c r="F93" s="17" t="s">
        <v>124</v>
      </c>
      <c r="G93" s="21" t="s">
        <v>19</v>
      </c>
      <c r="H93" s="17">
        <v>113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34.587757551175301</v>
      </c>
      <c r="L93" s="17">
        <f>I20</f>
        <v>17.598895754001333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 t="s">
        <v>33</v>
      </c>
      <c r="F94" s="17" t="s">
        <v>125</v>
      </c>
      <c r="G94" s="21" t="s">
        <v>19</v>
      </c>
      <c r="H94" s="17">
        <v>113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34.587757551175301</v>
      </c>
      <c r="L94" s="17">
        <f>I20</f>
        <v>17.598895754001333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34.587757551175301</v>
      </c>
      <c r="L95">
        <f>I20</f>
        <v>17.598895754001333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34.587757551175301</v>
      </c>
      <c r="L96">
        <f>I20</f>
        <v>17.598895754001333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34.587757551175301</v>
      </c>
      <c r="L97">
        <f>I20</f>
        <v>17.598895754001333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8" priority="1" operator="greaterThan">
      <formula>0.3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5B8E-8183-904B-87C3-BC75C13FFE6B}">
  <dimension ref="A1:N97"/>
  <sheetViews>
    <sheetView topLeftCell="A53" zoomScale="130" zoomScaleNormal="130" workbookViewId="0">
      <selection activeCell="A80" sqref="A80:XFD94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33.086476150689599</v>
      </c>
      <c r="F2" t="s">
        <v>31</v>
      </c>
      <c r="G2" s="9" t="s">
        <v>9</v>
      </c>
      <c r="H2">
        <v>115</v>
      </c>
      <c r="I2">
        <f>AVERAGE(D2:D4)</f>
        <v>34.061193156635255</v>
      </c>
      <c r="J2">
        <f>STDEV(D2:D4)</f>
        <v>0.30655909235123502</v>
      </c>
      <c r="K2">
        <f>I2</f>
        <v>34.061193156635255</v>
      </c>
      <c r="L2">
        <f>I14</f>
        <v>19.871490505773068</v>
      </c>
      <c r="M2">
        <f>I2-K2</f>
        <v>0</v>
      </c>
      <c r="N2">
        <f>I2-L2</f>
        <v>14.189702650862188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34.277963169671203</v>
      </c>
      <c r="E3">
        <v>34.277963169671203</v>
      </c>
      <c r="F3" t="s">
        <v>34</v>
      </c>
      <c r="G3" s="9" t="s">
        <v>9</v>
      </c>
      <c r="H3">
        <v>115</v>
      </c>
      <c r="I3">
        <f>I2</f>
        <v>34.061193156635255</v>
      </c>
      <c r="J3">
        <f>J2</f>
        <v>0.30655909235123502</v>
      </c>
      <c r="K3">
        <f>I2</f>
        <v>34.061193156635255</v>
      </c>
      <c r="L3">
        <f>I14</f>
        <v>19.871490505773068</v>
      </c>
      <c r="M3">
        <f t="shared" ref="M3:M66" si="0">I3-K3</f>
        <v>0</v>
      </c>
      <c r="N3">
        <f t="shared" ref="N3:N66" si="1">I3-L3</f>
        <v>14.189702650862188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33.8444231435993</v>
      </c>
      <c r="E4">
        <v>33.8444231435993</v>
      </c>
      <c r="F4" t="s">
        <v>35</v>
      </c>
      <c r="G4" s="9" t="s">
        <v>9</v>
      </c>
      <c r="H4">
        <v>115</v>
      </c>
      <c r="I4">
        <f>I2</f>
        <v>34.061193156635255</v>
      </c>
      <c r="J4">
        <f>J2</f>
        <v>0.30655909235123502</v>
      </c>
      <c r="K4">
        <f>I2</f>
        <v>34.061193156635255</v>
      </c>
      <c r="L4">
        <f>I14</f>
        <v>19.871490505773068</v>
      </c>
      <c r="M4">
        <f t="shared" si="0"/>
        <v>0</v>
      </c>
      <c r="N4">
        <f t="shared" si="1"/>
        <v>14.189702650862188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34.049213118632998</v>
      </c>
      <c r="E5">
        <v>34.049213118632998</v>
      </c>
      <c r="F5" t="s">
        <v>36</v>
      </c>
      <c r="G5" s="2" t="s">
        <v>20</v>
      </c>
      <c r="H5">
        <v>115</v>
      </c>
      <c r="I5">
        <f>AVERAGE(D5:D7)</f>
        <v>34.310700596749498</v>
      </c>
      <c r="J5">
        <f>STDEV(D5:D7)</f>
        <v>0.36979913794309216</v>
      </c>
      <c r="K5">
        <f>I2</f>
        <v>34.061193156635255</v>
      </c>
      <c r="L5">
        <f>I14</f>
        <v>19.871490505773068</v>
      </c>
      <c r="M5">
        <f t="shared" si="0"/>
        <v>0.2495074401142432</v>
      </c>
      <c r="N5">
        <f t="shared" si="1"/>
        <v>14.439210090976431</v>
      </c>
    </row>
    <row r="6" spans="1:14" ht="17" thickBot="1" x14ac:dyDescent="0.25">
      <c r="A6" t="s">
        <v>37</v>
      </c>
      <c r="B6" t="s">
        <v>129</v>
      </c>
      <c r="C6" t="s">
        <v>32</v>
      </c>
      <c r="E6">
        <v>32.4340246692798</v>
      </c>
      <c r="F6" t="s">
        <v>37</v>
      </c>
      <c r="G6" s="2" t="s">
        <v>20</v>
      </c>
      <c r="H6">
        <v>115</v>
      </c>
      <c r="I6">
        <f>I5</f>
        <v>34.310700596749498</v>
      </c>
      <c r="J6">
        <f>J5</f>
        <v>0.36979913794309216</v>
      </c>
      <c r="K6">
        <f>I2</f>
        <v>34.061193156635255</v>
      </c>
      <c r="L6">
        <f>I14</f>
        <v>19.871490505773068</v>
      </c>
      <c r="M6">
        <f t="shared" si="0"/>
        <v>0.2495074401142432</v>
      </c>
      <c r="N6">
        <f t="shared" si="1"/>
        <v>14.439210090976431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34.572188074865998</v>
      </c>
      <c r="E7">
        <v>34.572188074865998</v>
      </c>
      <c r="F7" t="s">
        <v>38</v>
      </c>
      <c r="G7" s="2" t="s">
        <v>20</v>
      </c>
      <c r="H7">
        <v>115</v>
      </c>
      <c r="I7">
        <f>I6</f>
        <v>34.310700596749498</v>
      </c>
      <c r="J7">
        <f>J5</f>
        <v>0.36979913794309216</v>
      </c>
      <c r="K7">
        <f>I2</f>
        <v>34.061193156635255</v>
      </c>
      <c r="L7">
        <f>I14</f>
        <v>19.871490505773068</v>
      </c>
      <c r="M7">
        <f t="shared" si="0"/>
        <v>0.2495074401142432</v>
      </c>
      <c r="N7">
        <f t="shared" si="1"/>
        <v>14.439210090976431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34.280935345600902</v>
      </c>
      <c r="E8">
        <v>34.280935345600902</v>
      </c>
      <c r="F8" t="s">
        <v>39</v>
      </c>
      <c r="G8" s="9" t="s">
        <v>9</v>
      </c>
      <c r="H8">
        <v>122</v>
      </c>
      <c r="I8">
        <f t="shared" ref="I8" si="2">AVERAGE(D8:D10)</f>
        <v>34.295110027678732</v>
      </c>
      <c r="J8">
        <f t="shared" ref="J8" si="3">STDEV(D8:D10)</f>
        <v>0.24449113817482496</v>
      </c>
      <c r="K8">
        <f>I8</f>
        <v>34.295110027678732</v>
      </c>
      <c r="L8">
        <f>I20</f>
        <v>18.114412506029733</v>
      </c>
      <c r="M8">
        <f t="shared" si="0"/>
        <v>0</v>
      </c>
      <c r="N8">
        <f t="shared" si="1"/>
        <v>16.180697521648998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34.058014598160398</v>
      </c>
      <c r="E9">
        <v>34.058014598160398</v>
      </c>
      <c r="F9" t="s">
        <v>40</v>
      </c>
      <c r="G9" s="9" t="s">
        <v>9</v>
      </c>
      <c r="H9">
        <v>122</v>
      </c>
      <c r="I9">
        <f t="shared" ref="I9:J9" si="4">I8</f>
        <v>34.295110027678732</v>
      </c>
      <c r="J9">
        <f t="shared" si="4"/>
        <v>0.24449113817482496</v>
      </c>
      <c r="K9">
        <f>I8</f>
        <v>34.295110027678732</v>
      </c>
      <c r="L9">
        <f>I20</f>
        <v>18.114412506029733</v>
      </c>
      <c r="M9">
        <f t="shared" si="0"/>
        <v>0</v>
      </c>
      <c r="N9">
        <f t="shared" si="1"/>
        <v>16.180697521648998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34.546380139274902</v>
      </c>
      <c r="E10">
        <v>34.546380139274902</v>
      </c>
      <c r="F10" t="s">
        <v>41</v>
      </c>
      <c r="G10" s="9" t="s">
        <v>9</v>
      </c>
      <c r="H10">
        <v>122</v>
      </c>
      <c r="I10">
        <f t="shared" ref="I10:J10" si="5">I8</f>
        <v>34.295110027678732</v>
      </c>
      <c r="J10">
        <f t="shared" si="5"/>
        <v>0.24449113817482496</v>
      </c>
      <c r="K10">
        <f>I8</f>
        <v>34.295110027678732</v>
      </c>
      <c r="L10">
        <f>I20</f>
        <v>18.114412506029733</v>
      </c>
      <c r="M10">
        <f t="shared" si="0"/>
        <v>0</v>
      </c>
      <c r="N10">
        <f t="shared" si="1"/>
        <v>16.180697521648998</v>
      </c>
    </row>
    <row r="11" spans="1:14" ht="17" thickBot="1" x14ac:dyDescent="0.25">
      <c r="A11" t="s">
        <v>42</v>
      </c>
      <c r="B11" t="s">
        <v>129</v>
      </c>
      <c r="C11" t="s">
        <v>32</v>
      </c>
      <c r="D11">
        <v>34.168591536676097</v>
      </c>
      <c r="E11">
        <v>34.168591536676097</v>
      </c>
      <c r="F11" t="s">
        <v>42</v>
      </c>
      <c r="G11" s="2" t="s">
        <v>20</v>
      </c>
      <c r="H11">
        <v>122</v>
      </c>
      <c r="I11">
        <f t="shared" ref="I11" si="6">AVERAGE(D11:D13)</f>
        <v>34.145401079614238</v>
      </c>
      <c r="J11">
        <f t="shared" ref="J11" si="7">STDEV(D11:D13)</f>
        <v>0.10498068119306568</v>
      </c>
      <c r="K11">
        <f>I8</f>
        <v>34.295110027678732</v>
      </c>
      <c r="L11">
        <f>I20</f>
        <v>18.114412506029733</v>
      </c>
      <c r="M11">
        <f t="shared" si="0"/>
        <v>-0.14970894806449309</v>
      </c>
      <c r="N11">
        <f t="shared" si="1"/>
        <v>16.030988573584505</v>
      </c>
    </row>
    <row r="12" spans="1:14" ht="17" thickBot="1" x14ac:dyDescent="0.25">
      <c r="A12" t="s">
        <v>43</v>
      </c>
      <c r="B12" t="s">
        <v>129</v>
      </c>
      <c r="C12" t="s">
        <v>32</v>
      </c>
      <c r="D12">
        <v>34.236847568119202</v>
      </c>
      <c r="E12">
        <v>34.236847568119202</v>
      </c>
      <c r="F12" t="s">
        <v>43</v>
      </c>
      <c r="G12" s="2" t="s">
        <v>20</v>
      </c>
      <c r="H12">
        <v>122</v>
      </c>
      <c r="I12">
        <f t="shared" ref="I12:J13" si="8">I11</f>
        <v>34.145401079614238</v>
      </c>
      <c r="J12">
        <f t="shared" si="8"/>
        <v>0.10498068119306568</v>
      </c>
      <c r="K12">
        <f>I8</f>
        <v>34.295110027678732</v>
      </c>
      <c r="L12">
        <f>I20</f>
        <v>18.114412506029733</v>
      </c>
      <c r="M12">
        <f t="shared" si="0"/>
        <v>-0.14970894806449309</v>
      </c>
      <c r="N12">
        <f t="shared" si="1"/>
        <v>16.030988573584505</v>
      </c>
    </row>
    <row r="13" spans="1:14" x14ac:dyDescent="0.2">
      <c r="A13" t="s">
        <v>44</v>
      </c>
      <c r="B13" t="s">
        <v>129</v>
      </c>
      <c r="C13" t="s">
        <v>32</v>
      </c>
      <c r="D13">
        <v>34.030764134047402</v>
      </c>
      <c r="E13">
        <v>34.030764134047402</v>
      </c>
      <c r="F13" t="s">
        <v>44</v>
      </c>
      <c r="G13" s="2" t="s">
        <v>20</v>
      </c>
      <c r="H13">
        <v>122</v>
      </c>
      <c r="I13">
        <f t="shared" si="8"/>
        <v>34.145401079614238</v>
      </c>
      <c r="J13">
        <f t="shared" ref="J13" si="9">J11</f>
        <v>0.10498068119306568</v>
      </c>
      <c r="K13">
        <f>I8</f>
        <v>34.295110027678732</v>
      </c>
      <c r="L13">
        <f>I20</f>
        <v>18.114412506029733</v>
      </c>
      <c r="M13">
        <f t="shared" si="0"/>
        <v>-0.14970894806449309</v>
      </c>
      <c r="N13">
        <f t="shared" si="1"/>
        <v>16.030988573584505</v>
      </c>
    </row>
    <row r="14" spans="1:14" x14ac:dyDescent="0.2">
      <c r="A14" t="s">
        <v>45</v>
      </c>
      <c r="B14" t="s">
        <v>129</v>
      </c>
      <c r="C14" t="s">
        <v>32</v>
      </c>
      <c r="D14">
        <v>19.974705752883601</v>
      </c>
      <c r="E14">
        <v>19.974705752883601</v>
      </c>
      <c r="F14" t="s">
        <v>45</v>
      </c>
      <c r="G14" s="11" t="s">
        <v>8</v>
      </c>
      <c r="H14">
        <v>115</v>
      </c>
      <c r="I14">
        <f t="shared" ref="I14" si="10">AVERAGE(D14:D16)</f>
        <v>19.871490505773068</v>
      </c>
      <c r="J14">
        <f t="shared" ref="J14" si="11">STDEV(D14:D16)</f>
        <v>9.2730732233137436E-2</v>
      </c>
      <c r="K14">
        <f>I2</f>
        <v>34.061193156635255</v>
      </c>
      <c r="L14">
        <f>I14</f>
        <v>19.871490505773068</v>
      </c>
      <c r="M14">
        <f t="shared" si="0"/>
        <v>-14.189702650862188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19.844559759520799</v>
      </c>
      <c r="E15">
        <v>19.844559759520799</v>
      </c>
      <c r="F15" t="s">
        <v>46</v>
      </c>
      <c r="G15" s="11" t="s">
        <v>8</v>
      </c>
      <c r="H15">
        <v>115</v>
      </c>
      <c r="I15">
        <f t="shared" ref="I15:J15" si="12">I14</f>
        <v>19.871490505773068</v>
      </c>
      <c r="J15">
        <f t="shared" si="12"/>
        <v>9.2730732233137436E-2</v>
      </c>
      <c r="K15">
        <f>I2</f>
        <v>34.061193156635255</v>
      </c>
      <c r="L15">
        <f>I14</f>
        <v>19.871490505773068</v>
      </c>
      <c r="M15">
        <f t="shared" si="0"/>
        <v>-14.189702650862188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19.7952060049148</v>
      </c>
      <c r="E16">
        <v>19.7952060049148</v>
      </c>
      <c r="F16" t="s">
        <v>47</v>
      </c>
      <c r="G16" s="11" t="s">
        <v>8</v>
      </c>
      <c r="H16">
        <v>115</v>
      </c>
      <c r="I16">
        <f t="shared" ref="I16:J16" si="13">I14</f>
        <v>19.871490505773068</v>
      </c>
      <c r="J16">
        <f t="shared" si="13"/>
        <v>9.2730732233137436E-2</v>
      </c>
      <c r="K16">
        <f>I2</f>
        <v>34.061193156635255</v>
      </c>
      <c r="L16">
        <f>I14</f>
        <v>19.871490505773068</v>
      </c>
      <c r="M16">
        <f t="shared" si="0"/>
        <v>-14.189702650862188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34.304086986359202</v>
      </c>
      <c r="E17">
        <v>34.304086986359202</v>
      </c>
      <c r="F17" t="s">
        <v>48</v>
      </c>
      <c r="G17" s="1" t="s">
        <v>21</v>
      </c>
      <c r="H17">
        <v>115</v>
      </c>
      <c r="I17">
        <f t="shared" ref="I17" si="14">AVERAGE(D17:D19)</f>
        <v>34.560591761617502</v>
      </c>
      <c r="J17">
        <f t="shared" ref="J17" si="15">STDEV(D17:D19)</f>
        <v>0.25892047840036991</v>
      </c>
      <c r="K17">
        <f>I2</f>
        <v>34.061193156635255</v>
      </c>
      <c r="L17">
        <f>I14</f>
        <v>19.871490505773068</v>
      </c>
      <c r="M17">
        <f t="shared" si="0"/>
        <v>0.49939860498224675</v>
      </c>
      <c r="N17">
        <f t="shared" si="1"/>
        <v>14.689101255844434</v>
      </c>
    </row>
    <row r="18" spans="1:14" x14ac:dyDescent="0.2">
      <c r="A18" t="s">
        <v>49</v>
      </c>
      <c r="B18" t="s">
        <v>129</v>
      </c>
      <c r="C18" t="s">
        <v>32</v>
      </c>
      <c r="D18">
        <v>34.821862153055697</v>
      </c>
      <c r="E18">
        <v>34.821862153055697</v>
      </c>
      <c r="F18" t="s">
        <v>49</v>
      </c>
      <c r="G18" s="1" t="s">
        <v>21</v>
      </c>
      <c r="H18">
        <v>115</v>
      </c>
      <c r="I18">
        <f t="shared" ref="I18:J19" si="16">I17</f>
        <v>34.560591761617502</v>
      </c>
      <c r="J18">
        <f t="shared" si="16"/>
        <v>0.25892047840036991</v>
      </c>
      <c r="K18">
        <f>I2</f>
        <v>34.061193156635255</v>
      </c>
      <c r="L18">
        <f>I14</f>
        <v>19.871490505773068</v>
      </c>
      <c r="M18">
        <f t="shared" si="0"/>
        <v>0.49939860498224675</v>
      </c>
      <c r="N18">
        <f t="shared" si="1"/>
        <v>14.689101255844434</v>
      </c>
    </row>
    <row r="19" spans="1:14" x14ac:dyDescent="0.2">
      <c r="A19" t="s">
        <v>50</v>
      </c>
      <c r="B19" t="s">
        <v>129</v>
      </c>
      <c r="C19" t="s">
        <v>32</v>
      </c>
      <c r="D19">
        <v>34.555826145437599</v>
      </c>
      <c r="E19">
        <v>34.555826145437599</v>
      </c>
      <c r="F19" t="s">
        <v>50</v>
      </c>
      <c r="G19" s="1" t="s">
        <v>21</v>
      </c>
      <c r="H19">
        <v>115</v>
      </c>
      <c r="I19">
        <f t="shared" si="16"/>
        <v>34.560591761617502</v>
      </c>
      <c r="J19">
        <f t="shared" ref="J19" si="17">J17</f>
        <v>0.25892047840036991</v>
      </c>
      <c r="K19">
        <f>I2</f>
        <v>34.061193156635255</v>
      </c>
      <c r="L19">
        <f>I14</f>
        <v>19.871490505773068</v>
      </c>
      <c r="M19">
        <f t="shared" si="0"/>
        <v>0.49939860498224675</v>
      </c>
      <c r="N19">
        <f t="shared" si="1"/>
        <v>14.689101255844434</v>
      </c>
    </row>
    <row r="20" spans="1:14" x14ac:dyDescent="0.2">
      <c r="A20" t="s">
        <v>51</v>
      </c>
      <c r="B20" t="s">
        <v>129</v>
      </c>
      <c r="C20" t="s">
        <v>32</v>
      </c>
      <c r="D20">
        <v>18.1252308767186</v>
      </c>
      <c r="E20">
        <v>18.1252308767186</v>
      </c>
      <c r="F20" t="s">
        <v>51</v>
      </c>
      <c r="G20" s="11" t="s">
        <v>8</v>
      </c>
      <c r="H20">
        <v>122</v>
      </c>
      <c r="I20">
        <f t="shared" ref="I20" si="18">AVERAGE(D20:D22)</f>
        <v>18.114412506029733</v>
      </c>
      <c r="J20">
        <f t="shared" ref="J20" si="19">STDEV(D20:D22)</f>
        <v>0.10518715789859963</v>
      </c>
      <c r="K20">
        <f>I8</f>
        <v>34.295110027678732</v>
      </c>
      <c r="L20">
        <f>I20</f>
        <v>18.114412506029733</v>
      </c>
      <c r="M20">
        <f t="shared" si="0"/>
        <v>-16.180697521648998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18.2137724016611</v>
      </c>
      <c r="E21">
        <v>18.2137724016611</v>
      </c>
      <c r="F21" t="s">
        <v>52</v>
      </c>
      <c r="G21" s="11" t="s">
        <v>8</v>
      </c>
      <c r="H21">
        <v>122</v>
      </c>
      <c r="I21">
        <f t="shared" ref="I21:J21" si="20">I20</f>
        <v>18.114412506029733</v>
      </c>
      <c r="J21">
        <f t="shared" si="20"/>
        <v>0.10518715789859963</v>
      </c>
      <c r="K21">
        <f>I8</f>
        <v>34.295110027678732</v>
      </c>
      <c r="L21">
        <f>I20</f>
        <v>18.114412506029733</v>
      </c>
      <c r="M21">
        <f t="shared" si="0"/>
        <v>-16.180697521648998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18.004234239709501</v>
      </c>
      <c r="E22">
        <v>18.004234239709501</v>
      </c>
      <c r="F22" t="s">
        <v>53</v>
      </c>
      <c r="G22" s="11" t="s">
        <v>8</v>
      </c>
      <c r="H22">
        <v>122</v>
      </c>
      <c r="I22">
        <f t="shared" ref="I22:J22" si="21">I20</f>
        <v>18.114412506029733</v>
      </c>
      <c r="J22">
        <f t="shared" si="21"/>
        <v>0.10518715789859963</v>
      </c>
      <c r="K22">
        <f>I8</f>
        <v>34.295110027678732</v>
      </c>
      <c r="L22">
        <f>I20</f>
        <v>18.114412506029733</v>
      </c>
      <c r="M22">
        <f t="shared" si="0"/>
        <v>-16.180697521648998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36.610987176856902</v>
      </c>
      <c r="E23">
        <v>36.610987176856902</v>
      </c>
      <c r="F23" t="s">
        <v>54</v>
      </c>
      <c r="G23" s="1" t="s">
        <v>21</v>
      </c>
      <c r="H23">
        <v>122</v>
      </c>
      <c r="I23">
        <f t="shared" ref="I23" si="22">AVERAGE(D23:D25)</f>
        <v>36.6943825761293</v>
      </c>
      <c r="J23">
        <f t="shared" ref="J23" si="23">STDEV(D23:D25)</f>
        <v>0.11793890469054417</v>
      </c>
      <c r="K23">
        <f>I8</f>
        <v>34.295110027678732</v>
      </c>
      <c r="L23">
        <f>I20</f>
        <v>18.114412506029733</v>
      </c>
      <c r="M23">
        <f t="shared" si="0"/>
        <v>2.3992725484505684</v>
      </c>
      <c r="N23">
        <f t="shared" si="1"/>
        <v>18.579970070099566</v>
      </c>
    </row>
    <row r="24" spans="1:14" x14ac:dyDescent="0.2">
      <c r="A24" t="s">
        <v>55</v>
      </c>
      <c r="B24" t="s">
        <v>129</v>
      </c>
      <c r="C24" t="s">
        <v>32</v>
      </c>
      <c r="E24">
        <v>35.6839677979765</v>
      </c>
      <c r="F24" t="s">
        <v>55</v>
      </c>
      <c r="G24" s="1" t="s">
        <v>21</v>
      </c>
      <c r="H24">
        <v>122</v>
      </c>
      <c r="I24">
        <f t="shared" ref="I24:J25" si="24">I23</f>
        <v>36.6943825761293</v>
      </c>
      <c r="J24">
        <f t="shared" si="24"/>
        <v>0.11793890469054417</v>
      </c>
      <c r="K24">
        <f>I8</f>
        <v>34.295110027678732</v>
      </c>
      <c r="L24">
        <f>I20</f>
        <v>18.114412506029733</v>
      </c>
      <c r="M24">
        <f t="shared" si="0"/>
        <v>2.3992725484505684</v>
      </c>
      <c r="N24">
        <f t="shared" si="1"/>
        <v>18.579970070099566</v>
      </c>
    </row>
    <row r="25" spans="1:14" x14ac:dyDescent="0.2">
      <c r="A25" t="s">
        <v>56</v>
      </c>
      <c r="B25" t="s">
        <v>129</v>
      </c>
      <c r="C25" t="s">
        <v>32</v>
      </c>
      <c r="D25">
        <v>36.777777975401698</v>
      </c>
      <c r="E25">
        <v>36.777777975401698</v>
      </c>
      <c r="F25" t="s">
        <v>56</v>
      </c>
      <c r="G25" s="1" t="s">
        <v>21</v>
      </c>
      <c r="H25">
        <v>122</v>
      </c>
      <c r="I25">
        <f t="shared" si="24"/>
        <v>36.6943825761293</v>
      </c>
      <c r="J25">
        <f t="shared" ref="J25" si="25">J23</f>
        <v>0.11793890469054417</v>
      </c>
      <c r="K25">
        <f>I8</f>
        <v>34.295110027678732</v>
      </c>
      <c r="L25">
        <f>I20</f>
        <v>18.114412506029733</v>
      </c>
      <c r="M25">
        <f t="shared" si="0"/>
        <v>2.3992725484505684</v>
      </c>
      <c r="N25">
        <f t="shared" si="1"/>
        <v>18.579970070099566</v>
      </c>
    </row>
    <row r="26" spans="1:14" x14ac:dyDescent="0.2">
      <c r="A26" t="s">
        <v>57</v>
      </c>
      <c r="B26" t="s">
        <v>129</v>
      </c>
      <c r="C26" t="s">
        <v>32</v>
      </c>
      <c r="D26">
        <v>33.3234777304042</v>
      </c>
      <c r="E26">
        <v>33.3234777304042</v>
      </c>
      <c r="F26" t="s">
        <v>57</v>
      </c>
      <c r="G26" s="4" t="s">
        <v>14</v>
      </c>
      <c r="H26">
        <v>115</v>
      </c>
      <c r="I26">
        <f t="shared" ref="I26" si="26">AVERAGE(D26:D28)</f>
        <v>33.186713107876798</v>
      </c>
      <c r="J26">
        <f t="shared" ref="J26" si="27">STDEV(D26:D28)</f>
        <v>0.19341438403108815</v>
      </c>
      <c r="K26">
        <f>I2</f>
        <v>34.061193156635255</v>
      </c>
      <c r="L26">
        <f>I14</f>
        <v>19.871490505773068</v>
      </c>
      <c r="M26">
        <f t="shared" si="0"/>
        <v>-0.87448004875845697</v>
      </c>
      <c r="N26">
        <f t="shared" si="1"/>
        <v>13.315222602103731</v>
      </c>
    </row>
    <row r="27" spans="1:14" x14ac:dyDescent="0.2">
      <c r="A27" t="s">
        <v>58</v>
      </c>
      <c r="B27" t="s">
        <v>129</v>
      </c>
      <c r="C27" t="s">
        <v>32</v>
      </c>
      <c r="E27">
        <v>35.4613969914733</v>
      </c>
      <c r="F27" t="s">
        <v>58</v>
      </c>
      <c r="G27" s="4" t="s">
        <v>14</v>
      </c>
      <c r="H27">
        <v>115</v>
      </c>
      <c r="I27">
        <f t="shared" ref="I27:J27" si="28">I26</f>
        <v>33.186713107876798</v>
      </c>
      <c r="J27">
        <f t="shared" si="28"/>
        <v>0.19341438403108815</v>
      </c>
      <c r="K27">
        <f>I2</f>
        <v>34.061193156635255</v>
      </c>
      <c r="L27">
        <f>I14</f>
        <v>19.871490505773068</v>
      </c>
      <c r="M27">
        <f t="shared" si="0"/>
        <v>-0.87448004875845697</v>
      </c>
      <c r="N27">
        <f t="shared" si="1"/>
        <v>13.315222602103731</v>
      </c>
    </row>
    <row r="28" spans="1:14" x14ac:dyDescent="0.2">
      <c r="A28" t="s">
        <v>59</v>
      </c>
      <c r="B28" t="s">
        <v>129</v>
      </c>
      <c r="C28" t="s">
        <v>32</v>
      </c>
      <c r="D28">
        <v>33.049948485349397</v>
      </c>
      <c r="E28">
        <v>33.049948485349397</v>
      </c>
      <c r="F28" t="s">
        <v>59</v>
      </c>
      <c r="G28" s="4" t="s">
        <v>14</v>
      </c>
      <c r="H28">
        <v>115</v>
      </c>
      <c r="I28">
        <f t="shared" ref="I28:J28" si="29">I26</f>
        <v>33.186713107876798</v>
      </c>
      <c r="J28">
        <f t="shared" si="29"/>
        <v>0.19341438403108815</v>
      </c>
      <c r="K28">
        <f>I2</f>
        <v>34.061193156635255</v>
      </c>
      <c r="L28">
        <f>I14</f>
        <v>19.871490505773068</v>
      </c>
      <c r="M28">
        <f t="shared" si="0"/>
        <v>-0.87448004875845697</v>
      </c>
      <c r="N28">
        <f t="shared" si="1"/>
        <v>13.315222602103731</v>
      </c>
    </row>
    <row r="29" spans="1:14" x14ac:dyDescent="0.2">
      <c r="A29" t="s">
        <v>60</v>
      </c>
      <c r="B29" t="s">
        <v>129</v>
      </c>
      <c r="C29" t="s">
        <v>32</v>
      </c>
      <c r="E29">
        <v>34.617031226081401</v>
      </c>
      <c r="F29" t="s">
        <v>60</v>
      </c>
      <c r="G29" s="1" t="s">
        <v>23</v>
      </c>
      <c r="H29">
        <v>115</v>
      </c>
      <c r="I29">
        <f t="shared" ref="I29" si="30">AVERAGE(D29:D31)</f>
        <v>35.922806235033548</v>
      </c>
      <c r="J29">
        <f t="shared" ref="J29" si="31">STDEV(D29:D31)</f>
        <v>0.30183919709821522</v>
      </c>
      <c r="K29">
        <f>I2</f>
        <v>34.061193156635255</v>
      </c>
      <c r="L29">
        <f>I14</f>
        <v>19.871490505773068</v>
      </c>
      <c r="M29">
        <f t="shared" si="0"/>
        <v>1.8616130783982925</v>
      </c>
      <c r="N29">
        <f t="shared" si="1"/>
        <v>16.05131572926048</v>
      </c>
    </row>
    <row r="30" spans="1:14" x14ac:dyDescent="0.2">
      <c r="A30" t="s">
        <v>61</v>
      </c>
      <c r="B30" t="s">
        <v>129</v>
      </c>
      <c r="C30" t="s">
        <v>32</v>
      </c>
      <c r="D30">
        <v>36.136238778129602</v>
      </c>
      <c r="E30">
        <v>36.136238778129602</v>
      </c>
      <c r="F30" t="s">
        <v>61</v>
      </c>
      <c r="G30" s="1" t="s">
        <v>23</v>
      </c>
      <c r="H30">
        <v>115</v>
      </c>
      <c r="I30">
        <f t="shared" ref="I30:J31" si="32">I29</f>
        <v>35.922806235033548</v>
      </c>
      <c r="J30">
        <f t="shared" si="32"/>
        <v>0.30183919709821522</v>
      </c>
      <c r="K30">
        <f>I2</f>
        <v>34.061193156635255</v>
      </c>
      <c r="L30">
        <f>I14</f>
        <v>19.871490505773068</v>
      </c>
      <c r="M30">
        <f t="shared" si="0"/>
        <v>1.8616130783982925</v>
      </c>
      <c r="N30">
        <f t="shared" si="1"/>
        <v>16.05131572926048</v>
      </c>
    </row>
    <row r="31" spans="1:14" x14ac:dyDescent="0.2">
      <c r="A31" t="s">
        <v>62</v>
      </c>
      <c r="B31" t="s">
        <v>129</v>
      </c>
      <c r="C31" t="s">
        <v>32</v>
      </c>
      <c r="D31">
        <v>35.7093736919375</v>
      </c>
      <c r="E31">
        <v>35.7093736919375</v>
      </c>
      <c r="F31" t="s">
        <v>62</v>
      </c>
      <c r="G31" s="1" t="s">
        <v>23</v>
      </c>
      <c r="H31">
        <v>115</v>
      </c>
      <c r="I31">
        <f t="shared" si="32"/>
        <v>35.922806235033548</v>
      </c>
      <c r="J31">
        <f t="shared" ref="J31" si="33">J29</f>
        <v>0.30183919709821522</v>
      </c>
      <c r="K31">
        <f>I2</f>
        <v>34.061193156635255</v>
      </c>
      <c r="L31">
        <f>I14</f>
        <v>19.871490505773068</v>
      </c>
      <c r="M31">
        <f t="shared" si="0"/>
        <v>1.8616130783982925</v>
      </c>
      <c r="N31">
        <f t="shared" si="1"/>
        <v>16.05131572926048</v>
      </c>
    </row>
    <row r="32" spans="1:14" s="17" customFormat="1" x14ac:dyDescent="0.2">
      <c r="A32" s="17" t="s">
        <v>63</v>
      </c>
      <c r="B32" s="17" t="s">
        <v>129</v>
      </c>
      <c r="C32" s="17" t="s">
        <v>32</v>
      </c>
      <c r="E32" s="17">
        <v>29.948540887641901</v>
      </c>
      <c r="F32" s="17" t="s">
        <v>63</v>
      </c>
      <c r="G32" s="20" t="s">
        <v>14</v>
      </c>
      <c r="H32" s="17">
        <v>122</v>
      </c>
      <c r="I32" s="17" t="e">
        <f t="shared" ref="I32" si="34">AVERAGE(D32:D34)</f>
        <v>#DIV/0!</v>
      </c>
      <c r="J32" s="17" t="e">
        <f t="shared" ref="J32" si="35">STDEV(D32:D34)</f>
        <v>#DIV/0!</v>
      </c>
      <c r="K32" s="17">
        <f>I8</f>
        <v>34.295110027678732</v>
      </c>
      <c r="L32" s="17">
        <f>I20</f>
        <v>18.114412506029733</v>
      </c>
      <c r="M32" s="17" t="e">
        <f t="shared" si="0"/>
        <v>#DIV/0!</v>
      </c>
      <c r="N32" s="17" t="e">
        <f t="shared" si="1"/>
        <v>#DIV/0!</v>
      </c>
    </row>
    <row r="33" spans="1:14" s="17" customFormat="1" x14ac:dyDescent="0.2">
      <c r="A33" s="17" t="s">
        <v>64</v>
      </c>
      <c r="B33" s="17" t="s">
        <v>129</v>
      </c>
      <c r="C33" s="17" t="s">
        <v>32</v>
      </c>
      <c r="E33" s="17">
        <v>34.438389693681003</v>
      </c>
      <c r="F33" s="17" t="s">
        <v>64</v>
      </c>
      <c r="G33" s="20" t="s">
        <v>14</v>
      </c>
      <c r="H33" s="17">
        <v>122</v>
      </c>
      <c r="I33" s="17" t="e">
        <f t="shared" ref="I33:J33" si="36">I32</f>
        <v>#DIV/0!</v>
      </c>
      <c r="J33" s="17" t="e">
        <f t="shared" si="36"/>
        <v>#DIV/0!</v>
      </c>
      <c r="K33" s="17">
        <f>I8</f>
        <v>34.295110027678732</v>
      </c>
      <c r="L33" s="17">
        <f>I20</f>
        <v>18.114412506029733</v>
      </c>
      <c r="M33" s="17" t="e">
        <f t="shared" si="0"/>
        <v>#DIV/0!</v>
      </c>
      <c r="N33" s="17" t="e">
        <f t="shared" si="1"/>
        <v>#DIV/0!</v>
      </c>
    </row>
    <row r="34" spans="1:14" s="17" customFormat="1" x14ac:dyDescent="0.2">
      <c r="A34" s="17" t="s">
        <v>65</v>
      </c>
      <c r="B34" s="17" t="s">
        <v>129</v>
      </c>
      <c r="C34" s="17" t="s">
        <v>32</v>
      </c>
      <c r="E34" s="17">
        <v>36.511715852407697</v>
      </c>
      <c r="F34" s="17" t="s">
        <v>65</v>
      </c>
      <c r="G34" s="20" t="s">
        <v>14</v>
      </c>
      <c r="H34" s="17">
        <v>122</v>
      </c>
      <c r="I34" s="17" t="e">
        <f t="shared" ref="I34:J34" si="37">I32</f>
        <v>#DIV/0!</v>
      </c>
      <c r="J34" s="17" t="e">
        <f t="shared" si="37"/>
        <v>#DIV/0!</v>
      </c>
      <c r="K34" s="17">
        <f>I8</f>
        <v>34.295110027678732</v>
      </c>
      <c r="L34" s="17">
        <f>I20</f>
        <v>18.114412506029733</v>
      </c>
      <c r="M34" s="17" t="e">
        <f t="shared" si="0"/>
        <v>#DIV/0!</v>
      </c>
      <c r="N34" s="17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>
        <v>34.1300578942583</v>
      </c>
      <c r="E35">
        <v>34.1300578942583</v>
      </c>
      <c r="F35" t="s">
        <v>66</v>
      </c>
      <c r="G35" s="1" t="s">
        <v>23</v>
      </c>
      <c r="H35">
        <v>122</v>
      </c>
      <c r="I35">
        <f t="shared" ref="I35" si="38">AVERAGE(D35:D37)</f>
        <v>34.396381242347246</v>
      </c>
      <c r="J35">
        <f t="shared" ref="J35" si="39">STDEV(D35:D37)</f>
        <v>0.37663809084400313</v>
      </c>
      <c r="K35">
        <f>I8</f>
        <v>34.295110027678732</v>
      </c>
      <c r="L35">
        <f>I20</f>
        <v>18.114412506029733</v>
      </c>
      <c r="M35">
        <f t="shared" si="0"/>
        <v>0.10127121466851463</v>
      </c>
      <c r="N35">
        <f t="shared" si="1"/>
        <v>16.281968736317513</v>
      </c>
    </row>
    <row r="36" spans="1:14" x14ac:dyDescent="0.2">
      <c r="A36" t="s">
        <v>67</v>
      </c>
      <c r="B36" t="s">
        <v>129</v>
      </c>
      <c r="C36" t="s">
        <v>32</v>
      </c>
      <c r="D36">
        <v>34.662704590436199</v>
      </c>
      <c r="E36">
        <v>34.662704590436199</v>
      </c>
      <c r="F36" t="s">
        <v>67</v>
      </c>
      <c r="G36" s="1" t="s">
        <v>23</v>
      </c>
      <c r="H36">
        <v>122</v>
      </c>
      <c r="I36">
        <f t="shared" ref="I36:J37" si="40">I35</f>
        <v>34.396381242347246</v>
      </c>
      <c r="J36">
        <f t="shared" si="40"/>
        <v>0.37663809084400313</v>
      </c>
      <c r="K36">
        <f>I8</f>
        <v>34.295110027678732</v>
      </c>
      <c r="L36">
        <f>I20</f>
        <v>18.114412506029733</v>
      </c>
      <c r="M36">
        <f t="shared" si="0"/>
        <v>0.10127121466851463</v>
      </c>
      <c r="N36">
        <f t="shared" si="1"/>
        <v>16.281968736317513</v>
      </c>
    </row>
    <row r="37" spans="1:14" x14ac:dyDescent="0.2">
      <c r="A37" t="s">
        <v>68</v>
      </c>
      <c r="B37" t="s">
        <v>129</v>
      </c>
      <c r="C37" t="s">
        <v>32</v>
      </c>
      <c r="E37">
        <v>36.138335741234499</v>
      </c>
      <c r="F37" t="s">
        <v>68</v>
      </c>
      <c r="G37" s="1" t="s">
        <v>23</v>
      </c>
      <c r="H37">
        <v>122</v>
      </c>
      <c r="I37">
        <f t="shared" si="40"/>
        <v>34.396381242347246</v>
      </c>
      <c r="J37">
        <f t="shared" ref="J37" si="41">J35</f>
        <v>0.37663809084400313</v>
      </c>
      <c r="K37">
        <f>I8</f>
        <v>34.295110027678732</v>
      </c>
      <c r="L37">
        <f>I20</f>
        <v>18.114412506029733</v>
      </c>
      <c r="M37">
        <f t="shared" si="0"/>
        <v>0.10127121466851463</v>
      </c>
      <c r="N37">
        <f t="shared" si="1"/>
        <v>16.281968736317513</v>
      </c>
    </row>
    <row r="38" spans="1:14" x14ac:dyDescent="0.2">
      <c r="A38" t="s">
        <v>69</v>
      </c>
      <c r="B38" t="s">
        <v>129</v>
      </c>
      <c r="C38" t="s">
        <v>32</v>
      </c>
      <c r="D38">
        <v>33.717396238981202</v>
      </c>
      <c r="E38">
        <v>33.717396238981202</v>
      </c>
      <c r="F38" t="s">
        <v>69</v>
      </c>
      <c r="G38" s="4" t="s">
        <v>15</v>
      </c>
      <c r="H38">
        <v>115</v>
      </c>
      <c r="I38">
        <f t="shared" ref="I38" si="42">AVERAGE(D38:D40)</f>
        <v>33.551588322089565</v>
      </c>
      <c r="J38">
        <f t="shared" ref="J38" si="43">STDEV(D38:D40)</f>
        <v>0.14360223404898728</v>
      </c>
      <c r="K38">
        <f>I2</f>
        <v>34.061193156635255</v>
      </c>
      <c r="L38">
        <f>I14</f>
        <v>19.871490505773068</v>
      </c>
      <c r="M38">
        <f t="shared" si="0"/>
        <v>-0.50960483454569072</v>
      </c>
      <c r="N38">
        <f t="shared" si="1"/>
        <v>13.680097816316497</v>
      </c>
    </row>
    <row r="39" spans="1:14" x14ac:dyDescent="0.2">
      <c r="A39" t="s">
        <v>70</v>
      </c>
      <c r="B39" t="s">
        <v>129</v>
      </c>
      <c r="C39" t="s">
        <v>32</v>
      </c>
      <c r="D39">
        <v>33.467134316579099</v>
      </c>
      <c r="E39">
        <v>33.467134316579099</v>
      </c>
      <c r="F39" t="s">
        <v>70</v>
      </c>
      <c r="G39" s="4" t="s">
        <v>15</v>
      </c>
      <c r="H39">
        <v>115</v>
      </c>
      <c r="I39">
        <f t="shared" ref="I39:J39" si="44">I38</f>
        <v>33.551588322089565</v>
      </c>
      <c r="J39">
        <f t="shared" si="44"/>
        <v>0.14360223404898728</v>
      </c>
      <c r="K39">
        <f>I2</f>
        <v>34.061193156635255</v>
      </c>
      <c r="L39">
        <f>I14</f>
        <v>19.871490505773068</v>
      </c>
      <c r="M39">
        <f t="shared" si="0"/>
        <v>-0.50960483454569072</v>
      </c>
      <c r="N39">
        <f t="shared" si="1"/>
        <v>13.680097816316497</v>
      </c>
    </row>
    <row r="40" spans="1:14" x14ac:dyDescent="0.2">
      <c r="A40" t="s">
        <v>71</v>
      </c>
      <c r="B40" t="s">
        <v>129</v>
      </c>
      <c r="C40" t="s">
        <v>32</v>
      </c>
      <c r="D40">
        <v>33.4702344107084</v>
      </c>
      <c r="E40">
        <v>33.4702344107084</v>
      </c>
      <c r="F40" t="s">
        <v>71</v>
      </c>
      <c r="G40" s="4" t="s">
        <v>15</v>
      </c>
      <c r="H40">
        <v>115</v>
      </c>
      <c r="I40">
        <f t="shared" ref="I40:J40" si="45">I38</f>
        <v>33.551588322089565</v>
      </c>
      <c r="J40">
        <f t="shared" si="45"/>
        <v>0.14360223404898728</v>
      </c>
      <c r="K40">
        <f>I2</f>
        <v>34.061193156635255</v>
      </c>
      <c r="L40">
        <f>I14</f>
        <v>19.871490505773068</v>
      </c>
      <c r="M40">
        <f t="shared" si="0"/>
        <v>-0.50960483454569072</v>
      </c>
      <c r="N40">
        <f t="shared" si="1"/>
        <v>13.680097816316497</v>
      </c>
    </row>
    <row r="41" spans="1:14" x14ac:dyDescent="0.2">
      <c r="A41" t="s">
        <v>72</v>
      </c>
      <c r="B41" t="s">
        <v>129</v>
      </c>
      <c r="C41" t="s">
        <v>32</v>
      </c>
      <c r="D41">
        <v>34.5537990710177</v>
      </c>
      <c r="E41">
        <v>34.5537990710177</v>
      </c>
      <c r="F41" t="s">
        <v>72</v>
      </c>
      <c r="G41" s="1" t="s">
        <v>22</v>
      </c>
      <c r="H41">
        <v>115</v>
      </c>
      <c r="I41">
        <f t="shared" ref="I41" si="46">AVERAGE(D41:D43)</f>
        <v>34.430381951734702</v>
      </c>
      <c r="J41">
        <f t="shared" ref="J41" si="47">STDEV(D41:D43)</f>
        <v>0.17453816391903823</v>
      </c>
      <c r="K41">
        <f>I2</f>
        <v>34.061193156635255</v>
      </c>
      <c r="L41">
        <f>I14</f>
        <v>19.871490505773068</v>
      </c>
      <c r="M41">
        <f t="shared" si="0"/>
        <v>0.36918879509944702</v>
      </c>
      <c r="N41">
        <f t="shared" si="1"/>
        <v>14.558891445961635</v>
      </c>
    </row>
    <row r="42" spans="1:14" x14ac:dyDescent="0.2">
      <c r="A42" t="s">
        <v>73</v>
      </c>
      <c r="B42" t="s">
        <v>129</v>
      </c>
      <c r="C42" t="s">
        <v>32</v>
      </c>
      <c r="D42">
        <v>34.306964832451698</v>
      </c>
      <c r="E42">
        <v>34.306964832451698</v>
      </c>
      <c r="F42" t="s">
        <v>73</v>
      </c>
      <c r="G42" s="1" t="s">
        <v>22</v>
      </c>
      <c r="H42">
        <v>115</v>
      </c>
      <c r="I42">
        <f t="shared" ref="I42:J43" si="48">I41</f>
        <v>34.430381951734702</v>
      </c>
      <c r="J42">
        <f t="shared" si="48"/>
        <v>0.17453816391903823</v>
      </c>
      <c r="K42">
        <f>I2</f>
        <v>34.061193156635255</v>
      </c>
      <c r="L42">
        <f>I14</f>
        <v>19.871490505773068</v>
      </c>
      <c r="M42">
        <f t="shared" si="0"/>
        <v>0.36918879509944702</v>
      </c>
      <c r="N42">
        <f t="shared" si="1"/>
        <v>14.558891445961635</v>
      </c>
    </row>
    <row r="43" spans="1:14" x14ac:dyDescent="0.2">
      <c r="A43" t="s">
        <v>74</v>
      </c>
      <c r="B43" t="s">
        <v>129</v>
      </c>
      <c r="C43" t="s">
        <v>32</v>
      </c>
      <c r="E43">
        <v>35.870471030428703</v>
      </c>
      <c r="F43" t="s">
        <v>74</v>
      </c>
      <c r="G43" s="1" t="s">
        <v>22</v>
      </c>
      <c r="H43">
        <v>115</v>
      </c>
      <c r="I43">
        <f t="shared" si="48"/>
        <v>34.430381951734702</v>
      </c>
      <c r="J43">
        <f t="shared" ref="J43" si="49">J41</f>
        <v>0.17453816391903823</v>
      </c>
      <c r="K43">
        <f>I2</f>
        <v>34.061193156635255</v>
      </c>
      <c r="L43">
        <f>I14</f>
        <v>19.871490505773068</v>
      </c>
      <c r="M43">
        <f t="shared" si="0"/>
        <v>0.36918879509944702</v>
      </c>
      <c r="N43">
        <f t="shared" si="1"/>
        <v>14.558891445961635</v>
      </c>
    </row>
    <row r="44" spans="1:14" x14ac:dyDescent="0.2">
      <c r="A44" t="s">
        <v>75</v>
      </c>
      <c r="B44" t="s">
        <v>129</v>
      </c>
      <c r="C44" t="s">
        <v>32</v>
      </c>
      <c r="E44">
        <v>35.828488978708698</v>
      </c>
      <c r="F44" t="s">
        <v>75</v>
      </c>
      <c r="G44" s="4" t="s">
        <v>15</v>
      </c>
      <c r="H44">
        <v>122</v>
      </c>
      <c r="I44">
        <f t="shared" ref="I44" si="50">AVERAGE(D44:D46)</f>
        <v>34.941857963845798</v>
      </c>
      <c r="J44">
        <f t="shared" ref="J44" si="51">STDEV(D44:D46)</f>
        <v>0.42874622083580055</v>
      </c>
      <c r="K44">
        <f>I8</f>
        <v>34.295110027678732</v>
      </c>
      <c r="L44">
        <f>I20</f>
        <v>18.114412506029733</v>
      </c>
      <c r="M44">
        <f t="shared" si="0"/>
        <v>0.64674793616706694</v>
      </c>
      <c r="N44">
        <f t="shared" si="1"/>
        <v>16.827445457816065</v>
      </c>
    </row>
    <row r="45" spans="1:14" x14ac:dyDescent="0.2">
      <c r="A45" t="s">
        <v>76</v>
      </c>
      <c r="B45" t="s">
        <v>129</v>
      </c>
      <c r="C45" t="s">
        <v>32</v>
      </c>
      <c r="D45">
        <v>35.245027324006898</v>
      </c>
      <c r="E45">
        <v>35.245027324006898</v>
      </c>
      <c r="F45" t="s">
        <v>76</v>
      </c>
      <c r="G45" s="4" t="s">
        <v>15</v>
      </c>
      <c r="H45">
        <v>122</v>
      </c>
      <c r="I45">
        <f t="shared" ref="I45:J45" si="52">I44</f>
        <v>34.941857963845798</v>
      </c>
      <c r="J45">
        <f t="shared" si="52"/>
        <v>0.42874622083580055</v>
      </c>
      <c r="K45">
        <f>I8</f>
        <v>34.295110027678732</v>
      </c>
      <c r="L45">
        <f>I20</f>
        <v>18.114412506029733</v>
      </c>
      <c r="M45">
        <f t="shared" si="0"/>
        <v>0.64674793616706694</v>
      </c>
      <c r="N45">
        <f t="shared" si="1"/>
        <v>16.827445457816065</v>
      </c>
    </row>
    <row r="46" spans="1:14" x14ac:dyDescent="0.2">
      <c r="A46" t="s">
        <v>77</v>
      </c>
      <c r="B46" t="s">
        <v>129</v>
      </c>
      <c r="C46" t="s">
        <v>32</v>
      </c>
      <c r="D46">
        <v>34.638688603684699</v>
      </c>
      <c r="E46">
        <v>34.638688603684699</v>
      </c>
      <c r="F46" t="s">
        <v>77</v>
      </c>
      <c r="G46" s="4" t="s">
        <v>15</v>
      </c>
      <c r="H46">
        <v>122</v>
      </c>
      <c r="I46">
        <f t="shared" ref="I46:J46" si="53">I44</f>
        <v>34.941857963845798</v>
      </c>
      <c r="J46">
        <f t="shared" si="53"/>
        <v>0.42874622083580055</v>
      </c>
      <c r="K46">
        <f>I8</f>
        <v>34.295110027678732</v>
      </c>
      <c r="L46">
        <f>I20</f>
        <v>18.114412506029733</v>
      </c>
      <c r="M46">
        <f t="shared" si="0"/>
        <v>0.64674793616706694</v>
      </c>
      <c r="N46">
        <f t="shared" si="1"/>
        <v>16.827445457816065</v>
      </c>
    </row>
    <row r="47" spans="1:14" x14ac:dyDescent="0.2">
      <c r="A47" t="s">
        <v>78</v>
      </c>
      <c r="B47" t="s">
        <v>129</v>
      </c>
      <c r="C47" t="s">
        <v>32</v>
      </c>
      <c r="D47">
        <v>37.215436217541402</v>
      </c>
      <c r="E47">
        <v>37.215436217541402</v>
      </c>
      <c r="F47" t="s">
        <v>78</v>
      </c>
      <c r="G47" s="1" t="s">
        <v>22</v>
      </c>
      <c r="H47">
        <v>122</v>
      </c>
      <c r="I47">
        <f t="shared" ref="I47" si="54">AVERAGE(D47:D49)</f>
        <v>37.196573056456401</v>
      </c>
      <c r="J47">
        <f t="shared" ref="J47" si="55">STDEV(D47:D49)</f>
        <v>2.6676538235636756E-2</v>
      </c>
      <c r="K47">
        <f>I8</f>
        <v>34.295110027678732</v>
      </c>
      <c r="L47">
        <f>I20</f>
        <v>18.114412506029733</v>
      </c>
      <c r="M47">
        <f t="shared" si="0"/>
        <v>2.9014630287776697</v>
      </c>
      <c r="N47">
        <f t="shared" si="1"/>
        <v>19.082160550426668</v>
      </c>
    </row>
    <row r="48" spans="1:14" x14ac:dyDescent="0.2">
      <c r="A48" t="s">
        <v>79</v>
      </c>
      <c r="B48" t="s">
        <v>129</v>
      </c>
      <c r="C48" t="s">
        <v>32</v>
      </c>
      <c r="E48">
        <v>36.273724608235298</v>
      </c>
      <c r="F48" t="s">
        <v>79</v>
      </c>
      <c r="G48" s="1" t="s">
        <v>22</v>
      </c>
      <c r="H48">
        <v>122</v>
      </c>
      <c r="I48">
        <f t="shared" ref="I48:J49" si="56">I47</f>
        <v>37.196573056456401</v>
      </c>
      <c r="J48">
        <f t="shared" si="56"/>
        <v>2.6676538235636756E-2</v>
      </c>
      <c r="K48">
        <f>I8</f>
        <v>34.295110027678732</v>
      </c>
      <c r="L48">
        <f>I20</f>
        <v>18.114412506029733</v>
      </c>
      <c r="M48">
        <f t="shared" si="0"/>
        <v>2.9014630287776697</v>
      </c>
      <c r="N48">
        <f t="shared" si="1"/>
        <v>19.082160550426668</v>
      </c>
    </row>
    <row r="49" spans="1:14" x14ac:dyDescent="0.2">
      <c r="A49" t="s">
        <v>80</v>
      </c>
      <c r="B49" t="s">
        <v>129</v>
      </c>
      <c r="C49" t="s">
        <v>32</v>
      </c>
      <c r="D49">
        <v>37.1777098953714</v>
      </c>
      <c r="E49">
        <v>37.1777098953714</v>
      </c>
      <c r="F49" t="s">
        <v>80</v>
      </c>
      <c r="G49" s="1" t="s">
        <v>22</v>
      </c>
      <c r="H49">
        <v>122</v>
      </c>
      <c r="I49">
        <f t="shared" si="56"/>
        <v>37.196573056456401</v>
      </c>
      <c r="J49">
        <f t="shared" ref="J49" si="57">J47</f>
        <v>2.6676538235636756E-2</v>
      </c>
      <c r="K49">
        <f>I8</f>
        <v>34.295110027678732</v>
      </c>
      <c r="L49">
        <f>I20</f>
        <v>18.114412506029733</v>
      </c>
      <c r="M49">
        <f t="shared" si="0"/>
        <v>2.9014630287776697</v>
      </c>
      <c r="N49">
        <f t="shared" si="1"/>
        <v>19.082160550426668</v>
      </c>
    </row>
    <row r="50" spans="1:14" x14ac:dyDescent="0.2">
      <c r="A50" t="s">
        <v>81</v>
      </c>
      <c r="B50" t="s">
        <v>129</v>
      </c>
      <c r="C50" t="s">
        <v>32</v>
      </c>
      <c r="D50">
        <v>32.071090838763098</v>
      </c>
      <c r="E50">
        <v>32.071090838763098</v>
      </c>
      <c r="F50" t="s">
        <v>81</v>
      </c>
      <c r="G50" s="4" t="s">
        <v>16</v>
      </c>
      <c r="H50">
        <v>115</v>
      </c>
      <c r="I50">
        <f t="shared" ref="I50" si="58">AVERAGE(D50:D52)</f>
        <v>32.377569974989399</v>
      </c>
      <c r="J50">
        <f t="shared" ref="J50" si="59">STDEV(D50:D52)</f>
        <v>0.26727540933200716</v>
      </c>
      <c r="K50">
        <f>I2</f>
        <v>34.061193156635255</v>
      </c>
      <c r="L50">
        <f>I14</f>
        <v>19.871490505773068</v>
      </c>
      <c r="M50">
        <f t="shared" si="0"/>
        <v>-1.6836231816458564</v>
      </c>
      <c r="N50">
        <f t="shared" si="1"/>
        <v>12.506079469216331</v>
      </c>
    </row>
    <row r="51" spans="1:14" x14ac:dyDescent="0.2">
      <c r="A51" t="s">
        <v>82</v>
      </c>
      <c r="B51" t="s">
        <v>129</v>
      </c>
      <c r="C51" t="s">
        <v>32</v>
      </c>
      <c r="D51">
        <v>32.562258688195499</v>
      </c>
      <c r="E51">
        <v>32.562258688195499</v>
      </c>
      <c r="F51" t="s">
        <v>82</v>
      </c>
      <c r="G51" s="4" t="s">
        <v>16</v>
      </c>
      <c r="H51">
        <v>115</v>
      </c>
      <c r="I51">
        <f t="shared" ref="I51:J51" si="60">I50</f>
        <v>32.377569974989399</v>
      </c>
      <c r="J51">
        <f t="shared" si="60"/>
        <v>0.26727540933200716</v>
      </c>
      <c r="K51">
        <f>I2</f>
        <v>34.061193156635255</v>
      </c>
      <c r="L51">
        <f>I14</f>
        <v>19.871490505773068</v>
      </c>
      <c r="M51">
        <f t="shared" si="0"/>
        <v>-1.6836231816458564</v>
      </c>
      <c r="N51">
        <f t="shared" si="1"/>
        <v>12.506079469216331</v>
      </c>
    </row>
    <row r="52" spans="1:14" x14ac:dyDescent="0.2">
      <c r="A52" t="s">
        <v>83</v>
      </c>
      <c r="B52" t="s">
        <v>129</v>
      </c>
      <c r="C52" t="s">
        <v>32</v>
      </c>
      <c r="D52">
        <v>32.4993603980096</v>
      </c>
      <c r="E52">
        <v>32.4993603980096</v>
      </c>
      <c r="F52" t="s">
        <v>83</v>
      </c>
      <c r="G52" s="4" t="s">
        <v>16</v>
      </c>
      <c r="H52">
        <v>115</v>
      </c>
      <c r="I52">
        <f t="shared" ref="I52:J52" si="61">I50</f>
        <v>32.377569974989399</v>
      </c>
      <c r="J52">
        <f t="shared" si="61"/>
        <v>0.26727540933200716</v>
      </c>
      <c r="K52">
        <f>I2</f>
        <v>34.061193156635255</v>
      </c>
      <c r="L52">
        <f>I14</f>
        <v>19.871490505773068</v>
      </c>
      <c r="M52">
        <f t="shared" si="0"/>
        <v>-1.6836231816458564</v>
      </c>
      <c r="N52">
        <f t="shared" si="1"/>
        <v>12.506079469216331</v>
      </c>
    </row>
    <row r="53" spans="1:14" x14ac:dyDescent="0.2">
      <c r="A53" t="s">
        <v>84</v>
      </c>
      <c r="B53" t="s">
        <v>129</v>
      </c>
      <c r="C53" t="s">
        <v>32</v>
      </c>
      <c r="D53">
        <v>34.320724902436801</v>
      </c>
      <c r="E53">
        <v>34.320724902436801</v>
      </c>
      <c r="F53" t="s">
        <v>84</v>
      </c>
      <c r="G53" s="1" t="s">
        <v>24</v>
      </c>
      <c r="H53">
        <v>115</v>
      </c>
      <c r="I53">
        <f t="shared" ref="I53" si="62">AVERAGE(D53:D55)</f>
        <v>33.981660486538502</v>
      </c>
      <c r="J53">
        <f t="shared" ref="J53" si="63">STDEV(D53:D55)</f>
        <v>0.47950949548148669</v>
      </c>
      <c r="K53">
        <f>I2</f>
        <v>34.061193156635255</v>
      </c>
      <c r="L53">
        <f>I14</f>
        <v>19.871490505773068</v>
      </c>
      <c r="M53">
        <f t="shared" si="0"/>
        <v>-7.9532670096753577E-2</v>
      </c>
      <c r="N53">
        <f t="shared" si="1"/>
        <v>14.110169980765434</v>
      </c>
    </row>
    <row r="54" spans="1:14" x14ac:dyDescent="0.2">
      <c r="A54" t="s">
        <v>85</v>
      </c>
      <c r="B54" t="s">
        <v>129</v>
      </c>
      <c r="C54" t="s">
        <v>32</v>
      </c>
      <c r="E54">
        <v>36.053881480323099</v>
      </c>
      <c r="F54" t="s">
        <v>85</v>
      </c>
      <c r="G54" s="1" t="s">
        <v>24</v>
      </c>
      <c r="H54">
        <v>115</v>
      </c>
      <c r="I54">
        <f t="shared" ref="I54:J55" si="64">I53</f>
        <v>33.981660486538502</v>
      </c>
      <c r="J54">
        <f t="shared" si="64"/>
        <v>0.47950949548148669</v>
      </c>
      <c r="K54">
        <f>I2</f>
        <v>34.061193156635255</v>
      </c>
      <c r="L54">
        <f>I14</f>
        <v>19.871490505773068</v>
      </c>
      <c r="M54">
        <f t="shared" si="0"/>
        <v>-7.9532670096753577E-2</v>
      </c>
      <c r="N54">
        <f t="shared" si="1"/>
        <v>14.110169980765434</v>
      </c>
    </row>
    <row r="55" spans="1:14" x14ac:dyDescent="0.2">
      <c r="A55" t="s">
        <v>86</v>
      </c>
      <c r="B55" t="s">
        <v>129</v>
      </c>
      <c r="C55" t="s">
        <v>32</v>
      </c>
      <c r="D55">
        <v>33.642596070640202</v>
      </c>
      <c r="E55">
        <v>33.642596070640202</v>
      </c>
      <c r="F55" t="s">
        <v>86</v>
      </c>
      <c r="G55" s="1" t="s">
        <v>24</v>
      </c>
      <c r="H55">
        <v>115</v>
      </c>
      <c r="I55">
        <f t="shared" si="64"/>
        <v>33.981660486538502</v>
      </c>
      <c r="J55">
        <f t="shared" ref="J55" si="65">J53</f>
        <v>0.47950949548148669</v>
      </c>
      <c r="K55">
        <f>I2</f>
        <v>34.061193156635255</v>
      </c>
      <c r="L55">
        <f>I14</f>
        <v>19.871490505773068</v>
      </c>
      <c r="M55">
        <f t="shared" si="0"/>
        <v>-7.9532670096753577E-2</v>
      </c>
      <c r="N55">
        <f t="shared" si="1"/>
        <v>14.110169980765434</v>
      </c>
    </row>
    <row r="56" spans="1:14" x14ac:dyDescent="0.2">
      <c r="A56" t="s">
        <v>87</v>
      </c>
      <c r="B56" t="s">
        <v>129</v>
      </c>
      <c r="C56" t="s">
        <v>32</v>
      </c>
      <c r="D56">
        <v>33.862093707752699</v>
      </c>
      <c r="E56">
        <v>33.862093707752699</v>
      </c>
      <c r="F56" t="s">
        <v>87</v>
      </c>
      <c r="G56" s="4" t="s">
        <v>16</v>
      </c>
      <c r="H56">
        <v>122</v>
      </c>
      <c r="I56">
        <f t="shared" ref="I56" si="66">AVERAGE(D56:D58)</f>
        <v>33.778080842782451</v>
      </c>
      <c r="J56">
        <f t="shared" ref="J56" si="67">STDEV(D56:D58)</f>
        <v>0.11881213305474402</v>
      </c>
      <c r="K56">
        <f>I8</f>
        <v>34.295110027678732</v>
      </c>
      <c r="L56">
        <f>I20</f>
        <v>18.114412506029733</v>
      </c>
      <c r="M56">
        <f t="shared" si="0"/>
        <v>-0.51702918489628047</v>
      </c>
      <c r="N56">
        <f t="shared" si="1"/>
        <v>15.663668336752718</v>
      </c>
    </row>
    <row r="57" spans="1:14" x14ac:dyDescent="0.2">
      <c r="A57" t="s">
        <v>88</v>
      </c>
      <c r="B57" t="s">
        <v>129</v>
      </c>
      <c r="C57" t="s">
        <v>32</v>
      </c>
      <c r="E57">
        <v>33.277120666590399</v>
      </c>
      <c r="F57" t="s">
        <v>88</v>
      </c>
      <c r="G57" s="4" t="s">
        <v>16</v>
      </c>
      <c r="H57">
        <v>122</v>
      </c>
      <c r="I57">
        <f t="shared" ref="I57:J57" si="68">I56</f>
        <v>33.778080842782451</v>
      </c>
      <c r="J57">
        <f t="shared" si="68"/>
        <v>0.11881213305474402</v>
      </c>
      <c r="K57">
        <f>I8</f>
        <v>34.295110027678732</v>
      </c>
      <c r="L57">
        <f>I20</f>
        <v>18.114412506029733</v>
      </c>
      <c r="M57">
        <f t="shared" si="0"/>
        <v>-0.51702918489628047</v>
      </c>
      <c r="N57">
        <f t="shared" si="1"/>
        <v>15.663668336752718</v>
      </c>
    </row>
    <row r="58" spans="1:14" x14ac:dyDescent="0.2">
      <c r="A58" t="s">
        <v>89</v>
      </c>
      <c r="B58" t="s">
        <v>129</v>
      </c>
      <c r="C58" t="s">
        <v>32</v>
      </c>
      <c r="D58">
        <v>33.694067977812203</v>
      </c>
      <c r="E58">
        <v>33.694067977812203</v>
      </c>
      <c r="F58" t="s">
        <v>89</v>
      </c>
      <c r="G58" s="4" t="s">
        <v>16</v>
      </c>
      <c r="H58">
        <v>122</v>
      </c>
      <c r="I58">
        <f t="shared" ref="I58:J58" si="69">I56</f>
        <v>33.778080842782451</v>
      </c>
      <c r="J58">
        <f t="shared" si="69"/>
        <v>0.11881213305474402</v>
      </c>
      <c r="K58">
        <f>I8</f>
        <v>34.295110027678732</v>
      </c>
      <c r="L58">
        <f>I20</f>
        <v>18.114412506029733</v>
      </c>
      <c r="M58">
        <f t="shared" si="0"/>
        <v>-0.51702918489628047</v>
      </c>
      <c r="N58">
        <f t="shared" si="1"/>
        <v>15.663668336752718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D59" s="17" t="s">
        <v>33</v>
      </c>
      <c r="E59" s="17" t="s">
        <v>33</v>
      </c>
      <c r="F59" s="17" t="s">
        <v>90</v>
      </c>
      <c r="G59" s="19" t="s">
        <v>24</v>
      </c>
      <c r="H59" s="17">
        <v>122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34.295110027678732</v>
      </c>
      <c r="L59" s="17">
        <f>I20</f>
        <v>18.114412506029733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34.531793710153003</v>
      </c>
      <c r="F60" s="17" t="s">
        <v>91</v>
      </c>
      <c r="G60" s="19" t="s">
        <v>24</v>
      </c>
      <c r="H60" s="17">
        <v>122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34.295110027678732</v>
      </c>
      <c r="L60" s="17">
        <f>I20</f>
        <v>18.114412506029733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D61" s="17" t="s">
        <v>33</v>
      </c>
      <c r="E61" s="17" t="s">
        <v>33</v>
      </c>
      <c r="F61" s="17" t="s">
        <v>92</v>
      </c>
      <c r="G61" s="19" t="s">
        <v>24</v>
      </c>
      <c r="H61" s="17">
        <v>122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34.295110027678732</v>
      </c>
      <c r="L61" s="17">
        <f>I20</f>
        <v>18.114412506029733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E62">
        <v>34.013269119009003</v>
      </c>
      <c r="F62" t="s">
        <v>93</v>
      </c>
      <c r="G62" s="4" t="s">
        <v>17</v>
      </c>
      <c r="H62">
        <v>115</v>
      </c>
      <c r="I62">
        <f t="shared" ref="I62" si="74">AVERAGE(D62:D64)</f>
        <v>32.116413843416893</v>
      </c>
      <c r="J62">
        <f t="shared" ref="J62" si="75">STDEV(D62:D64)</f>
        <v>5.2504250090372744E-4</v>
      </c>
      <c r="K62">
        <f>I2</f>
        <v>34.061193156635255</v>
      </c>
      <c r="L62">
        <f>I14</f>
        <v>19.871490505773068</v>
      </c>
      <c r="M62">
        <f t="shared" si="0"/>
        <v>-1.9447793132183619</v>
      </c>
      <c r="N62">
        <f t="shared" si="1"/>
        <v>12.244923337643826</v>
      </c>
    </row>
    <row r="63" spans="1:14" x14ac:dyDescent="0.2">
      <c r="A63" t="s">
        <v>94</v>
      </c>
      <c r="B63" t="s">
        <v>129</v>
      </c>
      <c r="C63" t="s">
        <v>32</v>
      </c>
      <c r="D63">
        <v>32.116785104529697</v>
      </c>
      <c r="E63">
        <v>32.116785104529697</v>
      </c>
      <c r="F63" t="s">
        <v>94</v>
      </c>
      <c r="G63" s="4" t="s">
        <v>17</v>
      </c>
      <c r="H63">
        <v>115</v>
      </c>
      <c r="I63">
        <f t="shared" ref="I63:J63" si="76">I62</f>
        <v>32.116413843416893</v>
      </c>
      <c r="J63">
        <f t="shared" si="76"/>
        <v>5.2504250090372744E-4</v>
      </c>
      <c r="K63">
        <f>I2</f>
        <v>34.061193156635255</v>
      </c>
      <c r="L63">
        <f>I14</f>
        <v>19.871490505773068</v>
      </c>
      <c r="M63">
        <f t="shared" si="0"/>
        <v>-1.9447793132183619</v>
      </c>
      <c r="N63">
        <f t="shared" si="1"/>
        <v>12.244923337643826</v>
      </c>
    </row>
    <row r="64" spans="1:14" x14ac:dyDescent="0.2">
      <c r="A64" t="s">
        <v>95</v>
      </c>
      <c r="B64" t="s">
        <v>129</v>
      </c>
      <c r="C64" t="s">
        <v>32</v>
      </c>
      <c r="D64">
        <v>32.116042582304097</v>
      </c>
      <c r="E64">
        <v>32.116042582304097</v>
      </c>
      <c r="F64" t="s">
        <v>95</v>
      </c>
      <c r="G64" s="4" t="s">
        <v>17</v>
      </c>
      <c r="H64">
        <v>115</v>
      </c>
      <c r="I64">
        <f t="shared" ref="I64:J64" si="77">I62</f>
        <v>32.116413843416893</v>
      </c>
      <c r="J64">
        <f t="shared" si="77"/>
        <v>5.2504250090372744E-4</v>
      </c>
      <c r="K64">
        <f>I2</f>
        <v>34.061193156635255</v>
      </c>
      <c r="L64">
        <f>I14</f>
        <v>19.871490505773068</v>
      </c>
      <c r="M64">
        <f t="shared" si="0"/>
        <v>-1.9447793132183619</v>
      </c>
      <c r="N64">
        <f t="shared" si="1"/>
        <v>12.244923337643826</v>
      </c>
    </row>
    <row r="65" spans="1:14" x14ac:dyDescent="0.2">
      <c r="A65" t="s">
        <v>96</v>
      </c>
      <c r="B65" t="s">
        <v>129</v>
      </c>
      <c r="C65" t="s">
        <v>32</v>
      </c>
      <c r="E65">
        <v>32.945409982729501</v>
      </c>
      <c r="F65" t="s">
        <v>96</v>
      </c>
      <c r="G65" s="1" t="s">
        <v>25</v>
      </c>
      <c r="H65">
        <v>115</v>
      </c>
      <c r="I65">
        <f t="shared" ref="I65" si="78">AVERAGE(D65:D67)</f>
        <v>32.237228420252649</v>
      </c>
      <c r="J65">
        <f t="shared" ref="J65" si="79">STDEV(D65:D67)</f>
        <v>0.11662853217637641</v>
      </c>
      <c r="K65">
        <f>I2</f>
        <v>34.061193156635255</v>
      </c>
      <c r="L65">
        <f>I14</f>
        <v>19.871490505773068</v>
      </c>
      <c r="M65">
        <f t="shared" si="0"/>
        <v>-1.8239647363826066</v>
      </c>
      <c r="N65">
        <f t="shared" si="1"/>
        <v>12.365737914479581</v>
      </c>
    </row>
    <row r="66" spans="1:14" x14ac:dyDescent="0.2">
      <c r="A66" t="s">
        <v>97</v>
      </c>
      <c r="B66" t="s">
        <v>129</v>
      </c>
      <c r="C66" t="s">
        <v>32</v>
      </c>
      <c r="D66">
        <v>32.319697246234398</v>
      </c>
      <c r="E66">
        <v>32.319697246234398</v>
      </c>
      <c r="F66" t="s">
        <v>97</v>
      </c>
      <c r="G66" s="1" t="s">
        <v>25</v>
      </c>
      <c r="H66">
        <v>115</v>
      </c>
      <c r="I66">
        <f t="shared" ref="I66:J67" si="80">I65</f>
        <v>32.237228420252649</v>
      </c>
      <c r="J66">
        <f t="shared" si="80"/>
        <v>0.11662853217637641</v>
      </c>
      <c r="K66">
        <f>I2</f>
        <v>34.061193156635255</v>
      </c>
      <c r="L66">
        <f>I14</f>
        <v>19.871490505773068</v>
      </c>
      <c r="M66">
        <f t="shared" si="0"/>
        <v>-1.8239647363826066</v>
      </c>
      <c r="N66">
        <f t="shared" si="1"/>
        <v>12.365737914479581</v>
      </c>
    </row>
    <row r="67" spans="1:14" x14ac:dyDescent="0.2">
      <c r="A67" t="s">
        <v>98</v>
      </c>
      <c r="B67" t="s">
        <v>129</v>
      </c>
      <c r="C67" t="s">
        <v>32</v>
      </c>
      <c r="D67">
        <v>32.154759594270899</v>
      </c>
      <c r="E67">
        <v>32.154759594270899</v>
      </c>
      <c r="F67" t="s">
        <v>98</v>
      </c>
      <c r="G67" s="1" t="s">
        <v>25</v>
      </c>
      <c r="H67">
        <v>115</v>
      </c>
      <c r="I67">
        <f t="shared" si="80"/>
        <v>32.237228420252649</v>
      </c>
      <c r="J67">
        <f t="shared" ref="J67" si="81">J65</f>
        <v>0.11662853217637641</v>
      </c>
      <c r="K67">
        <f>I2</f>
        <v>34.061193156635255</v>
      </c>
      <c r="L67">
        <f>I14</f>
        <v>19.871490505773068</v>
      </c>
      <c r="M67">
        <f t="shared" ref="M67:M97" si="82">I67-K67</f>
        <v>-1.8239647363826066</v>
      </c>
      <c r="N67">
        <f t="shared" ref="N67:N97" si="83">I67-L67</f>
        <v>12.365737914479581</v>
      </c>
    </row>
    <row r="68" spans="1:14" x14ac:dyDescent="0.2">
      <c r="A68" t="s">
        <v>99</v>
      </c>
      <c r="B68" t="s">
        <v>129</v>
      </c>
      <c r="C68" t="s">
        <v>32</v>
      </c>
      <c r="D68">
        <v>32.873329665873797</v>
      </c>
      <c r="E68">
        <v>32.873329665873797</v>
      </c>
      <c r="F68" t="s">
        <v>99</v>
      </c>
      <c r="G68" s="4" t="s">
        <v>17</v>
      </c>
      <c r="H68">
        <v>122</v>
      </c>
      <c r="I68">
        <f t="shared" ref="I68" si="84">AVERAGE(D68:D70)</f>
        <v>32.958958033648997</v>
      </c>
      <c r="J68">
        <f t="shared" ref="J68" si="85">STDEV(D68:D70)</f>
        <v>0.12109679903155959</v>
      </c>
      <c r="K68">
        <f>I8</f>
        <v>34.295110027678732</v>
      </c>
      <c r="L68">
        <f>I20</f>
        <v>18.114412506029733</v>
      </c>
      <c r="M68">
        <f t="shared" si="82"/>
        <v>-1.3361519940297342</v>
      </c>
      <c r="N68">
        <f t="shared" si="83"/>
        <v>14.844545527619264</v>
      </c>
    </row>
    <row r="69" spans="1:14" x14ac:dyDescent="0.2">
      <c r="A69" t="s">
        <v>100</v>
      </c>
      <c r="B69" t="s">
        <v>129</v>
      </c>
      <c r="C69" t="s">
        <v>32</v>
      </c>
      <c r="E69">
        <v>31.795168719018701</v>
      </c>
      <c r="F69" t="s">
        <v>100</v>
      </c>
      <c r="G69" s="4" t="s">
        <v>17</v>
      </c>
      <c r="H69">
        <v>122</v>
      </c>
      <c r="I69">
        <f t="shared" ref="I69:J69" si="86">I68</f>
        <v>32.958958033648997</v>
      </c>
      <c r="J69">
        <f t="shared" si="86"/>
        <v>0.12109679903155959</v>
      </c>
      <c r="K69">
        <f>I8</f>
        <v>34.295110027678732</v>
      </c>
      <c r="L69">
        <f>I20</f>
        <v>18.114412506029733</v>
      </c>
      <c r="M69">
        <f t="shared" si="82"/>
        <v>-1.3361519940297342</v>
      </c>
      <c r="N69">
        <f t="shared" si="83"/>
        <v>14.844545527619264</v>
      </c>
    </row>
    <row r="70" spans="1:14" x14ac:dyDescent="0.2">
      <c r="A70" t="s">
        <v>101</v>
      </c>
      <c r="B70" t="s">
        <v>129</v>
      </c>
      <c r="C70" t="s">
        <v>32</v>
      </c>
      <c r="D70">
        <v>33.044586401424198</v>
      </c>
      <c r="E70">
        <v>33.044586401424198</v>
      </c>
      <c r="F70" t="s">
        <v>101</v>
      </c>
      <c r="G70" s="4" t="s">
        <v>17</v>
      </c>
      <c r="H70">
        <v>122</v>
      </c>
      <c r="I70">
        <f t="shared" ref="I70:J70" si="87">I68</f>
        <v>32.958958033648997</v>
      </c>
      <c r="J70">
        <f t="shared" si="87"/>
        <v>0.12109679903155959</v>
      </c>
      <c r="K70">
        <f>I8</f>
        <v>34.295110027678732</v>
      </c>
      <c r="L70">
        <f>I20</f>
        <v>18.114412506029733</v>
      </c>
      <c r="M70">
        <f t="shared" si="82"/>
        <v>-1.3361519940297342</v>
      </c>
      <c r="N70">
        <f t="shared" si="83"/>
        <v>14.844545527619264</v>
      </c>
    </row>
    <row r="71" spans="1:14" x14ac:dyDescent="0.2">
      <c r="A71" t="s">
        <v>102</v>
      </c>
      <c r="B71" t="s">
        <v>129</v>
      </c>
      <c r="C71" t="s">
        <v>32</v>
      </c>
      <c r="E71">
        <v>33.340330746859699</v>
      </c>
      <c r="F71" t="s">
        <v>102</v>
      </c>
      <c r="G71" s="1" t="s">
        <v>25</v>
      </c>
      <c r="H71">
        <v>122</v>
      </c>
      <c r="I71">
        <f t="shared" ref="I71" si="88">AVERAGE(D71:D73)</f>
        <v>33.9874049804477</v>
      </c>
      <c r="J71">
        <f t="shared" ref="J71" si="89">STDEV(D71:D73)</f>
        <v>7.7266261511057741E-2</v>
      </c>
      <c r="K71">
        <f>I8</f>
        <v>34.295110027678732</v>
      </c>
      <c r="L71">
        <f>I20</f>
        <v>18.114412506029733</v>
      </c>
      <c r="M71">
        <f t="shared" si="82"/>
        <v>-0.30770504723103187</v>
      </c>
      <c r="N71">
        <f t="shared" si="83"/>
        <v>15.872992474417966</v>
      </c>
    </row>
    <row r="72" spans="1:14" x14ac:dyDescent="0.2">
      <c r="A72" t="s">
        <v>103</v>
      </c>
      <c r="B72" t="s">
        <v>129</v>
      </c>
      <c r="C72" t="s">
        <v>32</v>
      </c>
      <c r="D72">
        <v>34.042040477919102</v>
      </c>
      <c r="E72">
        <v>34.042040477919102</v>
      </c>
      <c r="F72" t="s">
        <v>103</v>
      </c>
      <c r="G72" s="1" t="s">
        <v>25</v>
      </c>
      <c r="H72">
        <v>122</v>
      </c>
      <c r="I72">
        <f t="shared" ref="I72:J73" si="90">I71</f>
        <v>33.9874049804477</v>
      </c>
      <c r="J72">
        <f t="shared" si="90"/>
        <v>7.7266261511057741E-2</v>
      </c>
      <c r="K72">
        <f>I8</f>
        <v>34.295110027678732</v>
      </c>
      <c r="L72">
        <f>I20</f>
        <v>18.114412506029733</v>
      </c>
      <c r="M72">
        <f t="shared" si="82"/>
        <v>-0.30770504723103187</v>
      </c>
      <c r="N72">
        <f t="shared" si="83"/>
        <v>15.872992474417966</v>
      </c>
    </row>
    <row r="73" spans="1:14" x14ac:dyDescent="0.2">
      <c r="A73" t="s">
        <v>104</v>
      </c>
      <c r="B73" t="s">
        <v>129</v>
      </c>
      <c r="C73" t="s">
        <v>32</v>
      </c>
      <c r="D73">
        <v>33.932769482976298</v>
      </c>
      <c r="E73">
        <v>33.932769482976298</v>
      </c>
      <c r="F73" t="s">
        <v>104</v>
      </c>
      <c r="G73" s="1" t="s">
        <v>25</v>
      </c>
      <c r="H73">
        <v>122</v>
      </c>
      <c r="I73">
        <f t="shared" si="90"/>
        <v>33.9874049804477</v>
      </c>
      <c r="J73">
        <f t="shared" ref="J73" si="91">J71</f>
        <v>7.7266261511057741E-2</v>
      </c>
      <c r="K73">
        <f>I8</f>
        <v>34.295110027678732</v>
      </c>
      <c r="L73">
        <f>I20</f>
        <v>18.114412506029733</v>
      </c>
      <c r="M73">
        <f t="shared" si="82"/>
        <v>-0.30770504723103187</v>
      </c>
      <c r="N73">
        <f t="shared" si="83"/>
        <v>15.872992474417966</v>
      </c>
    </row>
    <row r="74" spans="1:14" x14ac:dyDescent="0.2">
      <c r="A74" t="s">
        <v>105</v>
      </c>
      <c r="B74" t="s">
        <v>129</v>
      </c>
      <c r="C74" t="s">
        <v>32</v>
      </c>
      <c r="E74">
        <v>36.362687183602297</v>
      </c>
      <c r="F74" t="s">
        <v>105</v>
      </c>
      <c r="G74" s="4" t="s">
        <v>18</v>
      </c>
      <c r="H74">
        <v>115</v>
      </c>
      <c r="I74">
        <f t="shared" ref="I74" si="92">AVERAGE(D74:D76)</f>
        <v>34.0296055310505</v>
      </c>
      <c r="J74">
        <f>STDEV(D74:D76)</f>
        <v>9.4781781576917679E-3</v>
      </c>
      <c r="K74">
        <f>I2</f>
        <v>34.061193156635255</v>
      </c>
      <c r="L74">
        <f>I14</f>
        <v>19.871490505773068</v>
      </c>
      <c r="M74">
        <f t="shared" si="82"/>
        <v>-3.1587625584755585E-2</v>
      </c>
      <c r="N74">
        <f t="shared" si="83"/>
        <v>14.158115025277432</v>
      </c>
    </row>
    <row r="75" spans="1:14" x14ac:dyDescent="0.2">
      <c r="A75" t="s">
        <v>106</v>
      </c>
      <c r="B75" t="s">
        <v>129</v>
      </c>
      <c r="C75" t="s">
        <v>32</v>
      </c>
      <c r="D75">
        <v>34.022903447001902</v>
      </c>
      <c r="E75">
        <v>34.022903447001902</v>
      </c>
      <c r="F75" t="s">
        <v>106</v>
      </c>
      <c r="G75" s="4" t="s">
        <v>18</v>
      </c>
      <c r="H75">
        <v>115</v>
      </c>
      <c r="I75">
        <f t="shared" ref="I75:J75" si="93">I74</f>
        <v>34.0296055310505</v>
      </c>
      <c r="J75">
        <f t="shared" si="93"/>
        <v>9.4781781576917679E-3</v>
      </c>
      <c r="K75">
        <f>I2</f>
        <v>34.061193156635255</v>
      </c>
      <c r="L75">
        <f>I14</f>
        <v>19.871490505773068</v>
      </c>
      <c r="M75">
        <f t="shared" si="82"/>
        <v>-3.1587625584755585E-2</v>
      </c>
      <c r="N75">
        <f t="shared" si="83"/>
        <v>14.158115025277432</v>
      </c>
    </row>
    <row r="76" spans="1:14" x14ac:dyDescent="0.2">
      <c r="A76" t="s">
        <v>107</v>
      </c>
      <c r="B76" t="s">
        <v>129</v>
      </c>
      <c r="C76" t="s">
        <v>32</v>
      </c>
      <c r="D76">
        <v>34.036307615099098</v>
      </c>
      <c r="E76">
        <v>34.036307615099098</v>
      </c>
      <c r="F76" t="s">
        <v>107</v>
      </c>
      <c r="G76" s="4" t="s">
        <v>18</v>
      </c>
      <c r="H76">
        <v>115</v>
      </c>
      <c r="I76">
        <f t="shared" ref="I76:J76" si="94">I74</f>
        <v>34.0296055310505</v>
      </c>
      <c r="J76">
        <f t="shared" si="94"/>
        <v>9.4781781576917679E-3</v>
      </c>
      <c r="K76">
        <f>I2</f>
        <v>34.061193156635255</v>
      </c>
      <c r="L76">
        <f>I14</f>
        <v>19.871490505773068</v>
      </c>
      <c r="M76">
        <f t="shared" si="82"/>
        <v>-3.1587625584755585E-2</v>
      </c>
      <c r="N76">
        <f t="shared" si="83"/>
        <v>14.158115025277432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34.061193156635255</v>
      </c>
      <c r="L77">
        <f>I14</f>
        <v>19.871490505773068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34.061193156635255</v>
      </c>
      <c r="L78">
        <f>I14</f>
        <v>19.871490505773068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34.061193156635255</v>
      </c>
      <c r="L79">
        <f>I14</f>
        <v>19.871490505773068</v>
      </c>
      <c r="M79" t="e">
        <f t="shared" si="82"/>
        <v>#DIV/0!</v>
      </c>
      <c r="N79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D80" s="17" t="s">
        <v>33</v>
      </c>
      <c r="E80" s="17" t="s">
        <v>33</v>
      </c>
      <c r="F80" s="17" t="s">
        <v>111</v>
      </c>
      <c r="G80" s="20" t="s">
        <v>18</v>
      </c>
      <c r="H80" s="17">
        <v>122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34.295110027678732</v>
      </c>
      <c r="L80" s="17">
        <f>I20</f>
        <v>18.114412506029733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D81" s="17" t="s">
        <v>33</v>
      </c>
      <c r="E81" s="17" t="s">
        <v>33</v>
      </c>
      <c r="F81" s="17" t="s">
        <v>112</v>
      </c>
      <c r="G81" s="20" t="s">
        <v>18</v>
      </c>
      <c r="H81" s="17">
        <v>122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34.295110027678732</v>
      </c>
      <c r="L81" s="17">
        <f>I20</f>
        <v>18.114412506029733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38.228869134756501</v>
      </c>
      <c r="F82" s="17" t="s">
        <v>113</v>
      </c>
      <c r="G82" s="20" t="s">
        <v>18</v>
      </c>
      <c r="H82" s="17">
        <v>122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34.295110027678732</v>
      </c>
      <c r="L82" s="17">
        <f>I20</f>
        <v>18.114412506029733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D83" s="17" t="s">
        <v>33</v>
      </c>
      <c r="E83" s="17" t="s">
        <v>33</v>
      </c>
      <c r="F83" s="17" t="s">
        <v>114</v>
      </c>
      <c r="I83" s="17" t="e">
        <f t="shared" ref="I83" si="103">AVERAGE(D83:D85)</f>
        <v>#DIV/0!</v>
      </c>
      <c r="J83" s="17" t="e">
        <f t="shared" ref="J83" si="104">STDEV(D83:D85)</f>
        <v>#DIV/0!</v>
      </c>
      <c r="K83" s="17">
        <f>I8</f>
        <v>34.295110027678732</v>
      </c>
      <c r="L83" s="17">
        <f>I20</f>
        <v>18.114412506029733</v>
      </c>
      <c r="M83" s="17" t="e">
        <f t="shared" si="82"/>
        <v>#DIV/0!</v>
      </c>
      <c r="N83" s="17" t="e">
        <f t="shared" si="83"/>
        <v>#DIV/0!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D84" s="17" t="s">
        <v>33</v>
      </c>
      <c r="E84" s="17" t="s">
        <v>33</v>
      </c>
      <c r="F84" s="17" t="s">
        <v>115</v>
      </c>
      <c r="I84" s="17" t="e">
        <f t="shared" ref="I84:J85" si="105">I83</f>
        <v>#DIV/0!</v>
      </c>
      <c r="J84" s="17" t="e">
        <f t="shared" si="105"/>
        <v>#DIV/0!</v>
      </c>
      <c r="K84" s="17">
        <f>I8</f>
        <v>34.295110027678732</v>
      </c>
      <c r="L84" s="17">
        <f>I20</f>
        <v>18.114412506029733</v>
      </c>
      <c r="M84" s="17" t="e">
        <f t="shared" si="82"/>
        <v>#DIV/0!</v>
      </c>
      <c r="N84" s="17" t="e">
        <f t="shared" si="83"/>
        <v>#DIV/0!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D85" s="17" t="s">
        <v>33</v>
      </c>
      <c r="E85" s="17" t="s">
        <v>33</v>
      </c>
      <c r="F85" s="17" t="s">
        <v>116</v>
      </c>
      <c r="I85" s="17" t="e">
        <f t="shared" si="105"/>
        <v>#DIV/0!</v>
      </c>
      <c r="J85" s="17" t="e">
        <f t="shared" ref="J85" si="106">J83</f>
        <v>#DIV/0!</v>
      </c>
      <c r="K85" s="17">
        <f>I8</f>
        <v>34.295110027678732</v>
      </c>
      <c r="L85" s="17">
        <f>I20</f>
        <v>18.114412506029733</v>
      </c>
      <c r="M85" s="17" t="e">
        <f t="shared" si="82"/>
        <v>#DIV/0!</v>
      </c>
      <c r="N85" s="17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>
        <v>115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34.061193156635255</v>
      </c>
      <c r="L86" s="17">
        <f>I14</f>
        <v>19.871490505773068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36.807740489116803</v>
      </c>
      <c r="F87" s="17" t="s">
        <v>118</v>
      </c>
      <c r="G87" s="21" t="s">
        <v>19</v>
      </c>
      <c r="H87" s="17">
        <v>115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34.061193156635255</v>
      </c>
      <c r="L87" s="17">
        <f>I14</f>
        <v>19.871490505773068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35.396414176110497</v>
      </c>
      <c r="F88" s="17" t="s">
        <v>119</v>
      </c>
      <c r="G88" s="21" t="s">
        <v>19</v>
      </c>
      <c r="H88" s="17">
        <v>115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34.061193156635255</v>
      </c>
      <c r="L88" s="17">
        <f>I14</f>
        <v>19.871490505773068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D89" s="17" t="s">
        <v>33</v>
      </c>
      <c r="E89" s="17" t="s">
        <v>33</v>
      </c>
      <c r="F89" s="17" t="s">
        <v>120</v>
      </c>
      <c r="I89" s="17" t="e">
        <f t="shared" ref="I89" si="111">AVERAGE(D89:D91)</f>
        <v>#DIV/0!</v>
      </c>
      <c r="J89" s="17" t="e">
        <f t="shared" ref="J89" si="112">STDEV(D89:D91)</f>
        <v>#DIV/0!</v>
      </c>
      <c r="K89" s="17">
        <f>I2</f>
        <v>34.061193156635255</v>
      </c>
      <c r="L89" s="17">
        <f>I14</f>
        <v>19.871490505773068</v>
      </c>
      <c r="M89" s="17" t="e">
        <f t="shared" si="82"/>
        <v>#DIV/0!</v>
      </c>
      <c r="N89" s="17" t="e">
        <f t="shared" si="83"/>
        <v>#DIV/0!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D90" s="17" t="s">
        <v>33</v>
      </c>
      <c r="E90" s="17" t="s">
        <v>33</v>
      </c>
      <c r="F90" s="17" t="s">
        <v>121</v>
      </c>
      <c r="I90" s="17" t="e">
        <f t="shared" ref="I90:J91" si="113">I89</f>
        <v>#DIV/0!</v>
      </c>
      <c r="J90" s="17" t="e">
        <f t="shared" si="113"/>
        <v>#DIV/0!</v>
      </c>
      <c r="K90" s="17">
        <f>I2</f>
        <v>34.061193156635255</v>
      </c>
      <c r="L90" s="17">
        <f>I14</f>
        <v>19.871490505773068</v>
      </c>
      <c r="M90" s="17" t="e">
        <f t="shared" si="82"/>
        <v>#DIV/0!</v>
      </c>
      <c r="N90" s="17" t="e">
        <f t="shared" si="83"/>
        <v>#DIV/0!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D91" s="17" t="s">
        <v>33</v>
      </c>
      <c r="E91" s="17" t="s">
        <v>33</v>
      </c>
      <c r="F91" s="17" t="s">
        <v>122</v>
      </c>
      <c r="I91" s="17" t="e">
        <f t="shared" si="113"/>
        <v>#DIV/0!</v>
      </c>
      <c r="J91" s="17" t="e">
        <f t="shared" ref="J91" si="114">J89</f>
        <v>#DIV/0!</v>
      </c>
      <c r="K91" s="17">
        <f>I2</f>
        <v>34.061193156635255</v>
      </c>
      <c r="L91" s="17">
        <f>I14</f>
        <v>19.871490505773068</v>
      </c>
      <c r="M91" s="17" t="e">
        <f t="shared" si="82"/>
        <v>#DIV/0!</v>
      </c>
      <c r="N91" s="17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 t="s">
        <v>33</v>
      </c>
      <c r="F92" s="17" t="s">
        <v>123</v>
      </c>
      <c r="G92" s="21" t="s">
        <v>19</v>
      </c>
      <c r="H92" s="17">
        <v>122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34.295110027678732</v>
      </c>
      <c r="L92" s="17">
        <f>I20</f>
        <v>18.114412506029733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 t="s">
        <v>33</v>
      </c>
      <c r="F93" s="17" t="s">
        <v>124</v>
      </c>
      <c r="G93" s="21" t="s">
        <v>19</v>
      </c>
      <c r="H93" s="17">
        <v>122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34.295110027678732</v>
      </c>
      <c r="L93" s="17">
        <f>I20</f>
        <v>18.114412506029733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37.6456077494365</v>
      </c>
      <c r="F94" s="17" t="s">
        <v>125</v>
      </c>
      <c r="G94" s="21" t="s">
        <v>19</v>
      </c>
      <c r="H94" s="17">
        <v>122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34.295110027678732</v>
      </c>
      <c r="L94" s="17">
        <f>I20</f>
        <v>18.114412506029733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34.295110027678732</v>
      </c>
      <c r="L95">
        <f>I20</f>
        <v>18.114412506029733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34.295110027678732</v>
      </c>
      <c r="L96">
        <f>I20</f>
        <v>18.114412506029733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34.295110027678732</v>
      </c>
      <c r="L97">
        <f>I20</f>
        <v>18.114412506029733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7" priority="1" operator="greaterThan">
      <formula>0.3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F67F-69F3-FA4E-9643-728631F31FA0}">
  <dimension ref="A1:P97"/>
  <sheetViews>
    <sheetView workbookViewId="0">
      <selection activeCell="Q34" sqref="Q34"/>
    </sheetView>
  </sheetViews>
  <sheetFormatPr baseColWidth="10" defaultRowHeight="16" x14ac:dyDescent="0.2"/>
  <cols>
    <col min="13" max="13" width="12.83203125" bestFit="1" customWidth="1"/>
  </cols>
  <sheetData>
    <row r="1" spans="1:16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6" s="17" customFormat="1" ht="17" thickBot="1" x14ac:dyDescent="0.25">
      <c r="A2" s="17" t="s">
        <v>31</v>
      </c>
      <c r="B2" s="17" t="s">
        <v>129</v>
      </c>
      <c r="C2" s="17" t="s">
        <v>32</v>
      </c>
      <c r="E2" s="17" t="s">
        <v>33</v>
      </c>
      <c r="F2" s="17" t="s">
        <v>31</v>
      </c>
      <c r="G2" s="22" t="s">
        <v>9</v>
      </c>
      <c r="H2" s="17">
        <v>128</v>
      </c>
      <c r="I2" s="17">
        <f>AVERAGE(D2:D4)</f>
        <v>31.79707418599725</v>
      </c>
      <c r="J2" s="17">
        <f>STDEV(D2:D4)</f>
        <v>0.92478616756828047</v>
      </c>
      <c r="K2" s="17">
        <f>I2</f>
        <v>31.79707418599725</v>
      </c>
      <c r="L2" s="17">
        <f>I14</f>
        <v>17.903864183743451</v>
      </c>
      <c r="M2" s="17">
        <f>I2-K2</f>
        <v>0</v>
      </c>
      <c r="N2" s="17">
        <f>I2-L2</f>
        <v>13.893210002253799</v>
      </c>
      <c r="P2" s="17" t="s">
        <v>140</v>
      </c>
    </row>
    <row r="3" spans="1:16" s="17" customFormat="1" ht="17" thickBot="1" x14ac:dyDescent="0.25">
      <c r="A3" s="17" t="s">
        <v>34</v>
      </c>
      <c r="B3" s="17" t="s">
        <v>129</v>
      </c>
      <c r="C3" s="17" t="s">
        <v>32</v>
      </c>
      <c r="D3" s="17">
        <v>31.1431516157622</v>
      </c>
      <c r="E3" s="17">
        <v>31.1431516157622</v>
      </c>
      <c r="F3" s="17" t="s">
        <v>34</v>
      </c>
      <c r="G3" s="22" t="s">
        <v>9</v>
      </c>
      <c r="H3" s="17">
        <v>128</v>
      </c>
      <c r="I3" s="17">
        <f>I2</f>
        <v>31.79707418599725</v>
      </c>
      <c r="J3" s="17">
        <f>J2</f>
        <v>0.92478616756828047</v>
      </c>
      <c r="K3" s="17">
        <f>I2</f>
        <v>31.79707418599725</v>
      </c>
      <c r="L3" s="17">
        <f>I14</f>
        <v>17.903864183743451</v>
      </c>
      <c r="M3" s="17">
        <f t="shared" ref="M3:M66" si="0">I3-K3</f>
        <v>0</v>
      </c>
      <c r="N3" s="17">
        <f t="shared" ref="N3:N66" si="1">I3-L3</f>
        <v>13.893210002253799</v>
      </c>
    </row>
    <row r="4" spans="1:16" s="17" customFormat="1" ht="17" thickBot="1" x14ac:dyDescent="0.25">
      <c r="A4" s="17" t="s">
        <v>35</v>
      </c>
      <c r="B4" s="17" t="s">
        <v>129</v>
      </c>
      <c r="C4" s="17" t="s">
        <v>32</v>
      </c>
      <c r="D4" s="17">
        <v>32.4509967562323</v>
      </c>
      <c r="E4" s="17">
        <v>32.4509967562323</v>
      </c>
      <c r="F4" s="17" t="s">
        <v>35</v>
      </c>
      <c r="G4" s="22" t="s">
        <v>9</v>
      </c>
      <c r="H4" s="17">
        <v>128</v>
      </c>
      <c r="I4" s="17">
        <f>I2</f>
        <v>31.79707418599725</v>
      </c>
      <c r="J4" s="17">
        <f>J2</f>
        <v>0.92478616756828047</v>
      </c>
      <c r="K4" s="17">
        <f>I2</f>
        <v>31.79707418599725</v>
      </c>
      <c r="L4" s="17">
        <f>I14</f>
        <v>17.903864183743451</v>
      </c>
      <c r="M4" s="17">
        <f t="shared" si="0"/>
        <v>0</v>
      </c>
      <c r="N4" s="17">
        <f t="shared" si="1"/>
        <v>13.893210002253799</v>
      </c>
    </row>
    <row r="5" spans="1:16" s="17" customFormat="1" ht="17" thickBot="1" x14ac:dyDescent="0.25">
      <c r="A5" s="17" t="s">
        <v>36</v>
      </c>
      <c r="B5" s="17" t="s">
        <v>129</v>
      </c>
      <c r="C5" s="17" t="s">
        <v>32</v>
      </c>
      <c r="E5" s="17">
        <v>35.299821925468798</v>
      </c>
      <c r="F5" s="17" t="s">
        <v>36</v>
      </c>
      <c r="G5" s="18" t="s">
        <v>20</v>
      </c>
      <c r="H5" s="17">
        <v>128</v>
      </c>
      <c r="I5" s="17" t="e">
        <f>AVERAGE(D5:D7)</f>
        <v>#DIV/0!</v>
      </c>
      <c r="J5" s="17" t="e">
        <f>STDEV(D5:D7)</f>
        <v>#DIV/0!</v>
      </c>
      <c r="K5" s="17">
        <f>I2</f>
        <v>31.79707418599725</v>
      </c>
      <c r="L5" s="17">
        <f>I14</f>
        <v>17.903864183743451</v>
      </c>
      <c r="M5" s="17" t="e">
        <f t="shared" si="0"/>
        <v>#DIV/0!</v>
      </c>
      <c r="N5" s="17" t="e">
        <f t="shared" si="1"/>
        <v>#DIV/0!</v>
      </c>
    </row>
    <row r="6" spans="1:16" s="17" customFormat="1" ht="17" thickBot="1" x14ac:dyDescent="0.25">
      <c r="A6" s="17" t="s">
        <v>37</v>
      </c>
      <c r="B6" s="17" t="s">
        <v>129</v>
      </c>
      <c r="C6" s="17" t="s">
        <v>32</v>
      </c>
      <c r="E6" s="17">
        <v>31.761041348166401</v>
      </c>
      <c r="F6" s="17" t="s">
        <v>37</v>
      </c>
      <c r="G6" s="18" t="s">
        <v>20</v>
      </c>
      <c r="H6" s="17">
        <v>128</v>
      </c>
      <c r="I6" s="17" t="e">
        <f>I5</f>
        <v>#DIV/0!</v>
      </c>
      <c r="J6" s="17" t="e">
        <f>J5</f>
        <v>#DIV/0!</v>
      </c>
      <c r="K6" s="17">
        <f>I2</f>
        <v>31.79707418599725</v>
      </c>
      <c r="L6" s="17">
        <f>I14</f>
        <v>17.903864183743451</v>
      </c>
      <c r="M6" s="17" t="e">
        <f t="shared" si="0"/>
        <v>#DIV/0!</v>
      </c>
      <c r="N6" s="17" t="e">
        <f t="shared" si="1"/>
        <v>#DIV/0!</v>
      </c>
    </row>
    <row r="7" spans="1:16" s="17" customFormat="1" ht="17" thickBot="1" x14ac:dyDescent="0.25">
      <c r="A7" s="17" t="s">
        <v>38</v>
      </c>
      <c r="B7" s="17" t="s">
        <v>129</v>
      </c>
      <c r="C7" s="17" t="s">
        <v>32</v>
      </c>
      <c r="E7" s="17">
        <v>33.8899948038435</v>
      </c>
      <c r="F7" s="17" t="s">
        <v>38</v>
      </c>
      <c r="G7" s="18" t="s">
        <v>20</v>
      </c>
      <c r="H7" s="17">
        <v>128</v>
      </c>
      <c r="I7" s="17" t="e">
        <f>I6</f>
        <v>#DIV/0!</v>
      </c>
      <c r="J7" s="17" t="e">
        <f>J5</f>
        <v>#DIV/0!</v>
      </c>
      <c r="K7" s="17">
        <f>I2</f>
        <v>31.79707418599725</v>
      </c>
      <c r="L7" s="17">
        <f>I14</f>
        <v>17.903864183743451</v>
      </c>
      <c r="M7" s="17" t="e">
        <f t="shared" si="0"/>
        <v>#DIV/0!</v>
      </c>
      <c r="N7" s="17" t="e">
        <f t="shared" si="1"/>
        <v>#DIV/0!</v>
      </c>
    </row>
    <row r="8" spans="1:16" s="17" customFormat="1" ht="17" thickBot="1" x14ac:dyDescent="0.25">
      <c r="A8" s="17" t="s">
        <v>39</v>
      </c>
      <c r="B8" s="17" t="s">
        <v>129</v>
      </c>
      <c r="C8" s="17" t="s">
        <v>32</v>
      </c>
      <c r="E8" s="17">
        <v>28.2828533180211</v>
      </c>
      <c r="F8" s="17" t="s">
        <v>39</v>
      </c>
      <c r="G8" s="22" t="s">
        <v>9</v>
      </c>
      <c r="H8" s="17">
        <v>129</v>
      </c>
      <c r="I8" s="17" t="e">
        <f t="shared" ref="I8" si="2">AVERAGE(D8:D10)</f>
        <v>#DIV/0!</v>
      </c>
      <c r="J8" s="17" t="e">
        <f t="shared" ref="J8" si="3">STDEV(D8:D10)</f>
        <v>#DIV/0!</v>
      </c>
      <c r="K8" s="17" t="e">
        <f>I8</f>
        <v>#DIV/0!</v>
      </c>
      <c r="L8" s="17">
        <f>I20</f>
        <v>17.915092727119351</v>
      </c>
      <c r="M8" s="17" t="e">
        <f t="shared" si="0"/>
        <v>#DIV/0!</v>
      </c>
      <c r="N8" s="17" t="e">
        <f t="shared" si="1"/>
        <v>#DIV/0!</v>
      </c>
    </row>
    <row r="9" spans="1:16" s="17" customFormat="1" ht="17" thickBot="1" x14ac:dyDescent="0.25">
      <c r="A9" s="17" t="s">
        <v>40</v>
      </c>
      <c r="B9" s="17" t="s">
        <v>129</v>
      </c>
      <c r="C9" s="17" t="s">
        <v>32</v>
      </c>
      <c r="E9" s="17">
        <v>34.231561899124301</v>
      </c>
      <c r="F9" s="17" t="s">
        <v>40</v>
      </c>
      <c r="G9" s="22" t="s">
        <v>9</v>
      </c>
      <c r="H9" s="17">
        <v>129</v>
      </c>
      <c r="I9" s="17" t="e">
        <f t="shared" ref="I9:J9" si="4">I8</f>
        <v>#DIV/0!</v>
      </c>
      <c r="J9" s="17" t="e">
        <f t="shared" si="4"/>
        <v>#DIV/0!</v>
      </c>
      <c r="K9" s="17" t="e">
        <f>I8</f>
        <v>#DIV/0!</v>
      </c>
      <c r="L9" s="17">
        <f>I20</f>
        <v>17.915092727119351</v>
      </c>
      <c r="M9" s="17" t="e">
        <f t="shared" si="0"/>
        <v>#DIV/0!</v>
      </c>
      <c r="N9" s="17" t="e">
        <f t="shared" si="1"/>
        <v>#DIV/0!</v>
      </c>
    </row>
    <row r="10" spans="1:16" s="17" customFormat="1" ht="17" thickBot="1" x14ac:dyDescent="0.25">
      <c r="A10" s="17" t="s">
        <v>41</v>
      </c>
      <c r="B10" s="17" t="s">
        <v>129</v>
      </c>
      <c r="C10" s="17" t="s">
        <v>32</v>
      </c>
      <c r="E10" s="17">
        <v>23.057972446688101</v>
      </c>
      <c r="F10" s="17" t="s">
        <v>41</v>
      </c>
      <c r="G10" s="22" t="s">
        <v>9</v>
      </c>
      <c r="H10" s="17">
        <v>129</v>
      </c>
      <c r="I10" s="17" t="e">
        <f t="shared" ref="I10:J10" si="5">I8</f>
        <v>#DIV/0!</v>
      </c>
      <c r="J10" s="17" t="e">
        <f t="shared" si="5"/>
        <v>#DIV/0!</v>
      </c>
      <c r="K10" s="17" t="e">
        <f>I8</f>
        <v>#DIV/0!</v>
      </c>
      <c r="L10" s="17">
        <f>I20</f>
        <v>17.915092727119351</v>
      </c>
      <c r="M10" s="17" t="e">
        <f t="shared" si="0"/>
        <v>#DIV/0!</v>
      </c>
      <c r="N10" s="17" t="e">
        <f t="shared" si="1"/>
        <v>#DIV/0!</v>
      </c>
    </row>
    <row r="11" spans="1:16" s="17" customFormat="1" ht="17" thickBot="1" x14ac:dyDescent="0.25">
      <c r="A11" s="17" t="s">
        <v>42</v>
      </c>
      <c r="B11" s="17" t="s">
        <v>129</v>
      </c>
      <c r="C11" s="17" t="s">
        <v>32</v>
      </c>
      <c r="E11" s="17" t="s">
        <v>33</v>
      </c>
      <c r="F11" s="17" t="s">
        <v>42</v>
      </c>
      <c r="G11" s="18" t="s">
        <v>20</v>
      </c>
      <c r="H11" s="17">
        <v>129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 t="e">
        <f>I8</f>
        <v>#DIV/0!</v>
      </c>
      <c r="L11" s="17">
        <f>I20</f>
        <v>17.915092727119351</v>
      </c>
      <c r="M11" s="17" t="e">
        <f t="shared" si="0"/>
        <v>#DIV/0!</v>
      </c>
      <c r="N11" s="17" t="e">
        <f t="shared" si="1"/>
        <v>#DIV/0!</v>
      </c>
    </row>
    <row r="12" spans="1:16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129</v>
      </c>
      <c r="I12" s="17" t="e">
        <f t="shared" ref="I12:J13" si="8">I11</f>
        <v>#DIV/0!</v>
      </c>
      <c r="J12" s="17" t="e">
        <f t="shared" si="8"/>
        <v>#DIV/0!</v>
      </c>
      <c r="K12" s="17" t="e">
        <f>I8</f>
        <v>#DIV/0!</v>
      </c>
      <c r="L12" s="17">
        <f>I20</f>
        <v>17.915092727119351</v>
      </c>
      <c r="M12" s="17" t="e">
        <f t="shared" si="0"/>
        <v>#DIV/0!</v>
      </c>
      <c r="N12" s="17" t="e">
        <f t="shared" si="1"/>
        <v>#DIV/0!</v>
      </c>
    </row>
    <row r="13" spans="1:16" s="17" customFormat="1" x14ac:dyDescent="0.2">
      <c r="A13" s="17" t="s">
        <v>44</v>
      </c>
      <c r="B13" s="17" t="s">
        <v>129</v>
      </c>
      <c r="C13" s="17" t="s">
        <v>32</v>
      </c>
      <c r="E13" s="17">
        <v>39.257933894731302</v>
      </c>
      <c r="F13" s="17" t="s">
        <v>44</v>
      </c>
      <c r="G13" s="18" t="s">
        <v>20</v>
      </c>
      <c r="H13" s="17">
        <v>129</v>
      </c>
      <c r="I13" s="17" t="e">
        <f t="shared" si="8"/>
        <v>#DIV/0!</v>
      </c>
      <c r="J13" s="17" t="e">
        <f t="shared" ref="J13" si="9">J11</f>
        <v>#DIV/0!</v>
      </c>
      <c r="K13" s="17" t="e">
        <f>I8</f>
        <v>#DIV/0!</v>
      </c>
      <c r="L13" s="17">
        <f>I20</f>
        <v>17.915092727119351</v>
      </c>
      <c r="M13" s="17" t="e">
        <f t="shared" si="0"/>
        <v>#DIV/0!</v>
      </c>
      <c r="N13" s="17" t="e">
        <f t="shared" si="1"/>
        <v>#DIV/0!</v>
      </c>
    </row>
    <row r="14" spans="1:16" x14ac:dyDescent="0.2">
      <c r="A14" t="s">
        <v>45</v>
      </c>
      <c r="B14" t="s">
        <v>129</v>
      </c>
      <c r="C14" t="s">
        <v>32</v>
      </c>
      <c r="E14" t="s">
        <v>33</v>
      </c>
      <c r="F14" t="s">
        <v>45</v>
      </c>
      <c r="G14" s="11" t="s">
        <v>8</v>
      </c>
      <c r="H14">
        <v>128</v>
      </c>
      <c r="I14">
        <f t="shared" ref="I14" si="10">AVERAGE(D14:D16)</f>
        <v>17.903864183743451</v>
      </c>
      <c r="J14">
        <f t="shared" ref="J14" si="11">STDEV(D14:D16)</f>
        <v>0.11194467373120451</v>
      </c>
      <c r="K14">
        <f>I2</f>
        <v>31.79707418599725</v>
      </c>
      <c r="L14">
        <f>I14</f>
        <v>17.903864183743451</v>
      </c>
      <c r="M14">
        <f t="shared" si="0"/>
        <v>-13.893210002253799</v>
      </c>
      <c r="N14">
        <f t="shared" si="1"/>
        <v>0</v>
      </c>
    </row>
    <row r="15" spans="1:16" x14ac:dyDescent="0.2">
      <c r="A15" t="s">
        <v>46</v>
      </c>
      <c r="B15" t="s">
        <v>129</v>
      </c>
      <c r="C15" t="s">
        <v>32</v>
      </c>
      <c r="D15">
        <v>17.824707345830401</v>
      </c>
      <c r="E15">
        <v>17.824707345830401</v>
      </c>
      <c r="F15" t="s">
        <v>46</v>
      </c>
      <c r="G15" s="11" t="s">
        <v>8</v>
      </c>
      <c r="H15">
        <v>128</v>
      </c>
      <c r="I15">
        <f t="shared" ref="I15:J15" si="12">I14</f>
        <v>17.903864183743451</v>
      </c>
      <c r="J15">
        <f t="shared" si="12"/>
        <v>0.11194467373120451</v>
      </c>
      <c r="K15">
        <f>I2</f>
        <v>31.79707418599725</v>
      </c>
      <c r="L15">
        <f>I14</f>
        <v>17.903864183743451</v>
      </c>
      <c r="M15">
        <f t="shared" si="0"/>
        <v>-13.893210002253799</v>
      </c>
      <c r="N15">
        <f t="shared" si="1"/>
        <v>0</v>
      </c>
    </row>
    <row r="16" spans="1:16" x14ac:dyDescent="0.2">
      <c r="A16" t="s">
        <v>47</v>
      </c>
      <c r="B16" t="s">
        <v>129</v>
      </c>
      <c r="C16" t="s">
        <v>32</v>
      </c>
      <c r="D16">
        <v>17.983021021656501</v>
      </c>
      <c r="E16">
        <v>17.983021021656501</v>
      </c>
      <c r="F16" t="s">
        <v>47</v>
      </c>
      <c r="G16" s="11" t="s">
        <v>8</v>
      </c>
      <c r="H16">
        <v>128</v>
      </c>
      <c r="I16">
        <f t="shared" ref="I16:J16" si="13">I14</f>
        <v>17.903864183743451</v>
      </c>
      <c r="J16">
        <f t="shared" si="13"/>
        <v>0.11194467373120451</v>
      </c>
      <c r="K16">
        <f>I2</f>
        <v>31.79707418599725</v>
      </c>
      <c r="L16">
        <f>I14</f>
        <v>17.903864183743451</v>
      </c>
      <c r="M16">
        <f t="shared" si="0"/>
        <v>-13.893210002253799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31.1867678662374</v>
      </c>
      <c r="E17">
        <v>31.1867678662374</v>
      </c>
      <c r="F17" t="s">
        <v>48</v>
      </c>
      <c r="G17" s="1" t="s">
        <v>21</v>
      </c>
      <c r="H17">
        <v>128</v>
      </c>
      <c r="I17">
        <f t="shared" ref="I17" si="14">AVERAGE(D17:D19)</f>
        <v>30.931305021116849</v>
      </c>
      <c r="J17">
        <f t="shared" ref="J17" si="15">STDEV(D17:D19)</f>
        <v>0.36127902025189812</v>
      </c>
      <c r="K17">
        <f>I2</f>
        <v>31.79707418599725</v>
      </c>
      <c r="L17">
        <f>I14</f>
        <v>17.903864183743451</v>
      </c>
      <c r="M17">
        <f t="shared" si="0"/>
        <v>-0.86576916488040112</v>
      </c>
      <c r="N17">
        <f t="shared" si="1"/>
        <v>13.027440837373398</v>
      </c>
    </row>
    <row r="18" spans="1:14" x14ac:dyDescent="0.2">
      <c r="A18" t="s">
        <v>49</v>
      </c>
      <c r="B18" t="s">
        <v>129</v>
      </c>
      <c r="C18" t="s">
        <v>32</v>
      </c>
      <c r="E18">
        <v>31.417117152788599</v>
      </c>
      <c r="F18" t="s">
        <v>49</v>
      </c>
      <c r="G18" s="1" t="s">
        <v>21</v>
      </c>
      <c r="H18">
        <v>128</v>
      </c>
      <c r="I18">
        <f t="shared" ref="I18:J19" si="16">I17</f>
        <v>30.931305021116849</v>
      </c>
      <c r="J18">
        <f t="shared" si="16"/>
        <v>0.36127902025189812</v>
      </c>
      <c r="K18">
        <f>I2</f>
        <v>31.79707418599725</v>
      </c>
      <c r="L18">
        <f>I14</f>
        <v>17.903864183743451</v>
      </c>
      <c r="M18">
        <f t="shared" si="0"/>
        <v>-0.86576916488040112</v>
      </c>
      <c r="N18">
        <f t="shared" si="1"/>
        <v>13.027440837373398</v>
      </c>
    </row>
    <row r="19" spans="1:14" x14ac:dyDescent="0.2">
      <c r="A19" t="s">
        <v>50</v>
      </c>
      <c r="B19" t="s">
        <v>129</v>
      </c>
      <c r="C19" t="s">
        <v>32</v>
      </c>
      <c r="D19">
        <v>30.675842175996301</v>
      </c>
      <c r="E19">
        <v>30.675842175996301</v>
      </c>
      <c r="F19" t="s">
        <v>50</v>
      </c>
      <c r="G19" s="1" t="s">
        <v>21</v>
      </c>
      <c r="H19">
        <v>128</v>
      </c>
      <c r="I19">
        <f t="shared" si="16"/>
        <v>30.931305021116849</v>
      </c>
      <c r="J19">
        <f t="shared" ref="J19" si="17">J17</f>
        <v>0.36127902025189812</v>
      </c>
      <c r="K19">
        <f>I2</f>
        <v>31.79707418599725</v>
      </c>
      <c r="L19">
        <f>I14</f>
        <v>17.903864183743451</v>
      </c>
      <c r="M19">
        <f t="shared" si="0"/>
        <v>-0.86576916488040112</v>
      </c>
      <c r="N19">
        <f t="shared" si="1"/>
        <v>13.027440837373398</v>
      </c>
    </row>
    <row r="20" spans="1:14" x14ac:dyDescent="0.2">
      <c r="A20" t="s">
        <v>51</v>
      </c>
      <c r="B20" t="s">
        <v>129</v>
      </c>
      <c r="C20" t="s">
        <v>32</v>
      </c>
      <c r="D20">
        <v>18.1890442349656</v>
      </c>
      <c r="E20">
        <v>18.1890442349656</v>
      </c>
      <c r="F20" t="s">
        <v>51</v>
      </c>
      <c r="G20" s="11" t="s">
        <v>8</v>
      </c>
      <c r="H20">
        <v>129</v>
      </c>
      <c r="I20">
        <f t="shared" ref="I20" si="18">AVERAGE(D20:D22)</f>
        <v>17.915092727119351</v>
      </c>
      <c r="J20">
        <f t="shared" ref="J20" si="19">STDEV(D20:D22)</f>
        <v>0.38742593782872708</v>
      </c>
      <c r="K20" t="e">
        <f>I8</f>
        <v>#DIV/0!</v>
      </c>
      <c r="L20">
        <f>I20</f>
        <v>17.915092727119351</v>
      </c>
      <c r="M20" t="e">
        <f t="shared" si="0"/>
        <v>#DIV/0!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17.641141219273099</v>
      </c>
      <c r="E21">
        <v>17.641141219273099</v>
      </c>
      <c r="F21" t="s">
        <v>52</v>
      </c>
      <c r="G21" s="11" t="s">
        <v>8</v>
      </c>
      <c r="H21">
        <v>129</v>
      </c>
      <c r="I21">
        <f t="shared" ref="I21:J21" si="20">I20</f>
        <v>17.915092727119351</v>
      </c>
      <c r="J21">
        <f t="shared" si="20"/>
        <v>0.38742593782872708</v>
      </c>
      <c r="K21" t="e">
        <f>I8</f>
        <v>#DIV/0!</v>
      </c>
      <c r="L21">
        <f>I20</f>
        <v>17.915092727119351</v>
      </c>
      <c r="M21" t="e">
        <f t="shared" si="0"/>
        <v>#DIV/0!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E22">
        <v>18.797701324095399</v>
      </c>
      <c r="F22" t="s">
        <v>53</v>
      </c>
      <c r="G22" s="11" t="s">
        <v>8</v>
      </c>
      <c r="H22">
        <v>129</v>
      </c>
      <c r="I22">
        <f t="shared" ref="I22:J22" si="21">I20</f>
        <v>17.915092727119351</v>
      </c>
      <c r="J22">
        <f t="shared" si="21"/>
        <v>0.38742593782872708</v>
      </c>
      <c r="K22" t="e">
        <f>I8</f>
        <v>#DIV/0!</v>
      </c>
      <c r="L22">
        <f>I20</f>
        <v>17.915092727119351</v>
      </c>
      <c r="M22" t="e">
        <f t="shared" si="0"/>
        <v>#DIV/0!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34.785760856956699</v>
      </c>
      <c r="F23" s="17" t="s">
        <v>54</v>
      </c>
      <c r="G23" s="19" t="s">
        <v>21</v>
      </c>
      <c r="H23" s="17">
        <v>129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 t="e">
        <f>I8</f>
        <v>#DIV/0!</v>
      </c>
      <c r="L23" s="17">
        <f>I20</f>
        <v>17.915092727119351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39.829125068354898</v>
      </c>
      <c r="F24" s="17" t="s">
        <v>55</v>
      </c>
      <c r="G24" s="19" t="s">
        <v>21</v>
      </c>
      <c r="H24" s="17">
        <v>129</v>
      </c>
      <c r="I24" s="17" t="e">
        <f t="shared" ref="I24:J25" si="24">I23</f>
        <v>#DIV/0!</v>
      </c>
      <c r="J24" s="17" t="e">
        <f t="shared" si="24"/>
        <v>#DIV/0!</v>
      </c>
      <c r="K24" s="17" t="e">
        <f>I8</f>
        <v>#DIV/0!</v>
      </c>
      <c r="L24" s="17">
        <f>I20</f>
        <v>17.915092727119351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17.762628821878</v>
      </c>
      <c r="F25" s="17" t="s">
        <v>56</v>
      </c>
      <c r="G25" s="19" t="s">
        <v>21</v>
      </c>
      <c r="H25" s="17">
        <v>129</v>
      </c>
      <c r="I25" s="17" t="e">
        <f t="shared" si="24"/>
        <v>#DIV/0!</v>
      </c>
      <c r="J25" s="17" t="e">
        <f t="shared" ref="J25" si="25">J23</f>
        <v>#DIV/0!</v>
      </c>
      <c r="K25" s="17" t="e">
        <f>I8</f>
        <v>#DIV/0!</v>
      </c>
      <c r="L25" s="17">
        <f>I20</f>
        <v>17.915092727119351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D26">
        <v>31.2090479725933</v>
      </c>
      <c r="E26">
        <v>31.2090479725933</v>
      </c>
      <c r="F26" t="s">
        <v>57</v>
      </c>
      <c r="G26" s="4" t="s">
        <v>14</v>
      </c>
      <c r="H26">
        <v>128</v>
      </c>
      <c r="I26">
        <f t="shared" ref="I26" si="26">AVERAGE(D26:D28)</f>
        <v>31.58367831731875</v>
      </c>
      <c r="J26">
        <f t="shared" ref="J26" si="27">STDEV(D26:D28)</f>
        <v>0.52980731438723894</v>
      </c>
      <c r="K26">
        <f>I2</f>
        <v>31.79707418599725</v>
      </c>
      <c r="L26">
        <f>I14</f>
        <v>17.903864183743451</v>
      </c>
      <c r="M26">
        <f t="shared" si="0"/>
        <v>-0.21339586867850002</v>
      </c>
      <c r="N26">
        <f t="shared" si="1"/>
        <v>13.679814133575299</v>
      </c>
    </row>
    <row r="27" spans="1:14" x14ac:dyDescent="0.2">
      <c r="A27" t="s">
        <v>58</v>
      </c>
      <c r="B27" t="s">
        <v>129</v>
      </c>
      <c r="C27" t="s">
        <v>32</v>
      </c>
      <c r="D27">
        <v>31.9583086620442</v>
      </c>
      <c r="E27">
        <v>31.9583086620442</v>
      </c>
      <c r="F27" t="s">
        <v>58</v>
      </c>
      <c r="G27" s="4" t="s">
        <v>14</v>
      </c>
      <c r="H27">
        <v>128</v>
      </c>
      <c r="I27">
        <f t="shared" ref="I27:J27" si="28">I26</f>
        <v>31.58367831731875</v>
      </c>
      <c r="J27">
        <f t="shared" si="28"/>
        <v>0.52980731438723894</v>
      </c>
      <c r="K27">
        <f>I2</f>
        <v>31.79707418599725</v>
      </c>
      <c r="L27">
        <f>I14</f>
        <v>17.903864183743451</v>
      </c>
      <c r="M27">
        <f t="shared" si="0"/>
        <v>-0.21339586867850002</v>
      </c>
      <c r="N27">
        <f t="shared" si="1"/>
        <v>13.679814133575299</v>
      </c>
    </row>
    <row r="28" spans="1:14" x14ac:dyDescent="0.2">
      <c r="A28" t="s">
        <v>59</v>
      </c>
      <c r="B28" t="s">
        <v>129</v>
      </c>
      <c r="C28" t="s">
        <v>32</v>
      </c>
      <c r="E28">
        <v>30.235180601199399</v>
      </c>
      <c r="F28" t="s">
        <v>59</v>
      </c>
      <c r="G28" s="4" t="s">
        <v>14</v>
      </c>
      <c r="H28">
        <v>128</v>
      </c>
      <c r="I28">
        <f t="shared" ref="I28:J28" si="29">I26</f>
        <v>31.58367831731875</v>
      </c>
      <c r="J28">
        <f t="shared" si="29"/>
        <v>0.52980731438723894</v>
      </c>
      <c r="K28">
        <f>I2</f>
        <v>31.79707418599725</v>
      </c>
      <c r="L28">
        <f>I14</f>
        <v>17.903864183743451</v>
      </c>
      <c r="M28">
        <f t="shared" si="0"/>
        <v>-0.21339586867850002</v>
      </c>
      <c r="N28">
        <f t="shared" si="1"/>
        <v>13.679814133575299</v>
      </c>
    </row>
    <row r="29" spans="1:14" x14ac:dyDescent="0.2">
      <c r="A29" t="s">
        <v>60</v>
      </c>
      <c r="B29" t="s">
        <v>129</v>
      </c>
      <c r="C29" t="s">
        <v>32</v>
      </c>
      <c r="E29">
        <v>32.086742211418702</v>
      </c>
      <c r="F29" t="s">
        <v>60</v>
      </c>
      <c r="G29" s="1" t="s">
        <v>23</v>
      </c>
      <c r="H29">
        <v>128</v>
      </c>
      <c r="I29">
        <f t="shared" ref="I29" si="30">AVERAGE(D29:D31)</f>
        <v>31.307305611099601</v>
      </c>
      <c r="J29">
        <f t="shared" ref="J29" si="31">STDEV(D29:D31)</f>
        <v>0.23641127282174723</v>
      </c>
      <c r="K29">
        <f>I2</f>
        <v>31.79707418599725</v>
      </c>
      <c r="L29">
        <f>I14</f>
        <v>17.903864183743451</v>
      </c>
      <c r="M29">
        <f t="shared" si="0"/>
        <v>-0.48976857489764924</v>
      </c>
      <c r="N29">
        <f t="shared" si="1"/>
        <v>13.40344142735615</v>
      </c>
    </row>
    <row r="30" spans="1:14" x14ac:dyDescent="0.2">
      <c r="A30" t="s">
        <v>61</v>
      </c>
      <c r="B30" t="s">
        <v>129</v>
      </c>
      <c r="C30" t="s">
        <v>32</v>
      </c>
      <c r="D30">
        <v>31.140137596938398</v>
      </c>
      <c r="E30">
        <v>31.140137596938398</v>
      </c>
      <c r="F30" t="s">
        <v>61</v>
      </c>
      <c r="G30" s="1" t="s">
        <v>23</v>
      </c>
      <c r="H30">
        <v>128</v>
      </c>
      <c r="I30">
        <f t="shared" ref="I30:J31" si="32">I29</f>
        <v>31.307305611099601</v>
      </c>
      <c r="J30">
        <f t="shared" si="32"/>
        <v>0.23641127282174723</v>
      </c>
      <c r="K30">
        <f>I2</f>
        <v>31.79707418599725</v>
      </c>
      <c r="L30">
        <f>I14</f>
        <v>17.903864183743451</v>
      </c>
      <c r="M30">
        <f t="shared" si="0"/>
        <v>-0.48976857489764924</v>
      </c>
      <c r="N30">
        <f t="shared" si="1"/>
        <v>13.40344142735615</v>
      </c>
    </row>
    <row r="31" spans="1:14" x14ac:dyDescent="0.2">
      <c r="A31" t="s">
        <v>62</v>
      </c>
      <c r="B31" t="s">
        <v>129</v>
      </c>
      <c r="C31" t="s">
        <v>32</v>
      </c>
      <c r="D31">
        <v>31.474473625260799</v>
      </c>
      <c r="E31">
        <v>31.474473625260799</v>
      </c>
      <c r="F31" t="s">
        <v>62</v>
      </c>
      <c r="G31" s="1" t="s">
        <v>23</v>
      </c>
      <c r="H31">
        <v>128</v>
      </c>
      <c r="I31">
        <f t="shared" si="32"/>
        <v>31.307305611099601</v>
      </c>
      <c r="J31">
        <f t="shared" ref="J31" si="33">J29</f>
        <v>0.23641127282174723</v>
      </c>
      <c r="K31">
        <f>I2</f>
        <v>31.79707418599725</v>
      </c>
      <c r="L31">
        <f>I14</f>
        <v>17.903864183743451</v>
      </c>
      <c r="M31">
        <f t="shared" si="0"/>
        <v>-0.48976857489764924</v>
      </c>
      <c r="N31">
        <f t="shared" si="1"/>
        <v>13.40344142735615</v>
      </c>
    </row>
    <row r="32" spans="1:14" x14ac:dyDescent="0.2">
      <c r="A32" t="s">
        <v>63</v>
      </c>
      <c r="B32" t="s">
        <v>129</v>
      </c>
      <c r="C32" t="s">
        <v>32</v>
      </c>
      <c r="D32">
        <v>33.431594151848998</v>
      </c>
      <c r="E32">
        <v>33.431594151848998</v>
      </c>
      <c r="F32" t="s">
        <v>63</v>
      </c>
      <c r="G32" s="4" t="s">
        <v>14</v>
      </c>
      <c r="H32">
        <v>129</v>
      </c>
      <c r="I32">
        <f t="shared" ref="I32" si="34">AVERAGE(D32:D34)</f>
        <v>33.280082961785233</v>
      </c>
      <c r="J32">
        <f t="shared" ref="J32" si="35">STDEV(D32:D34)</f>
        <v>0.21220293411532021</v>
      </c>
      <c r="K32" t="e">
        <f>I8</f>
        <v>#DIV/0!</v>
      </c>
      <c r="L32">
        <f>I20</f>
        <v>17.915092727119351</v>
      </c>
      <c r="M32" t="e">
        <f t="shared" si="0"/>
        <v>#DIV/0!</v>
      </c>
      <c r="N32">
        <f t="shared" si="1"/>
        <v>15.364990234665882</v>
      </c>
    </row>
    <row r="33" spans="1:14" x14ac:dyDescent="0.2">
      <c r="A33" t="s">
        <v>64</v>
      </c>
      <c r="B33" t="s">
        <v>129</v>
      </c>
      <c r="C33" t="s">
        <v>32</v>
      </c>
      <c r="D33">
        <v>33.371100730067901</v>
      </c>
      <c r="E33">
        <v>33.371100730067901</v>
      </c>
      <c r="F33" t="s">
        <v>64</v>
      </c>
      <c r="G33" s="4" t="s">
        <v>14</v>
      </c>
      <c r="H33">
        <v>129</v>
      </c>
      <c r="I33">
        <f t="shared" ref="I33:J33" si="36">I32</f>
        <v>33.280082961785233</v>
      </c>
      <c r="J33">
        <f t="shared" si="36"/>
        <v>0.21220293411532021</v>
      </c>
      <c r="K33" t="e">
        <f>I8</f>
        <v>#DIV/0!</v>
      </c>
      <c r="L33">
        <f>I20</f>
        <v>17.915092727119351</v>
      </c>
      <c r="M33" t="e">
        <f t="shared" si="0"/>
        <v>#DIV/0!</v>
      </c>
      <c r="N33">
        <f t="shared" si="1"/>
        <v>15.364990234665882</v>
      </c>
    </row>
    <row r="34" spans="1:14" x14ac:dyDescent="0.2">
      <c r="A34" t="s">
        <v>65</v>
      </c>
      <c r="B34" t="s">
        <v>129</v>
      </c>
      <c r="C34" t="s">
        <v>32</v>
      </c>
      <c r="D34">
        <v>33.0375540034388</v>
      </c>
      <c r="E34">
        <v>33.0375540034388</v>
      </c>
      <c r="F34" t="s">
        <v>65</v>
      </c>
      <c r="G34" s="4" t="s">
        <v>14</v>
      </c>
      <c r="H34">
        <v>129</v>
      </c>
      <c r="I34">
        <f t="shared" ref="I34:J34" si="37">I32</f>
        <v>33.280082961785233</v>
      </c>
      <c r="J34">
        <f t="shared" si="37"/>
        <v>0.21220293411532021</v>
      </c>
      <c r="K34" t="e">
        <f>I8</f>
        <v>#DIV/0!</v>
      </c>
      <c r="L34">
        <f>I20</f>
        <v>17.915092727119351</v>
      </c>
      <c r="M34" t="e">
        <f t="shared" si="0"/>
        <v>#DIV/0!</v>
      </c>
      <c r="N34">
        <f t="shared" si="1"/>
        <v>15.364990234665882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33.081079802492397</v>
      </c>
      <c r="F35" s="17" t="s">
        <v>66</v>
      </c>
      <c r="G35" s="19" t="s">
        <v>23</v>
      </c>
      <c r="H35" s="17">
        <v>129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 t="e">
        <f>I8</f>
        <v>#DIV/0!</v>
      </c>
      <c r="L35" s="17">
        <f>I20</f>
        <v>17.915092727119351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35.0271328430116</v>
      </c>
      <c r="F36" s="17" t="s">
        <v>67</v>
      </c>
      <c r="G36" s="19" t="s">
        <v>23</v>
      </c>
      <c r="H36" s="17">
        <v>129</v>
      </c>
      <c r="I36" s="17" t="e">
        <f t="shared" ref="I36:J37" si="40">I35</f>
        <v>#DIV/0!</v>
      </c>
      <c r="J36" s="17" t="e">
        <f t="shared" si="40"/>
        <v>#DIV/0!</v>
      </c>
      <c r="K36" s="17" t="e">
        <f>I8</f>
        <v>#DIV/0!</v>
      </c>
      <c r="L36" s="17">
        <f>I20</f>
        <v>17.915092727119351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>
        <v>24.532345877698301</v>
      </c>
      <c r="F37" s="17" t="s">
        <v>68</v>
      </c>
      <c r="G37" s="19" t="s">
        <v>23</v>
      </c>
      <c r="H37" s="17">
        <v>129</v>
      </c>
      <c r="I37" s="17" t="e">
        <f t="shared" si="40"/>
        <v>#DIV/0!</v>
      </c>
      <c r="J37" s="17" t="e">
        <f t="shared" ref="J37" si="41">J35</f>
        <v>#DIV/0!</v>
      </c>
      <c r="K37" s="17" t="e">
        <f>I8</f>
        <v>#DIV/0!</v>
      </c>
      <c r="L37" s="17">
        <f>I20</f>
        <v>17.915092727119351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E38">
        <v>32.6136238903578</v>
      </c>
      <c r="F38" t="s">
        <v>69</v>
      </c>
      <c r="G38" s="4" t="s">
        <v>15</v>
      </c>
      <c r="H38">
        <v>128</v>
      </c>
      <c r="I38">
        <f t="shared" ref="I38" si="42">AVERAGE(D38:D40)</f>
        <v>29.608368417570752</v>
      </c>
      <c r="J38">
        <f t="shared" ref="J38" si="43">STDEV(D38:D40)</f>
        <v>0.13378083889297698</v>
      </c>
      <c r="K38">
        <f>I2</f>
        <v>31.79707418599725</v>
      </c>
      <c r="L38">
        <f>I14</f>
        <v>17.903864183743451</v>
      </c>
      <c r="M38">
        <f t="shared" si="0"/>
        <v>-2.1887057684264981</v>
      </c>
      <c r="N38">
        <f t="shared" si="1"/>
        <v>11.704504233827301</v>
      </c>
    </row>
    <row r="39" spans="1:14" x14ac:dyDescent="0.2">
      <c r="A39" t="s">
        <v>70</v>
      </c>
      <c r="B39" t="s">
        <v>129</v>
      </c>
      <c r="C39" t="s">
        <v>32</v>
      </c>
      <c r="D39">
        <v>29.702965755944799</v>
      </c>
      <c r="E39">
        <v>29.702965755944799</v>
      </c>
      <c r="F39" t="s">
        <v>70</v>
      </c>
      <c r="G39" s="4" t="s">
        <v>15</v>
      </c>
      <c r="H39">
        <v>128</v>
      </c>
      <c r="I39">
        <f t="shared" ref="I39:J39" si="44">I38</f>
        <v>29.608368417570752</v>
      </c>
      <c r="J39">
        <f t="shared" si="44"/>
        <v>0.13378083889297698</v>
      </c>
      <c r="K39">
        <f>I2</f>
        <v>31.79707418599725</v>
      </c>
      <c r="L39">
        <f>I14</f>
        <v>17.903864183743451</v>
      </c>
      <c r="M39">
        <f t="shared" si="0"/>
        <v>-2.1887057684264981</v>
      </c>
      <c r="N39">
        <f t="shared" si="1"/>
        <v>11.704504233827301</v>
      </c>
    </row>
    <row r="40" spans="1:14" x14ac:dyDescent="0.2">
      <c r="A40" t="s">
        <v>71</v>
      </c>
      <c r="B40" t="s">
        <v>129</v>
      </c>
      <c r="C40" t="s">
        <v>32</v>
      </c>
      <c r="D40">
        <v>29.513771079196701</v>
      </c>
      <c r="E40">
        <v>29.513771079196701</v>
      </c>
      <c r="F40" t="s">
        <v>71</v>
      </c>
      <c r="G40" s="4" t="s">
        <v>15</v>
      </c>
      <c r="H40">
        <v>128</v>
      </c>
      <c r="I40">
        <f t="shared" ref="I40:J40" si="45">I38</f>
        <v>29.608368417570752</v>
      </c>
      <c r="J40">
        <f t="shared" si="45"/>
        <v>0.13378083889297698</v>
      </c>
      <c r="K40">
        <f>I2</f>
        <v>31.79707418599725</v>
      </c>
      <c r="L40">
        <f>I14</f>
        <v>17.903864183743451</v>
      </c>
      <c r="M40">
        <f t="shared" si="0"/>
        <v>-2.1887057684264981</v>
      </c>
      <c r="N40">
        <f t="shared" si="1"/>
        <v>11.704504233827301</v>
      </c>
    </row>
    <row r="41" spans="1:14" x14ac:dyDescent="0.2">
      <c r="A41" t="s">
        <v>72</v>
      </c>
      <c r="B41" t="s">
        <v>129</v>
      </c>
      <c r="C41" t="s">
        <v>32</v>
      </c>
      <c r="E41">
        <v>31.9124673490501</v>
      </c>
      <c r="F41" t="s">
        <v>72</v>
      </c>
      <c r="G41" s="1" t="s">
        <v>22</v>
      </c>
      <c r="H41">
        <v>128</v>
      </c>
      <c r="I41">
        <f t="shared" ref="I41" si="46">AVERAGE(D41:D43)</f>
        <v>30.56080036053935</v>
      </c>
      <c r="J41">
        <f t="shared" ref="J41" si="47">STDEV(D41:D43)</f>
        <v>0.38861483488043852</v>
      </c>
      <c r="K41">
        <f>I2</f>
        <v>31.79707418599725</v>
      </c>
      <c r="L41">
        <f>I14</f>
        <v>17.903864183743451</v>
      </c>
      <c r="M41">
        <f t="shared" si="0"/>
        <v>-1.2362738254579</v>
      </c>
      <c r="N41">
        <f t="shared" si="1"/>
        <v>12.656936176795899</v>
      </c>
    </row>
    <row r="42" spans="1:14" x14ac:dyDescent="0.2">
      <c r="A42" t="s">
        <v>73</v>
      </c>
      <c r="B42" t="s">
        <v>129</v>
      </c>
      <c r="C42" t="s">
        <v>32</v>
      </c>
      <c r="D42">
        <v>30.286008175525701</v>
      </c>
      <c r="E42">
        <v>30.286008175525701</v>
      </c>
      <c r="F42" t="s">
        <v>73</v>
      </c>
      <c r="G42" s="1" t="s">
        <v>22</v>
      </c>
      <c r="H42">
        <v>128</v>
      </c>
      <c r="I42">
        <f t="shared" ref="I42:J43" si="48">I41</f>
        <v>30.56080036053935</v>
      </c>
      <c r="J42">
        <f t="shared" si="48"/>
        <v>0.38861483488043852</v>
      </c>
      <c r="K42">
        <f>I2</f>
        <v>31.79707418599725</v>
      </c>
      <c r="L42">
        <f>I14</f>
        <v>17.903864183743451</v>
      </c>
      <c r="M42">
        <f t="shared" si="0"/>
        <v>-1.2362738254579</v>
      </c>
      <c r="N42">
        <f t="shared" si="1"/>
        <v>12.656936176795899</v>
      </c>
    </row>
    <row r="43" spans="1:14" x14ac:dyDescent="0.2">
      <c r="A43" t="s">
        <v>74</v>
      </c>
      <c r="B43" t="s">
        <v>129</v>
      </c>
      <c r="C43" t="s">
        <v>32</v>
      </c>
      <c r="D43">
        <v>30.835592545552998</v>
      </c>
      <c r="E43">
        <v>30.835592545552998</v>
      </c>
      <c r="F43" t="s">
        <v>74</v>
      </c>
      <c r="G43" s="1" t="s">
        <v>22</v>
      </c>
      <c r="H43">
        <v>128</v>
      </c>
      <c r="I43">
        <f t="shared" si="48"/>
        <v>30.56080036053935</v>
      </c>
      <c r="J43">
        <f t="shared" ref="J43" si="49">J41</f>
        <v>0.38861483488043852</v>
      </c>
      <c r="K43">
        <f>I2</f>
        <v>31.79707418599725</v>
      </c>
      <c r="L43">
        <f>I14</f>
        <v>17.903864183743451</v>
      </c>
      <c r="M43">
        <f t="shared" si="0"/>
        <v>-1.2362738254579</v>
      </c>
      <c r="N43">
        <f t="shared" si="1"/>
        <v>12.656936176795899</v>
      </c>
    </row>
    <row r="44" spans="1:14" x14ac:dyDescent="0.2">
      <c r="A44" t="s">
        <v>75</v>
      </c>
      <c r="B44" t="s">
        <v>129</v>
      </c>
      <c r="C44" t="s">
        <v>32</v>
      </c>
      <c r="D44">
        <v>34.541223961365297</v>
      </c>
      <c r="E44">
        <v>34.541223961365297</v>
      </c>
      <c r="F44" t="s">
        <v>75</v>
      </c>
      <c r="G44" s="4" t="s">
        <v>15</v>
      </c>
      <c r="H44">
        <v>129</v>
      </c>
      <c r="I44">
        <f t="shared" ref="I44" si="50">AVERAGE(D44:D46)</f>
        <v>34.543282166986799</v>
      </c>
      <c r="J44">
        <f t="shared" ref="J44" si="51">STDEV(D44:D46)</f>
        <v>2.9107423040805897E-3</v>
      </c>
      <c r="K44" t="e">
        <f>I8</f>
        <v>#DIV/0!</v>
      </c>
      <c r="L44">
        <f>I20</f>
        <v>17.915092727119351</v>
      </c>
      <c r="M44" t="e">
        <f t="shared" si="0"/>
        <v>#DIV/0!</v>
      </c>
      <c r="N44">
        <f t="shared" si="1"/>
        <v>16.628189439867448</v>
      </c>
    </row>
    <row r="45" spans="1:14" x14ac:dyDescent="0.2">
      <c r="A45" t="s">
        <v>76</v>
      </c>
      <c r="B45" t="s">
        <v>129</v>
      </c>
      <c r="C45" t="s">
        <v>32</v>
      </c>
      <c r="D45">
        <v>34.545340372608301</v>
      </c>
      <c r="E45">
        <v>34.545340372608301</v>
      </c>
      <c r="F45" t="s">
        <v>76</v>
      </c>
      <c r="G45" s="4" t="s">
        <v>15</v>
      </c>
      <c r="H45">
        <v>129</v>
      </c>
      <c r="I45">
        <f t="shared" ref="I45:J45" si="52">I44</f>
        <v>34.543282166986799</v>
      </c>
      <c r="J45">
        <f t="shared" si="52"/>
        <v>2.9107423040805897E-3</v>
      </c>
      <c r="K45" t="e">
        <f>I8</f>
        <v>#DIV/0!</v>
      </c>
      <c r="L45">
        <f>I20</f>
        <v>17.915092727119351</v>
      </c>
      <c r="M45" t="e">
        <f t="shared" si="0"/>
        <v>#DIV/0!</v>
      </c>
      <c r="N45">
        <f t="shared" si="1"/>
        <v>16.628189439867448</v>
      </c>
    </row>
    <row r="46" spans="1:14" x14ac:dyDescent="0.2">
      <c r="A46" t="s">
        <v>77</v>
      </c>
      <c r="B46" t="s">
        <v>129</v>
      </c>
      <c r="C46" t="s">
        <v>32</v>
      </c>
      <c r="E46">
        <v>35.9286532217196</v>
      </c>
      <c r="F46" t="s">
        <v>77</v>
      </c>
      <c r="G46" s="4" t="s">
        <v>15</v>
      </c>
      <c r="H46">
        <v>129</v>
      </c>
      <c r="I46">
        <f t="shared" ref="I46:J46" si="53">I44</f>
        <v>34.543282166986799</v>
      </c>
      <c r="J46">
        <f t="shared" si="53"/>
        <v>2.9107423040805897E-3</v>
      </c>
      <c r="K46" t="e">
        <f>I8</f>
        <v>#DIV/0!</v>
      </c>
      <c r="L46">
        <f>I20</f>
        <v>17.915092727119351</v>
      </c>
      <c r="M46" t="e">
        <f t="shared" si="0"/>
        <v>#DIV/0!</v>
      </c>
      <c r="N46">
        <f t="shared" si="1"/>
        <v>16.628189439867448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 t="s">
        <v>33</v>
      </c>
      <c r="F47" s="17" t="s">
        <v>78</v>
      </c>
      <c r="G47" s="19" t="s">
        <v>22</v>
      </c>
      <c r="H47" s="17">
        <v>129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 t="e">
        <f>I8</f>
        <v>#DIV/0!</v>
      </c>
      <c r="L47" s="17">
        <f>I20</f>
        <v>17.915092727119351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36.081484558190603</v>
      </c>
      <c r="F48" s="17" t="s">
        <v>79</v>
      </c>
      <c r="G48" s="19" t="s">
        <v>22</v>
      </c>
      <c r="H48" s="17">
        <v>129</v>
      </c>
      <c r="I48" s="17" t="e">
        <f t="shared" ref="I48:J49" si="56">I47</f>
        <v>#DIV/0!</v>
      </c>
      <c r="J48" s="17" t="e">
        <f t="shared" si="56"/>
        <v>#DIV/0!</v>
      </c>
      <c r="K48" s="17" t="e">
        <f>I8</f>
        <v>#DIV/0!</v>
      </c>
      <c r="L48" s="17">
        <f>I20</f>
        <v>17.915092727119351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>
        <v>18.3302718902079</v>
      </c>
      <c r="F49" s="17" t="s">
        <v>80</v>
      </c>
      <c r="G49" s="19" t="s">
        <v>22</v>
      </c>
      <c r="H49" s="17">
        <v>129</v>
      </c>
      <c r="I49" s="17" t="e">
        <f t="shared" si="56"/>
        <v>#DIV/0!</v>
      </c>
      <c r="J49" s="17" t="e">
        <f t="shared" ref="J49" si="57">J47</f>
        <v>#DIV/0!</v>
      </c>
      <c r="K49" s="17" t="e">
        <f>I8</f>
        <v>#DIV/0!</v>
      </c>
      <c r="L49" s="17">
        <f>I20</f>
        <v>17.915092727119351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29.595569559312899</v>
      </c>
      <c r="E50">
        <v>29.595569559312899</v>
      </c>
      <c r="F50" t="s">
        <v>81</v>
      </c>
      <c r="G50" s="4" t="s">
        <v>16</v>
      </c>
      <c r="H50">
        <v>128</v>
      </c>
      <c r="I50">
        <f t="shared" ref="I50" si="58">AVERAGE(D50:D52)</f>
        <v>29.327961824029501</v>
      </c>
      <c r="J50">
        <f t="shared" ref="J50" si="59">STDEV(D50:D52)</f>
        <v>0.37845448863373371</v>
      </c>
      <c r="K50">
        <f>I2</f>
        <v>31.79707418599725</v>
      </c>
      <c r="L50">
        <f>I14</f>
        <v>17.903864183743451</v>
      </c>
      <c r="M50">
        <f t="shared" si="0"/>
        <v>-2.4691123619677491</v>
      </c>
      <c r="N50">
        <f t="shared" si="1"/>
        <v>11.42409764028605</v>
      </c>
    </row>
    <row r="51" spans="1:14" x14ac:dyDescent="0.2">
      <c r="A51" t="s">
        <v>82</v>
      </c>
      <c r="B51" t="s">
        <v>129</v>
      </c>
      <c r="C51" t="s">
        <v>32</v>
      </c>
      <c r="D51">
        <v>29.060354088746099</v>
      </c>
      <c r="E51">
        <v>29.060354088746099</v>
      </c>
      <c r="F51" t="s">
        <v>82</v>
      </c>
      <c r="G51" s="4" t="s">
        <v>16</v>
      </c>
      <c r="H51">
        <v>128</v>
      </c>
      <c r="I51">
        <f t="shared" ref="I51:J51" si="60">I50</f>
        <v>29.327961824029501</v>
      </c>
      <c r="J51">
        <f t="shared" si="60"/>
        <v>0.37845448863373371</v>
      </c>
      <c r="K51">
        <f>I2</f>
        <v>31.79707418599725</v>
      </c>
      <c r="L51">
        <f>I14</f>
        <v>17.903864183743451</v>
      </c>
      <c r="M51">
        <f t="shared" si="0"/>
        <v>-2.4691123619677491</v>
      </c>
      <c r="N51">
        <f t="shared" si="1"/>
        <v>11.42409764028605</v>
      </c>
    </row>
    <row r="52" spans="1:14" x14ac:dyDescent="0.2">
      <c r="A52" t="s">
        <v>83</v>
      </c>
      <c r="B52" t="s">
        <v>129</v>
      </c>
      <c r="C52" t="s">
        <v>32</v>
      </c>
      <c r="E52">
        <v>30.5050998563324</v>
      </c>
      <c r="F52" t="s">
        <v>83</v>
      </c>
      <c r="G52" s="4" t="s">
        <v>16</v>
      </c>
      <c r="H52">
        <v>128</v>
      </c>
      <c r="I52">
        <f t="shared" ref="I52:J52" si="61">I50</f>
        <v>29.327961824029501</v>
      </c>
      <c r="J52">
        <f t="shared" si="61"/>
        <v>0.37845448863373371</v>
      </c>
      <c r="K52">
        <f>I2</f>
        <v>31.79707418599725</v>
      </c>
      <c r="L52">
        <f>I14</f>
        <v>17.903864183743451</v>
      </c>
      <c r="M52">
        <f t="shared" si="0"/>
        <v>-2.4691123619677491</v>
      </c>
      <c r="N52">
        <f t="shared" si="1"/>
        <v>11.42409764028605</v>
      </c>
    </row>
    <row r="53" spans="1:14" x14ac:dyDescent="0.2">
      <c r="A53" t="s">
        <v>84</v>
      </c>
      <c r="B53" t="s">
        <v>129</v>
      </c>
      <c r="C53" t="s">
        <v>32</v>
      </c>
      <c r="E53">
        <v>29.4524465118687</v>
      </c>
      <c r="F53" t="s">
        <v>84</v>
      </c>
      <c r="G53" s="1" t="s">
        <v>24</v>
      </c>
      <c r="H53">
        <v>128</v>
      </c>
      <c r="I53">
        <f t="shared" ref="I53" si="62">AVERAGE(D53:D55)</f>
        <v>30.704980109902849</v>
      </c>
      <c r="J53">
        <f t="shared" ref="J53" si="63">STDEV(D53:D55)</f>
        <v>0.24894949943678918</v>
      </c>
      <c r="K53">
        <f>I2</f>
        <v>31.79707418599725</v>
      </c>
      <c r="L53">
        <f>I14</f>
        <v>17.903864183743451</v>
      </c>
      <c r="M53">
        <f t="shared" si="0"/>
        <v>-1.0920940760944013</v>
      </c>
      <c r="N53">
        <f t="shared" si="1"/>
        <v>12.801115926159397</v>
      </c>
    </row>
    <row r="54" spans="1:14" x14ac:dyDescent="0.2">
      <c r="A54" t="s">
        <v>85</v>
      </c>
      <c r="B54" t="s">
        <v>129</v>
      </c>
      <c r="C54" t="s">
        <v>32</v>
      </c>
      <c r="D54">
        <v>30.528946230678098</v>
      </c>
      <c r="E54">
        <v>30.528946230678098</v>
      </c>
      <c r="F54" t="s">
        <v>85</v>
      </c>
      <c r="G54" s="1" t="s">
        <v>24</v>
      </c>
      <c r="H54">
        <v>128</v>
      </c>
      <c r="I54">
        <f t="shared" ref="I54:J55" si="64">I53</f>
        <v>30.704980109902849</v>
      </c>
      <c r="J54">
        <f t="shared" si="64"/>
        <v>0.24894949943678918</v>
      </c>
      <c r="K54">
        <f>I2</f>
        <v>31.79707418599725</v>
      </c>
      <c r="L54">
        <f>I14</f>
        <v>17.903864183743451</v>
      </c>
      <c r="M54">
        <f t="shared" si="0"/>
        <v>-1.0920940760944013</v>
      </c>
      <c r="N54">
        <f t="shared" si="1"/>
        <v>12.801115926159397</v>
      </c>
    </row>
    <row r="55" spans="1:14" x14ac:dyDescent="0.2">
      <c r="A55" t="s">
        <v>86</v>
      </c>
      <c r="B55" t="s">
        <v>129</v>
      </c>
      <c r="C55" t="s">
        <v>32</v>
      </c>
      <c r="D55">
        <v>30.881013989127599</v>
      </c>
      <c r="E55">
        <v>30.881013989127599</v>
      </c>
      <c r="F55" t="s">
        <v>86</v>
      </c>
      <c r="G55" s="1" t="s">
        <v>24</v>
      </c>
      <c r="H55">
        <v>128</v>
      </c>
      <c r="I55">
        <f t="shared" si="64"/>
        <v>30.704980109902849</v>
      </c>
      <c r="J55">
        <f t="shared" ref="J55" si="65">J53</f>
        <v>0.24894949943678918</v>
      </c>
      <c r="K55">
        <f>I2</f>
        <v>31.79707418599725</v>
      </c>
      <c r="L55">
        <f>I14</f>
        <v>17.903864183743451</v>
      </c>
      <c r="M55">
        <f t="shared" si="0"/>
        <v>-1.0920940760944013</v>
      </c>
      <c r="N55">
        <f t="shared" si="1"/>
        <v>12.801115926159397</v>
      </c>
    </row>
    <row r="56" spans="1:14" x14ac:dyDescent="0.2">
      <c r="A56" t="s">
        <v>87</v>
      </c>
      <c r="B56" t="s">
        <v>129</v>
      </c>
      <c r="C56" t="s">
        <v>32</v>
      </c>
      <c r="D56">
        <v>33.122109098854203</v>
      </c>
      <c r="E56">
        <v>33.122109098854203</v>
      </c>
      <c r="F56" t="s">
        <v>87</v>
      </c>
      <c r="G56" s="4" t="s">
        <v>16</v>
      </c>
      <c r="H56">
        <v>129</v>
      </c>
      <c r="I56">
        <f t="shared" ref="I56" si="66">AVERAGE(D56:D58)</f>
        <v>32.84887997673075</v>
      </c>
      <c r="J56">
        <f t="shared" ref="J56" si="67">STDEV(D56:D58)</f>
        <v>0.38640433014228232</v>
      </c>
      <c r="K56" t="e">
        <f>I8</f>
        <v>#DIV/0!</v>
      </c>
      <c r="L56">
        <f>I20</f>
        <v>17.915092727119351</v>
      </c>
      <c r="M56" t="e">
        <f t="shared" si="0"/>
        <v>#DIV/0!</v>
      </c>
      <c r="N56">
        <f t="shared" si="1"/>
        <v>14.933787249611399</v>
      </c>
    </row>
    <row r="57" spans="1:14" x14ac:dyDescent="0.2">
      <c r="A57" t="s">
        <v>88</v>
      </c>
      <c r="B57" t="s">
        <v>129</v>
      </c>
      <c r="C57" t="s">
        <v>32</v>
      </c>
      <c r="E57">
        <v>34.082366595498399</v>
      </c>
      <c r="F57" t="s">
        <v>88</v>
      </c>
      <c r="G57" s="4" t="s">
        <v>16</v>
      </c>
      <c r="H57">
        <v>129</v>
      </c>
      <c r="I57">
        <f t="shared" ref="I57:J57" si="68">I56</f>
        <v>32.84887997673075</v>
      </c>
      <c r="J57">
        <f t="shared" si="68"/>
        <v>0.38640433014228232</v>
      </c>
      <c r="K57" t="e">
        <f>I8</f>
        <v>#DIV/0!</v>
      </c>
      <c r="L57">
        <f>I20</f>
        <v>17.915092727119351</v>
      </c>
      <c r="M57" t="e">
        <f t="shared" si="0"/>
        <v>#DIV/0!</v>
      </c>
      <c r="N57">
        <f t="shared" si="1"/>
        <v>14.933787249611399</v>
      </c>
    </row>
    <row r="58" spans="1:14" x14ac:dyDescent="0.2">
      <c r="A58" t="s">
        <v>89</v>
      </c>
      <c r="B58" t="s">
        <v>129</v>
      </c>
      <c r="C58" t="s">
        <v>32</v>
      </c>
      <c r="D58">
        <v>32.575650854607296</v>
      </c>
      <c r="E58">
        <v>32.575650854607296</v>
      </c>
      <c r="F58" t="s">
        <v>89</v>
      </c>
      <c r="G58" s="4" t="s">
        <v>16</v>
      </c>
      <c r="H58">
        <v>129</v>
      </c>
      <c r="I58">
        <f t="shared" ref="I58:J58" si="69">I56</f>
        <v>32.84887997673075</v>
      </c>
      <c r="J58">
        <f t="shared" si="69"/>
        <v>0.38640433014228232</v>
      </c>
      <c r="K58" t="e">
        <f>I8</f>
        <v>#DIV/0!</v>
      </c>
      <c r="L58">
        <f>I20</f>
        <v>17.915092727119351</v>
      </c>
      <c r="M58" t="e">
        <f t="shared" si="0"/>
        <v>#DIV/0!</v>
      </c>
      <c r="N58">
        <f t="shared" si="1"/>
        <v>14.933787249611399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33.966090071361798</v>
      </c>
      <c r="F59" s="17" t="s">
        <v>90</v>
      </c>
      <c r="G59" s="19" t="s">
        <v>24</v>
      </c>
      <c r="H59" s="17">
        <v>129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 t="e">
        <f>I8</f>
        <v>#DIV/0!</v>
      </c>
      <c r="L59" s="17">
        <f>I20</f>
        <v>17.915092727119351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 t="s">
        <v>33</v>
      </c>
      <c r="F60" s="17" t="s">
        <v>91</v>
      </c>
      <c r="G60" s="19" t="s">
        <v>24</v>
      </c>
      <c r="H60" s="17">
        <v>129</v>
      </c>
      <c r="I60" s="17" t="e">
        <f t="shared" ref="I60:J61" si="72">I59</f>
        <v>#DIV/0!</v>
      </c>
      <c r="J60" s="17" t="e">
        <f t="shared" si="72"/>
        <v>#DIV/0!</v>
      </c>
      <c r="K60" s="17" t="e">
        <f>I8</f>
        <v>#DIV/0!</v>
      </c>
      <c r="L60" s="17">
        <f>I20</f>
        <v>17.915092727119351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9" t="s">
        <v>24</v>
      </c>
      <c r="H61" s="17">
        <v>129</v>
      </c>
      <c r="I61" s="17" t="e">
        <f t="shared" si="72"/>
        <v>#DIV/0!</v>
      </c>
      <c r="J61" s="17" t="e">
        <f t="shared" ref="J61" si="73">J59</f>
        <v>#DIV/0!</v>
      </c>
      <c r="K61" s="17" t="e">
        <f>I8</f>
        <v>#DIV/0!</v>
      </c>
      <c r="L61" s="17">
        <f>I20</f>
        <v>17.915092727119351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E62">
        <v>31.243263415054098</v>
      </c>
      <c r="F62" t="s">
        <v>93</v>
      </c>
      <c r="G62" s="4" t="s">
        <v>17</v>
      </c>
      <c r="H62">
        <v>128</v>
      </c>
      <c r="I62">
        <f t="shared" ref="I62" si="74">AVERAGE(D62:D64)</f>
        <v>30.07677362468775</v>
      </c>
      <c r="J62">
        <f t="shared" ref="J62" si="75">STDEV(D62:D64)</f>
        <v>9.4850800005065822E-2</v>
      </c>
      <c r="K62">
        <f>I2</f>
        <v>31.79707418599725</v>
      </c>
      <c r="L62">
        <f>I14</f>
        <v>17.903864183743451</v>
      </c>
      <c r="M62">
        <f t="shared" si="0"/>
        <v>-1.7203005613095002</v>
      </c>
      <c r="N62">
        <f t="shared" si="1"/>
        <v>12.172909440944299</v>
      </c>
    </row>
    <row r="63" spans="1:14" x14ac:dyDescent="0.2">
      <c r="A63" t="s">
        <v>94</v>
      </c>
      <c r="B63" t="s">
        <v>129</v>
      </c>
      <c r="C63" t="s">
        <v>32</v>
      </c>
      <c r="D63">
        <v>30.009703980803199</v>
      </c>
      <c r="E63">
        <v>30.009703980803199</v>
      </c>
      <c r="F63" t="s">
        <v>94</v>
      </c>
      <c r="G63" s="4" t="s">
        <v>17</v>
      </c>
      <c r="H63">
        <v>128</v>
      </c>
      <c r="I63">
        <f t="shared" ref="I63:J63" si="76">I62</f>
        <v>30.07677362468775</v>
      </c>
      <c r="J63">
        <f t="shared" si="76"/>
        <v>9.4850800005065822E-2</v>
      </c>
      <c r="K63">
        <f>I2</f>
        <v>31.79707418599725</v>
      </c>
      <c r="L63">
        <f>I14</f>
        <v>17.903864183743451</v>
      </c>
      <c r="M63">
        <f t="shared" si="0"/>
        <v>-1.7203005613095002</v>
      </c>
      <c r="N63">
        <f t="shared" si="1"/>
        <v>12.172909440944299</v>
      </c>
    </row>
    <row r="64" spans="1:14" x14ac:dyDescent="0.2">
      <c r="A64" t="s">
        <v>95</v>
      </c>
      <c r="B64" t="s">
        <v>129</v>
      </c>
      <c r="C64" t="s">
        <v>32</v>
      </c>
      <c r="D64">
        <v>30.143843268572301</v>
      </c>
      <c r="E64">
        <v>30.143843268572301</v>
      </c>
      <c r="F64" t="s">
        <v>95</v>
      </c>
      <c r="G64" s="4" t="s">
        <v>17</v>
      </c>
      <c r="H64">
        <v>128</v>
      </c>
      <c r="I64">
        <f t="shared" ref="I64:J64" si="77">I62</f>
        <v>30.07677362468775</v>
      </c>
      <c r="J64">
        <f t="shared" si="77"/>
        <v>9.4850800005065822E-2</v>
      </c>
      <c r="K64">
        <f>I2</f>
        <v>31.79707418599725</v>
      </c>
      <c r="L64">
        <f>I14</f>
        <v>17.903864183743451</v>
      </c>
      <c r="M64">
        <f t="shared" si="0"/>
        <v>-1.7203005613095002</v>
      </c>
      <c r="N64">
        <f t="shared" si="1"/>
        <v>12.172909440944299</v>
      </c>
    </row>
    <row r="65" spans="1:14" s="17" customFormat="1" x14ac:dyDescent="0.2">
      <c r="A65" s="17" t="s">
        <v>96</v>
      </c>
      <c r="B65" s="17" t="s">
        <v>129</v>
      </c>
      <c r="C65" s="17" t="s">
        <v>32</v>
      </c>
      <c r="E65" s="17">
        <v>30.105202679364702</v>
      </c>
      <c r="F65" s="17" t="s">
        <v>96</v>
      </c>
      <c r="G65" s="19" t="s">
        <v>25</v>
      </c>
      <c r="H65" s="17">
        <v>128</v>
      </c>
      <c r="I65" s="17" t="e">
        <f t="shared" ref="I65" si="78">AVERAGE(D65:D67)</f>
        <v>#DIV/0!</v>
      </c>
      <c r="J65" s="17" t="e">
        <f t="shared" ref="J65" si="79">STDEV(D65:D67)</f>
        <v>#DIV/0!</v>
      </c>
      <c r="K65" s="17">
        <f>I2</f>
        <v>31.79707418599725</v>
      </c>
      <c r="L65" s="17">
        <f>I14</f>
        <v>17.903864183743451</v>
      </c>
      <c r="M65" s="17" t="e">
        <f t="shared" si="0"/>
        <v>#DIV/0!</v>
      </c>
      <c r="N65" s="17" t="e">
        <f t="shared" si="1"/>
        <v>#DIV/0!</v>
      </c>
    </row>
    <row r="66" spans="1:14" s="17" customFormat="1" x14ac:dyDescent="0.2">
      <c r="A66" s="17" t="s">
        <v>97</v>
      </c>
      <c r="B66" s="17" t="s">
        <v>129</v>
      </c>
      <c r="C66" s="17" t="s">
        <v>32</v>
      </c>
      <c r="E66" s="17">
        <v>29.309541064266298</v>
      </c>
      <c r="F66" s="17" t="s">
        <v>97</v>
      </c>
      <c r="G66" s="19" t="s">
        <v>25</v>
      </c>
      <c r="H66" s="17">
        <v>128</v>
      </c>
      <c r="I66" s="17" t="e">
        <f t="shared" ref="I66:J67" si="80">I65</f>
        <v>#DIV/0!</v>
      </c>
      <c r="J66" s="17" t="e">
        <f t="shared" si="80"/>
        <v>#DIV/0!</v>
      </c>
      <c r="K66" s="17">
        <f>I2</f>
        <v>31.79707418599725</v>
      </c>
      <c r="L66" s="17">
        <f>I14</f>
        <v>17.903864183743451</v>
      </c>
      <c r="M66" s="17" t="e">
        <f t="shared" si="0"/>
        <v>#DIV/0!</v>
      </c>
      <c r="N66" s="17" t="e">
        <f t="shared" si="1"/>
        <v>#DIV/0!</v>
      </c>
    </row>
    <row r="67" spans="1:14" s="17" customFormat="1" x14ac:dyDescent="0.2">
      <c r="A67" s="17" t="s">
        <v>98</v>
      </c>
      <c r="B67" s="17" t="s">
        <v>129</v>
      </c>
      <c r="C67" s="17" t="s">
        <v>32</v>
      </c>
      <c r="E67" s="17">
        <v>30.9956063621152</v>
      </c>
      <c r="F67" s="17" t="s">
        <v>98</v>
      </c>
      <c r="G67" s="19" t="s">
        <v>25</v>
      </c>
      <c r="H67" s="17">
        <v>128</v>
      </c>
      <c r="I67" s="17" t="e">
        <f t="shared" si="80"/>
        <v>#DIV/0!</v>
      </c>
      <c r="J67" s="17" t="e">
        <f t="shared" ref="J67" si="81">J65</f>
        <v>#DIV/0!</v>
      </c>
      <c r="K67" s="17">
        <f>I2</f>
        <v>31.79707418599725</v>
      </c>
      <c r="L67" s="17">
        <f>I14</f>
        <v>17.903864183743451</v>
      </c>
      <c r="M67" s="17" t="e">
        <f t="shared" ref="M67:M97" si="82">I67-K67</f>
        <v>#DIV/0!</v>
      </c>
      <c r="N67" s="17" t="e">
        <f t="shared" ref="N67:N97" si="83">I67-L67</f>
        <v>#DIV/0!</v>
      </c>
    </row>
    <row r="68" spans="1:14" x14ac:dyDescent="0.2">
      <c r="A68" t="s">
        <v>99</v>
      </c>
      <c r="B68" t="s">
        <v>129</v>
      </c>
      <c r="C68" t="s">
        <v>32</v>
      </c>
      <c r="D68">
        <v>32.094453079922999</v>
      </c>
      <c r="E68">
        <v>32.094453079922999</v>
      </c>
      <c r="F68" t="s">
        <v>99</v>
      </c>
      <c r="G68" s="4" t="s">
        <v>17</v>
      </c>
      <c r="H68">
        <v>129</v>
      </c>
      <c r="I68">
        <f t="shared" ref="I68" si="84">AVERAGE(D68:D70)</f>
        <v>32.180214897777546</v>
      </c>
      <c r="J68">
        <f t="shared" ref="J68" si="85">STDEV(D68:D70)</f>
        <v>0.12128552594367574</v>
      </c>
      <c r="K68" t="e">
        <f>I8</f>
        <v>#DIV/0!</v>
      </c>
      <c r="L68">
        <f>I20</f>
        <v>17.915092727119351</v>
      </c>
      <c r="M68" t="e">
        <f t="shared" si="82"/>
        <v>#DIV/0!</v>
      </c>
      <c r="N68">
        <f t="shared" si="83"/>
        <v>14.265122170658195</v>
      </c>
    </row>
    <row r="69" spans="1:14" x14ac:dyDescent="0.2">
      <c r="A69" t="s">
        <v>100</v>
      </c>
      <c r="B69" t="s">
        <v>129</v>
      </c>
      <c r="C69" t="s">
        <v>32</v>
      </c>
      <c r="E69">
        <v>32.698755424867301</v>
      </c>
      <c r="F69" t="s">
        <v>100</v>
      </c>
      <c r="G69" s="4" t="s">
        <v>17</v>
      </c>
      <c r="H69">
        <v>129</v>
      </c>
      <c r="I69">
        <f t="shared" ref="I69:J69" si="86">I68</f>
        <v>32.180214897777546</v>
      </c>
      <c r="J69">
        <f t="shared" si="86"/>
        <v>0.12128552594367574</v>
      </c>
      <c r="K69" t="e">
        <f>I8</f>
        <v>#DIV/0!</v>
      </c>
      <c r="L69">
        <f>I20</f>
        <v>17.915092727119351</v>
      </c>
      <c r="M69" t="e">
        <f t="shared" si="82"/>
        <v>#DIV/0!</v>
      </c>
      <c r="N69">
        <f t="shared" si="83"/>
        <v>14.265122170658195</v>
      </c>
    </row>
    <row r="70" spans="1:14" x14ac:dyDescent="0.2">
      <c r="A70" t="s">
        <v>101</v>
      </c>
      <c r="B70" t="s">
        <v>129</v>
      </c>
      <c r="C70" t="s">
        <v>32</v>
      </c>
      <c r="D70">
        <v>32.2659767156321</v>
      </c>
      <c r="E70">
        <v>32.2659767156321</v>
      </c>
      <c r="F70" t="s">
        <v>101</v>
      </c>
      <c r="G70" s="4" t="s">
        <v>17</v>
      </c>
      <c r="H70">
        <v>129</v>
      </c>
      <c r="I70">
        <f t="shared" ref="I70:J70" si="87">I68</f>
        <v>32.180214897777546</v>
      </c>
      <c r="J70">
        <f t="shared" si="87"/>
        <v>0.12128552594367574</v>
      </c>
      <c r="K70" t="e">
        <f>I8</f>
        <v>#DIV/0!</v>
      </c>
      <c r="L70">
        <f>I20</f>
        <v>17.915092727119351</v>
      </c>
      <c r="M70" t="e">
        <f t="shared" si="82"/>
        <v>#DIV/0!</v>
      </c>
      <c r="N70">
        <f t="shared" si="83"/>
        <v>14.265122170658195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32.636868917356701</v>
      </c>
      <c r="F71" s="17" t="s">
        <v>102</v>
      </c>
      <c r="G71" s="19" t="s">
        <v>25</v>
      </c>
      <c r="H71" s="17">
        <v>129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 t="e">
        <f>I8</f>
        <v>#DIV/0!</v>
      </c>
      <c r="L71" s="17">
        <f>I20</f>
        <v>17.915092727119351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33.7283704910365</v>
      </c>
      <c r="F72" s="17" t="s">
        <v>103</v>
      </c>
      <c r="G72" s="19" t="s">
        <v>25</v>
      </c>
      <c r="H72" s="17">
        <v>129</v>
      </c>
      <c r="I72" s="17" t="e">
        <f t="shared" ref="I72:J73" si="90">I71</f>
        <v>#DIV/0!</v>
      </c>
      <c r="J72" s="17" t="e">
        <f t="shared" si="90"/>
        <v>#DIV/0!</v>
      </c>
      <c r="K72" s="17" t="e">
        <f>I8</f>
        <v>#DIV/0!</v>
      </c>
      <c r="L72" s="17">
        <f>I20</f>
        <v>17.915092727119351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 t="s">
        <v>33</v>
      </c>
      <c r="F73" s="17" t="s">
        <v>104</v>
      </c>
      <c r="G73" s="19" t="s">
        <v>25</v>
      </c>
      <c r="H73" s="17">
        <v>129</v>
      </c>
      <c r="I73" s="17" t="e">
        <f t="shared" si="90"/>
        <v>#DIV/0!</v>
      </c>
      <c r="J73" s="17" t="e">
        <f t="shared" ref="J73" si="91">J71</f>
        <v>#DIV/0!</v>
      </c>
      <c r="K73" s="17" t="e">
        <f>I8</f>
        <v>#DIV/0!</v>
      </c>
      <c r="L73" s="17">
        <f>I20</f>
        <v>17.915092727119351</v>
      </c>
      <c r="M73" s="17" t="e">
        <f t="shared" si="82"/>
        <v>#DIV/0!</v>
      </c>
      <c r="N73" s="17" t="e">
        <f t="shared" si="83"/>
        <v>#DIV/0!</v>
      </c>
    </row>
    <row r="74" spans="1:14" x14ac:dyDescent="0.2">
      <c r="A74" t="s">
        <v>105</v>
      </c>
      <c r="B74" t="s">
        <v>129</v>
      </c>
      <c r="C74" t="s">
        <v>32</v>
      </c>
      <c r="E74">
        <v>31.2275479903671</v>
      </c>
      <c r="F74" t="s">
        <v>105</v>
      </c>
      <c r="G74" s="4" t="s">
        <v>18</v>
      </c>
      <c r="H74">
        <v>128</v>
      </c>
      <c r="I74">
        <f t="shared" ref="I74" si="92">AVERAGE(D74:D76)</f>
        <v>31.458898769271798</v>
      </c>
      <c r="J74">
        <f>STDEV(D74:D76)</f>
        <v>4.2761039215976612E-2</v>
      </c>
      <c r="K74">
        <f>I2</f>
        <v>31.79707418599725</v>
      </c>
      <c r="L74">
        <f>I14</f>
        <v>17.903864183743451</v>
      </c>
      <c r="M74">
        <f t="shared" si="82"/>
        <v>-0.33817541672545204</v>
      </c>
      <c r="N74">
        <f t="shared" si="83"/>
        <v>13.555034585528347</v>
      </c>
    </row>
    <row r="75" spans="1:14" x14ac:dyDescent="0.2">
      <c r="A75" t="s">
        <v>106</v>
      </c>
      <c r="B75" t="s">
        <v>129</v>
      </c>
      <c r="C75" t="s">
        <v>32</v>
      </c>
      <c r="D75">
        <v>31.489135390072001</v>
      </c>
      <c r="E75">
        <v>31.489135390072001</v>
      </c>
      <c r="F75" t="s">
        <v>106</v>
      </c>
      <c r="G75" s="4" t="s">
        <v>18</v>
      </c>
      <c r="H75">
        <v>128</v>
      </c>
      <c r="I75">
        <f t="shared" ref="I75:J75" si="93">I74</f>
        <v>31.458898769271798</v>
      </c>
      <c r="J75">
        <f t="shared" si="93"/>
        <v>4.2761039215976612E-2</v>
      </c>
      <c r="K75">
        <f>I2</f>
        <v>31.79707418599725</v>
      </c>
      <c r="L75">
        <f>I14</f>
        <v>17.903864183743451</v>
      </c>
      <c r="M75">
        <f t="shared" si="82"/>
        <v>-0.33817541672545204</v>
      </c>
      <c r="N75">
        <f t="shared" si="83"/>
        <v>13.555034585528347</v>
      </c>
    </row>
    <row r="76" spans="1:14" x14ac:dyDescent="0.2">
      <c r="A76" t="s">
        <v>107</v>
      </c>
      <c r="B76" t="s">
        <v>129</v>
      </c>
      <c r="C76" t="s">
        <v>32</v>
      </c>
      <c r="D76">
        <v>31.428662148471599</v>
      </c>
      <c r="E76">
        <v>31.428662148471599</v>
      </c>
      <c r="F76" t="s">
        <v>107</v>
      </c>
      <c r="G76" s="4" t="s">
        <v>18</v>
      </c>
      <c r="H76">
        <v>128</v>
      </c>
      <c r="I76">
        <f t="shared" ref="I76:J76" si="94">I74</f>
        <v>31.458898769271798</v>
      </c>
      <c r="J76">
        <f t="shared" si="94"/>
        <v>4.2761039215976612E-2</v>
      </c>
      <c r="K76">
        <f>I2</f>
        <v>31.79707418599725</v>
      </c>
      <c r="L76">
        <f>I14</f>
        <v>17.903864183743451</v>
      </c>
      <c r="M76">
        <f t="shared" si="82"/>
        <v>-0.33817541672545204</v>
      </c>
      <c r="N76">
        <f t="shared" si="83"/>
        <v>13.555034585528347</v>
      </c>
    </row>
    <row r="77" spans="1:14" x14ac:dyDescent="0.2">
      <c r="A77" t="s">
        <v>108</v>
      </c>
      <c r="B77" t="s">
        <v>129</v>
      </c>
      <c r="C77" t="s">
        <v>32</v>
      </c>
      <c r="E77" t="s">
        <v>33</v>
      </c>
      <c r="F77" t="s">
        <v>108</v>
      </c>
      <c r="H77">
        <v>128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31.79707418599725</v>
      </c>
      <c r="L77">
        <f>I14</f>
        <v>17.903864183743451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E78" t="s">
        <v>33</v>
      </c>
      <c r="F78" t="s">
        <v>109</v>
      </c>
      <c r="H78">
        <v>128</v>
      </c>
      <c r="I78" t="e">
        <f t="shared" ref="I78:J79" si="97">I77</f>
        <v>#DIV/0!</v>
      </c>
      <c r="J78" t="e">
        <f t="shared" si="97"/>
        <v>#DIV/0!</v>
      </c>
      <c r="K78">
        <f>I2</f>
        <v>31.79707418599725</v>
      </c>
      <c r="L78">
        <f>I14</f>
        <v>17.903864183743451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E79" t="s">
        <v>33</v>
      </c>
      <c r="F79" t="s">
        <v>110</v>
      </c>
      <c r="H79">
        <v>128</v>
      </c>
      <c r="I79" t="e">
        <f t="shared" si="97"/>
        <v>#DIV/0!</v>
      </c>
      <c r="J79" t="e">
        <f t="shared" ref="J79" si="98">J77</f>
        <v>#DIV/0!</v>
      </c>
      <c r="K79">
        <f>I2</f>
        <v>31.79707418599725</v>
      </c>
      <c r="L79">
        <f>I14</f>
        <v>17.903864183743451</v>
      </c>
      <c r="M79" t="e">
        <f t="shared" si="82"/>
        <v>#DIV/0!</v>
      </c>
      <c r="N79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 t="s">
        <v>33</v>
      </c>
      <c r="F80" s="17" t="s">
        <v>111</v>
      </c>
      <c r="G80" s="20" t="s">
        <v>18</v>
      </c>
      <c r="H80" s="17">
        <v>129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 t="e">
        <f>I8</f>
        <v>#DIV/0!</v>
      </c>
      <c r="L80" s="17">
        <f>I20</f>
        <v>17.915092727119351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34.144516565658897</v>
      </c>
      <c r="F81" s="17" t="s">
        <v>112</v>
      </c>
      <c r="G81" s="20" t="s">
        <v>18</v>
      </c>
      <c r="H81" s="17">
        <v>129</v>
      </c>
      <c r="I81" s="17" t="e">
        <f t="shared" ref="I81:J81" si="101">I80</f>
        <v>#DIV/0!</v>
      </c>
      <c r="J81" s="17" t="e">
        <f t="shared" si="101"/>
        <v>#DIV/0!</v>
      </c>
      <c r="K81" s="17" t="e">
        <f>I8</f>
        <v>#DIV/0!</v>
      </c>
      <c r="L81" s="17">
        <f>I20</f>
        <v>17.915092727119351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 t="s">
        <v>33</v>
      </c>
      <c r="F82" s="17" t="s">
        <v>113</v>
      </c>
      <c r="G82" s="20" t="s">
        <v>18</v>
      </c>
      <c r="H82" s="17">
        <v>129</v>
      </c>
      <c r="I82" s="17" t="e">
        <f t="shared" ref="I82:J82" si="102">I80</f>
        <v>#DIV/0!</v>
      </c>
      <c r="J82" s="17" t="e">
        <f t="shared" si="102"/>
        <v>#DIV/0!</v>
      </c>
      <c r="K82" s="17" t="e">
        <f>I8</f>
        <v>#DIV/0!</v>
      </c>
      <c r="L82" s="17">
        <f>I20</f>
        <v>17.915092727119351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E83" s="17" t="s">
        <v>33</v>
      </c>
      <c r="F83" s="17" t="s">
        <v>114</v>
      </c>
      <c r="H83" s="17">
        <v>129</v>
      </c>
      <c r="I83" s="17" t="e">
        <f t="shared" ref="I83" si="103">AVERAGE(D83:D85)</f>
        <v>#DIV/0!</v>
      </c>
      <c r="J83" s="17" t="e">
        <f t="shared" ref="J83" si="104">STDEV(D83:D85)</f>
        <v>#DIV/0!</v>
      </c>
      <c r="K83" s="17" t="e">
        <f>I8</f>
        <v>#DIV/0!</v>
      </c>
      <c r="L83" s="17">
        <f>I20</f>
        <v>17.915092727119351</v>
      </c>
      <c r="M83" s="17" t="e">
        <f t="shared" si="82"/>
        <v>#DIV/0!</v>
      </c>
      <c r="N83" s="17" t="e">
        <f t="shared" si="83"/>
        <v>#DIV/0!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E84" s="17" t="s">
        <v>33</v>
      </c>
      <c r="F84" s="17" t="s">
        <v>115</v>
      </c>
      <c r="H84" s="17">
        <v>129</v>
      </c>
      <c r="I84" s="17" t="e">
        <f t="shared" ref="I84:J85" si="105">I83</f>
        <v>#DIV/0!</v>
      </c>
      <c r="J84" s="17" t="e">
        <f t="shared" si="105"/>
        <v>#DIV/0!</v>
      </c>
      <c r="K84" s="17" t="e">
        <f>I8</f>
        <v>#DIV/0!</v>
      </c>
      <c r="L84" s="17">
        <f>I20</f>
        <v>17.915092727119351</v>
      </c>
      <c r="M84" s="17" t="e">
        <f t="shared" si="82"/>
        <v>#DIV/0!</v>
      </c>
      <c r="N84" s="17" t="e">
        <f t="shared" si="83"/>
        <v>#DIV/0!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E85" s="17" t="s">
        <v>33</v>
      </c>
      <c r="F85" s="17" t="s">
        <v>116</v>
      </c>
      <c r="H85" s="17">
        <v>129</v>
      </c>
      <c r="I85" s="17" t="e">
        <f t="shared" si="105"/>
        <v>#DIV/0!</v>
      </c>
      <c r="J85" s="17" t="e">
        <f t="shared" ref="J85" si="106">J83</f>
        <v>#DIV/0!</v>
      </c>
      <c r="K85" s="17" t="e">
        <f>I8</f>
        <v>#DIV/0!</v>
      </c>
      <c r="L85" s="17">
        <f>I20</f>
        <v>17.915092727119351</v>
      </c>
      <c r="M85" s="17" t="e">
        <f t="shared" si="82"/>
        <v>#DIV/0!</v>
      </c>
      <c r="N85" s="17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36.055390141529699</v>
      </c>
      <c r="F86" s="17" t="s">
        <v>117</v>
      </c>
      <c r="G86" s="21" t="s">
        <v>19</v>
      </c>
      <c r="H86" s="17">
        <v>128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31.79707418599725</v>
      </c>
      <c r="L86" s="17">
        <f>I14</f>
        <v>17.903864183743451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32.628295269765403</v>
      </c>
      <c r="F87" s="17" t="s">
        <v>118</v>
      </c>
      <c r="G87" s="21" t="s">
        <v>19</v>
      </c>
      <c r="H87" s="17">
        <v>128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31.79707418599725</v>
      </c>
      <c r="L87" s="17">
        <f>I14</f>
        <v>17.903864183743451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30.8118945206554</v>
      </c>
      <c r="F88" s="17" t="s">
        <v>119</v>
      </c>
      <c r="G88" s="21" t="s">
        <v>19</v>
      </c>
      <c r="H88" s="17">
        <v>128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31.79707418599725</v>
      </c>
      <c r="L88" s="17">
        <f>I14</f>
        <v>17.903864183743451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E89" s="17" t="s">
        <v>33</v>
      </c>
      <c r="F89" s="17" t="s">
        <v>120</v>
      </c>
      <c r="H89" s="17">
        <v>128</v>
      </c>
      <c r="I89" s="17" t="e">
        <f t="shared" ref="I89" si="111">AVERAGE(D89:D91)</f>
        <v>#DIV/0!</v>
      </c>
      <c r="J89" s="17" t="e">
        <f t="shared" ref="J89" si="112">STDEV(D89:D91)</f>
        <v>#DIV/0!</v>
      </c>
      <c r="K89" s="17">
        <f>I2</f>
        <v>31.79707418599725</v>
      </c>
      <c r="L89" s="17">
        <f>I14</f>
        <v>17.903864183743451</v>
      </c>
      <c r="M89" s="17" t="e">
        <f t="shared" si="82"/>
        <v>#DIV/0!</v>
      </c>
      <c r="N89" s="17" t="e">
        <f t="shared" si="83"/>
        <v>#DIV/0!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E90" s="17" t="s">
        <v>33</v>
      </c>
      <c r="F90" s="17" t="s">
        <v>121</v>
      </c>
      <c r="H90" s="17">
        <v>128</v>
      </c>
      <c r="I90" s="17" t="e">
        <f t="shared" ref="I90:J91" si="113">I89</f>
        <v>#DIV/0!</v>
      </c>
      <c r="J90" s="17" t="e">
        <f t="shared" si="113"/>
        <v>#DIV/0!</v>
      </c>
      <c r="K90" s="17">
        <f>I2</f>
        <v>31.79707418599725</v>
      </c>
      <c r="L90" s="17">
        <f>I14</f>
        <v>17.903864183743451</v>
      </c>
      <c r="M90" s="17" t="e">
        <f t="shared" si="82"/>
        <v>#DIV/0!</v>
      </c>
      <c r="N90" s="17" t="e">
        <f t="shared" si="83"/>
        <v>#DIV/0!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E91" s="17" t="s">
        <v>33</v>
      </c>
      <c r="F91" s="17" t="s">
        <v>122</v>
      </c>
      <c r="H91" s="17">
        <v>128</v>
      </c>
      <c r="I91" s="17" t="e">
        <f t="shared" si="113"/>
        <v>#DIV/0!</v>
      </c>
      <c r="J91" s="17" t="e">
        <f t="shared" ref="J91" si="114">J89</f>
        <v>#DIV/0!</v>
      </c>
      <c r="K91" s="17">
        <f>I2</f>
        <v>31.79707418599725</v>
      </c>
      <c r="L91" s="17">
        <f>I14</f>
        <v>17.903864183743451</v>
      </c>
      <c r="M91" s="17" t="e">
        <f t="shared" si="82"/>
        <v>#DIV/0!</v>
      </c>
      <c r="N91" s="17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 t="s">
        <v>33</v>
      </c>
      <c r="F92" s="17" t="s">
        <v>123</v>
      </c>
      <c r="G92" s="21" t="s">
        <v>19</v>
      </c>
      <c r="H92" s="17">
        <v>129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 t="e">
        <f>I8</f>
        <v>#DIV/0!</v>
      </c>
      <c r="L92" s="17">
        <f>I20</f>
        <v>17.915092727119351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36.036476815658297</v>
      </c>
      <c r="F93" s="17" t="s">
        <v>124</v>
      </c>
      <c r="G93" s="21" t="s">
        <v>19</v>
      </c>
      <c r="H93" s="17">
        <v>129</v>
      </c>
      <c r="I93" s="17" t="e">
        <f t="shared" ref="I93:J93" si="117">I92</f>
        <v>#DIV/0!</v>
      </c>
      <c r="J93" s="17" t="e">
        <f t="shared" si="117"/>
        <v>#DIV/0!</v>
      </c>
      <c r="K93" s="17" t="e">
        <f>I8</f>
        <v>#DIV/0!</v>
      </c>
      <c r="L93" s="17">
        <f>I20</f>
        <v>17.915092727119351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 t="s">
        <v>33</v>
      </c>
      <c r="F94" s="17" t="s">
        <v>125</v>
      </c>
      <c r="G94" s="21" t="s">
        <v>19</v>
      </c>
      <c r="H94" s="17">
        <v>129</v>
      </c>
      <c r="I94" s="17" t="e">
        <f t="shared" ref="I94:J94" si="118">I92</f>
        <v>#DIV/0!</v>
      </c>
      <c r="J94" s="17" t="e">
        <f t="shared" si="118"/>
        <v>#DIV/0!</v>
      </c>
      <c r="K94" s="17" t="e">
        <f>I8</f>
        <v>#DIV/0!</v>
      </c>
      <c r="L94" s="17">
        <f>I20</f>
        <v>17.915092727119351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E95" t="s">
        <v>33</v>
      </c>
      <c r="F95" t="s">
        <v>126</v>
      </c>
      <c r="H95">
        <v>129</v>
      </c>
      <c r="I95" t="e">
        <f t="shared" ref="I95" si="119">AVERAGE(D95:D97)</f>
        <v>#DIV/0!</v>
      </c>
      <c r="J95" t="e">
        <f t="shared" ref="J95" si="120">STDEV(D95:D97)</f>
        <v>#DIV/0!</v>
      </c>
      <c r="K95" t="e">
        <f>I8</f>
        <v>#DIV/0!</v>
      </c>
      <c r="L95">
        <f>I20</f>
        <v>17.915092727119351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E96" t="s">
        <v>33</v>
      </c>
      <c r="F96" t="s">
        <v>127</v>
      </c>
      <c r="H96">
        <v>129</v>
      </c>
      <c r="I96" t="e">
        <f t="shared" ref="I96:J97" si="121">I95</f>
        <v>#DIV/0!</v>
      </c>
      <c r="J96" t="e">
        <f t="shared" si="121"/>
        <v>#DIV/0!</v>
      </c>
      <c r="K96" t="e">
        <f>I8</f>
        <v>#DIV/0!</v>
      </c>
      <c r="L96">
        <f>I20</f>
        <v>17.915092727119351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E97" t="s">
        <v>33</v>
      </c>
      <c r="F97" t="s">
        <v>128</v>
      </c>
      <c r="H97">
        <v>129</v>
      </c>
      <c r="I97" t="e">
        <f t="shared" si="121"/>
        <v>#DIV/0!</v>
      </c>
      <c r="J97" t="e">
        <f t="shared" ref="J97" si="122">J95</f>
        <v>#DIV/0!</v>
      </c>
      <c r="K97" t="e">
        <f>I8</f>
        <v>#DIV/0!</v>
      </c>
      <c r="L97">
        <f>I20</f>
        <v>17.915092727119351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6" priority="1" operator="greaterThan">
      <formula>0.3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F7AE-DFDA-4942-9280-76BDD31F1362}">
  <dimension ref="A1:N97"/>
  <sheetViews>
    <sheetView topLeftCell="A27" workbookViewId="0">
      <selection activeCell="A80" sqref="A80:XFD82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31.0415069559321</v>
      </c>
      <c r="E2">
        <v>31.0415069559321</v>
      </c>
      <c r="F2" t="s">
        <v>31</v>
      </c>
      <c r="G2" s="9" t="s">
        <v>9</v>
      </c>
      <c r="H2">
        <v>131</v>
      </c>
      <c r="I2">
        <f>AVERAGE(D2:D4)</f>
        <v>30.774971028120731</v>
      </c>
      <c r="J2">
        <f>STDEV(D2:D4)</f>
        <v>0.27660838274768423</v>
      </c>
      <c r="K2">
        <f>I2</f>
        <v>30.774971028120731</v>
      </c>
      <c r="L2">
        <f>I14</f>
        <v>18.597521195345998</v>
      </c>
      <c r="M2">
        <f>I2-K2</f>
        <v>0</v>
      </c>
      <c r="N2">
        <f>I2-L2</f>
        <v>12.177449832774734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30.489285392025799</v>
      </c>
      <c r="E3">
        <v>30.489285392025799</v>
      </c>
      <c r="F3" t="s">
        <v>34</v>
      </c>
      <c r="G3" s="9" t="s">
        <v>9</v>
      </c>
      <c r="H3">
        <v>131</v>
      </c>
      <c r="I3">
        <f>I2</f>
        <v>30.774971028120731</v>
      </c>
      <c r="J3">
        <f>J2</f>
        <v>0.27660838274768423</v>
      </c>
      <c r="K3">
        <f>I2</f>
        <v>30.774971028120731</v>
      </c>
      <c r="L3">
        <f>I14</f>
        <v>18.597521195345998</v>
      </c>
      <c r="M3">
        <f t="shared" ref="M3:M66" si="0">I3-K3</f>
        <v>0</v>
      </c>
      <c r="N3">
        <f t="shared" ref="N3:N66" si="1">I3-L3</f>
        <v>12.177449832774734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30.794120736404299</v>
      </c>
      <c r="E4">
        <v>30.794120736404299</v>
      </c>
      <c r="F4" t="s">
        <v>35</v>
      </c>
      <c r="G4" s="9" t="s">
        <v>9</v>
      </c>
      <c r="H4">
        <v>131</v>
      </c>
      <c r="I4">
        <f>I2</f>
        <v>30.774971028120731</v>
      </c>
      <c r="J4">
        <f>J2</f>
        <v>0.27660838274768423</v>
      </c>
      <c r="K4">
        <f>I2</f>
        <v>30.774971028120731</v>
      </c>
      <c r="L4">
        <f>I14</f>
        <v>18.597521195345998</v>
      </c>
      <c r="M4">
        <f t="shared" si="0"/>
        <v>0</v>
      </c>
      <c r="N4">
        <f t="shared" si="1"/>
        <v>12.177449832774734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30.533002904706301</v>
      </c>
      <c r="E5">
        <v>30.533002904706301</v>
      </c>
      <c r="F5" t="s">
        <v>36</v>
      </c>
      <c r="G5" s="2" t="s">
        <v>20</v>
      </c>
      <c r="H5">
        <v>131</v>
      </c>
      <c r="I5">
        <f>AVERAGE(D5:D7)</f>
        <v>30.290372711582702</v>
      </c>
      <c r="J5">
        <f>STDEV(D5:D7)</f>
        <v>0.22515819040236229</v>
      </c>
      <c r="K5">
        <f>I2</f>
        <v>30.774971028120731</v>
      </c>
      <c r="L5">
        <f>I14</f>
        <v>18.597521195345998</v>
      </c>
      <c r="M5">
        <f t="shared" si="0"/>
        <v>-0.48459831653802965</v>
      </c>
      <c r="N5">
        <f t="shared" si="1"/>
        <v>11.692851516236704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30.249953552767298</v>
      </c>
      <c r="E6">
        <v>30.249953552767298</v>
      </c>
      <c r="F6" t="s">
        <v>37</v>
      </c>
      <c r="G6" s="2" t="s">
        <v>20</v>
      </c>
      <c r="H6">
        <v>131</v>
      </c>
      <c r="I6">
        <f>I5</f>
        <v>30.290372711582702</v>
      </c>
      <c r="J6">
        <f>J5</f>
        <v>0.22515819040236229</v>
      </c>
      <c r="K6">
        <f>I2</f>
        <v>30.774971028120731</v>
      </c>
      <c r="L6">
        <f>I14</f>
        <v>18.597521195345998</v>
      </c>
      <c r="M6">
        <f t="shared" si="0"/>
        <v>-0.48459831653802965</v>
      </c>
      <c r="N6">
        <f t="shared" si="1"/>
        <v>11.692851516236704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30.088161677274499</v>
      </c>
      <c r="E7">
        <v>30.088161677274499</v>
      </c>
      <c r="F7" t="s">
        <v>38</v>
      </c>
      <c r="G7" s="2" t="s">
        <v>20</v>
      </c>
      <c r="H7">
        <v>131</v>
      </c>
      <c r="I7">
        <f>I6</f>
        <v>30.290372711582702</v>
      </c>
      <c r="J7">
        <f>J5</f>
        <v>0.22515819040236229</v>
      </c>
      <c r="K7">
        <f>I2</f>
        <v>30.774971028120731</v>
      </c>
      <c r="L7">
        <f>I14</f>
        <v>18.597521195345998</v>
      </c>
      <c r="M7">
        <f t="shared" si="0"/>
        <v>-0.48459831653802965</v>
      </c>
      <c r="N7">
        <f t="shared" si="1"/>
        <v>11.692851516236704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33.224086303867303</v>
      </c>
      <c r="E8">
        <v>33.224086303867303</v>
      </c>
      <c r="F8" t="s">
        <v>39</v>
      </c>
      <c r="G8" s="9" t="s">
        <v>9</v>
      </c>
      <c r="H8">
        <v>142</v>
      </c>
      <c r="I8">
        <f t="shared" ref="I8" si="2">AVERAGE(D8:D10)</f>
        <v>32.8835381993648</v>
      </c>
      <c r="J8">
        <f t="shared" ref="J8" si="3">STDEV(D8:D10)</f>
        <v>0.48160774802788942</v>
      </c>
      <c r="K8">
        <f>I8</f>
        <v>32.8835381993648</v>
      </c>
      <c r="L8">
        <f>I20</f>
        <v>17.877028887317366</v>
      </c>
      <c r="M8">
        <f t="shared" si="0"/>
        <v>0</v>
      </c>
      <c r="N8">
        <f t="shared" si="1"/>
        <v>15.006509312047434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32.542990094862297</v>
      </c>
      <c r="E9">
        <v>32.542990094862297</v>
      </c>
      <c r="F9" t="s">
        <v>40</v>
      </c>
      <c r="G9" s="9" t="s">
        <v>9</v>
      </c>
      <c r="H9">
        <v>142</v>
      </c>
      <c r="I9">
        <f t="shared" ref="I9:J9" si="4">I8</f>
        <v>32.8835381993648</v>
      </c>
      <c r="J9">
        <f t="shared" si="4"/>
        <v>0.48160774802788942</v>
      </c>
      <c r="K9">
        <f>I8</f>
        <v>32.8835381993648</v>
      </c>
      <c r="L9">
        <f>I20</f>
        <v>17.877028887317366</v>
      </c>
      <c r="M9">
        <f t="shared" si="0"/>
        <v>0</v>
      </c>
      <c r="N9">
        <f t="shared" si="1"/>
        <v>15.006509312047434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34.181857031609503</v>
      </c>
      <c r="F10" t="s">
        <v>41</v>
      </c>
      <c r="G10" s="9" t="s">
        <v>9</v>
      </c>
      <c r="H10">
        <v>142</v>
      </c>
      <c r="I10">
        <f t="shared" ref="I10:J10" si="5">I8</f>
        <v>32.8835381993648</v>
      </c>
      <c r="J10">
        <f t="shared" si="5"/>
        <v>0.48160774802788942</v>
      </c>
      <c r="K10">
        <f>I8</f>
        <v>32.8835381993648</v>
      </c>
      <c r="L10">
        <f>I20</f>
        <v>17.877028887317366</v>
      </c>
      <c r="M10">
        <f t="shared" si="0"/>
        <v>0</v>
      </c>
      <c r="N10">
        <f t="shared" si="1"/>
        <v>15.006509312047434</v>
      </c>
    </row>
    <row r="11" spans="1:14" ht="17" thickBot="1" x14ac:dyDescent="0.25">
      <c r="A11" t="s">
        <v>42</v>
      </c>
      <c r="B11" t="s">
        <v>129</v>
      </c>
      <c r="C11" t="s">
        <v>32</v>
      </c>
      <c r="E11">
        <v>33.708896631546502</v>
      </c>
      <c r="F11" t="s">
        <v>42</v>
      </c>
      <c r="G11" s="2" t="s">
        <v>20</v>
      </c>
      <c r="H11">
        <v>142</v>
      </c>
      <c r="I11">
        <f t="shared" ref="I11" si="6">AVERAGE(D11:D13)</f>
        <v>34.603371928980749</v>
      </c>
      <c r="J11">
        <f t="shared" ref="J11" si="7">STDEV(D11:D13)</f>
        <v>0.23731856545833477</v>
      </c>
      <c r="K11">
        <f>I8</f>
        <v>32.8835381993648</v>
      </c>
      <c r="L11">
        <f>I20</f>
        <v>17.877028887317366</v>
      </c>
      <c r="M11">
        <f t="shared" si="0"/>
        <v>1.7198337296159494</v>
      </c>
      <c r="N11">
        <f t="shared" si="1"/>
        <v>16.726343041663384</v>
      </c>
    </row>
    <row r="12" spans="1:14" ht="17" thickBot="1" x14ac:dyDescent="0.25">
      <c r="A12" t="s">
        <v>43</v>
      </c>
      <c r="B12" t="s">
        <v>129</v>
      </c>
      <c r="C12" t="s">
        <v>32</v>
      </c>
      <c r="D12">
        <v>34.435562362043697</v>
      </c>
      <c r="E12">
        <v>34.435562362043697</v>
      </c>
      <c r="F12" t="s">
        <v>43</v>
      </c>
      <c r="G12" s="2" t="s">
        <v>20</v>
      </c>
      <c r="H12">
        <v>142</v>
      </c>
      <c r="I12">
        <f t="shared" ref="I12:J13" si="8">I11</f>
        <v>34.603371928980749</v>
      </c>
      <c r="J12">
        <f t="shared" si="8"/>
        <v>0.23731856545833477</v>
      </c>
      <c r="K12">
        <f>I8</f>
        <v>32.8835381993648</v>
      </c>
      <c r="L12">
        <f>I20</f>
        <v>17.877028887317366</v>
      </c>
      <c r="M12">
        <f t="shared" si="0"/>
        <v>1.7198337296159494</v>
      </c>
      <c r="N12">
        <f t="shared" si="1"/>
        <v>16.726343041663384</v>
      </c>
    </row>
    <row r="13" spans="1:14" x14ac:dyDescent="0.2">
      <c r="A13" t="s">
        <v>44</v>
      </c>
      <c r="B13" t="s">
        <v>129</v>
      </c>
      <c r="C13" t="s">
        <v>32</v>
      </c>
      <c r="D13">
        <v>34.771181495917801</v>
      </c>
      <c r="E13">
        <v>34.771181495917801</v>
      </c>
      <c r="F13" t="s">
        <v>44</v>
      </c>
      <c r="G13" s="2" t="s">
        <v>20</v>
      </c>
      <c r="H13">
        <v>142</v>
      </c>
      <c r="I13">
        <f t="shared" si="8"/>
        <v>34.603371928980749</v>
      </c>
      <c r="J13">
        <f t="shared" ref="J13" si="9">J11</f>
        <v>0.23731856545833477</v>
      </c>
      <c r="K13">
        <f>I8</f>
        <v>32.8835381993648</v>
      </c>
      <c r="L13">
        <f>I20</f>
        <v>17.877028887317366</v>
      </c>
      <c r="M13">
        <f t="shared" si="0"/>
        <v>1.7198337296159494</v>
      </c>
      <c r="N13">
        <f t="shared" si="1"/>
        <v>16.726343041663384</v>
      </c>
    </row>
    <row r="14" spans="1:14" x14ac:dyDescent="0.2">
      <c r="A14" t="s">
        <v>45</v>
      </c>
      <c r="B14" t="s">
        <v>129</v>
      </c>
      <c r="C14" t="s">
        <v>32</v>
      </c>
      <c r="D14">
        <v>18.721197365861599</v>
      </c>
      <c r="E14">
        <v>18.721197365861599</v>
      </c>
      <c r="F14" t="s">
        <v>45</v>
      </c>
      <c r="G14" s="11" t="s">
        <v>8</v>
      </c>
      <c r="H14">
        <v>131</v>
      </c>
      <c r="I14">
        <f t="shared" ref="I14" si="10">AVERAGE(D14:D16)</f>
        <v>18.597521195345998</v>
      </c>
      <c r="J14">
        <f t="shared" ref="J14" si="11">STDEV(D14:D16)</f>
        <v>0.1225748996492657</v>
      </c>
      <c r="K14">
        <f>I2</f>
        <v>30.774971028120731</v>
      </c>
      <c r="L14">
        <f>I14</f>
        <v>18.597521195345998</v>
      </c>
      <c r="M14">
        <f t="shared" si="0"/>
        <v>-12.177449832774734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18.595288140571999</v>
      </c>
      <c r="E15">
        <v>18.595288140571999</v>
      </c>
      <c r="F15" t="s">
        <v>46</v>
      </c>
      <c r="G15" s="11" t="s">
        <v>8</v>
      </c>
      <c r="H15">
        <v>131</v>
      </c>
      <c r="I15">
        <f t="shared" ref="I15:J15" si="12">I14</f>
        <v>18.597521195345998</v>
      </c>
      <c r="J15">
        <f t="shared" si="12"/>
        <v>0.1225748996492657</v>
      </c>
      <c r="K15">
        <f>I2</f>
        <v>30.774971028120731</v>
      </c>
      <c r="L15">
        <f>I14</f>
        <v>18.597521195345998</v>
      </c>
      <c r="M15">
        <f t="shared" si="0"/>
        <v>-12.177449832774734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18.476078079604399</v>
      </c>
      <c r="E16">
        <v>18.476078079604399</v>
      </c>
      <c r="F16" t="s">
        <v>47</v>
      </c>
      <c r="G16" s="11" t="s">
        <v>8</v>
      </c>
      <c r="H16">
        <v>131</v>
      </c>
      <c r="I16">
        <f t="shared" ref="I16:J16" si="13">I14</f>
        <v>18.597521195345998</v>
      </c>
      <c r="J16">
        <f t="shared" si="13"/>
        <v>0.1225748996492657</v>
      </c>
      <c r="K16">
        <f>I2</f>
        <v>30.774971028120731</v>
      </c>
      <c r="L16">
        <f>I14</f>
        <v>18.597521195345998</v>
      </c>
      <c r="M16">
        <f t="shared" si="0"/>
        <v>-12.177449832774734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31.018695818911301</v>
      </c>
      <c r="E17">
        <v>31.018695818911301</v>
      </c>
      <c r="F17" t="s">
        <v>48</v>
      </c>
      <c r="G17" s="1" t="s">
        <v>21</v>
      </c>
      <c r="H17">
        <v>131</v>
      </c>
      <c r="I17">
        <f t="shared" ref="I17" si="14">AVERAGE(D17:D19)</f>
        <v>31.0149167406103</v>
      </c>
      <c r="J17">
        <f t="shared" ref="J17" si="15">STDEV(D17:D19)</f>
        <v>7.2169667596315313E-3</v>
      </c>
      <c r="K17">
        <f>I2</f>
        <v>30.774971028120731</v>
      </c>
      <c r="L17">
        <f>I14</f>
        <v>18.597521195345998</v>
      </c>
      <c r="M17">
        <f t="shared" si="0"/>
        <v>0.23994571248956831</v>
      </c>
      <c r="N17">
        <f t="shared" si="1"/>
        <v>12.417395545264302</v>
      </c>
    </row>
    <row r="18" spans="1:14" x14ac:dyDescent="0.2">
      <c r="A18" t="s">
        <v>49</v>
      </c>
      <c r="B18" t="s">
        <v>129</v>
      </c>
      <c r="C18" t="s">
        <v>32</v>
      </c>
      <c r="D18">
        <v>31.006594975203999</v>
      </c>
      <c r="E18">
        <v>31.006594975203999</v>
      </c>
      <c r="F18" t="s">
        <v>49</v>
      </c>
      <c r="G18" s="1" t="s">
        <v>21</v>
      </c>
      <c r="H18">
        <v>131</v>
      </c>
      <c r="I18">
        <f t="shared" ref="I18:J19" si="16">I17</f>
        <v>31.0149167406103</v>
      </c>
      <c r="J18">
        <f t="shared" si="16"/>
        <v>7.2169667596315313E-3</v>
      </c>
      <c r="K18">
        <f>I2</f>
        <v>30.774971028120731</v>
      </c>
      <c r="L18">
        <f>I14</f>
        <v>18.597521195345998</v>
      </c>
      <c r="M18">
        <f t="shared" si="0"/>
        <v>0.23994571248956831</v>
      </c>
      <c r="N18">
        <f t="shared" si="1"/>
        <v>12.417395545264302</v>
      </c>
    </row>
    <row r="19" spans="1:14" x14ac:dyDescent="0.2">
      <c r="A19" t="s">
        <v>50</v>
      </c>
      <c r="B19" t="s">
        <v>129</v>
      </c>
      <c r="C19" t="s">
        <v>32</v>
      </c>
      <c r="D19">
        <v>31.019459427715599</v>
      </c>
      <c r="E19">
        <v>31.019459427715599</v>
      </c>
      <c r="F19" t="s">
        <v>50</v>
      </c>
      <c r="G19" s="1" t="s">
        <v>21</v>
      </c>
      <c r="H19">
        <v>131</v>
      </c>
      <c r="I19">
        <f t="shared" si="16"/>
        <v>31.0149167406103</v>
      </c>
      <c r="J19">
        <f t="shared" ref="J19" si="17">J17</f>
        <v>7.2169667596315313E-3</v>
      </c>
      <c r="K19">
        <f>I2</f>
        <v>30.774971028120731</v>
      </c>
      <c r="L19">
        <f>I14</f>
        <v>18.597521195345998</v>
      </c>
      <c r="M19">
        <f t="shared" si="0"/>
        <v>0.23994571248956831</v>
      </c>
      <c r="N19">
        <f t="shared" si="1"/>
        <v>12.417395545264302</v>
      </c>
    </row>
    <row r="20" spans="1:14" x14ac:dyDescent="0.2">
      <c r="A20" t="s">
        <v>51</v>
      </c>
      <c r="B20" t="s">
        <v>129</v>
      </c>
      <c r="C20" t="s">
        <v>32</v>
      </c>
      <c r="D20">
        <v>17.980268416362399</v>
      </c>
      <c r="E20">
        <v>17.980268416362399</v>
      </c>
      <c r="F20" t="s">
        <v>51</v>
      </c>
      <c r="G20" s="11" t="s">
        <v>8</v>
      </c>
      <c r="H20">
        <v>142</v>
      </c>
      <c r="I20">
        <f t="shared" ref="I20" si="18">AVERAGE(D20:D22)</f>
        <v>17.877028887317366</v>
      </c>
      <c r="J20">
        <f t="shared" ref="J20" si="19">STDEV(D20:D22)</f>
        <v>0.10480166684670306</v>
      </c>
      <c r="K20">
        <f>I8</f>
        <v>32.8835381993648</v>
      </c>
      <c r="L20">
        <f>I20</f>
        <v>17.877028887317366</v>
      </c>
      <c r="M20">
        <f t="shared" si="0"/>
        <v>-15.006509312047434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17.8800862579225</v>
      </c>
      <c r="E21">
        <v>17.8800862579225</v>
      </c>
      <c r="F21" t="s">
        <v>52</v>
      </c>
      <c r="G21" s="11" t="s">
        <v>8</v>
      </c>
      <c r="H21">
        <v>142</v>
      </c>
      <c r="I21">
        <f t="shared" ref="I21:J21" si="20">I20</f>
        <v>17.877028887317366</v>
      </c>
      <c r="J21">
        <f t="shared" si="20"/>
        <v>0.10480166684670306</v>
      </c>
      <c r="K21">
        <f>I8</f>
        <v>32.8835381993648</v>
      </c>
      <c r="L21">
        <f>I20</f>
        <v>17.877028887317366</v>
      </c>
      <c r="M21">
        <f t="shared" si="0"/>
        <v>-15.006509312047434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17.770731987667201</v>
      </c>
      <c r="E22">
        <v>17.770731987667201</v>
      </c>
      <c r="F22" t="s">
        <v>53</v>
      </c>
      <c r="G22" s="11" t="s">
        <v>8</v>
      </c>
      <c r="H22">
        <v>142</v>
      </c>
      <c r="I22">
        <f t="shared" ref="I22:J22" si="21">I20</f>
        <v>17.877028887317366</v>
      </c>
      <c r="J22">
        <f t="shared" si="21"/>
        <v>0.10480166684670306</v>
      </c>
      <c r="K22">
        <f>I8</f>
        <v>32.8835381993648</v>
      </c>
      <c r="L22">
        <f>I20</f>
        <v>17.877028887317366</v>
      </c>
      <c r="M22">
        <f t="shared" si="0"/>
        <v>-15.006509312047434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35.315086573776199</v>
      </c>
      <c r="E23">
        <v>35.315086573776199</v>
      </c>
      <c r="F23" t="s">
        <v>54</v>
      </c>
      <c r="G23" s="1" t="s">
        <v>21</v>
      </c>
      <c r="H23">
        <v>142</v>
      </c>
      <c r="I23">
        <f t="shared" ref="I23" si="22">AVERAGE(D23:D25)</f>
        <v>35.656998724477646</v>
      </c>
      <c r="J23">
        <f t="shared" ref="J23" si="23">STDEV(D23:D25)</f>
        <v>0.48353680066214444</v>
      </c>
      <c r="K23">
        <f>I8</f>
        <v>32.8835381993648</v>
      </c>
      <c r="L23">
        <f>I20</f>
        <v>17.877028887317366</v>
      </c>
      <c r="M23">
        <f t="shared" si="0"/>
        <v>2.7734605251128457</v>
      </c>
      <c r="N23">
        <f t="shared" si="1"/>
        <v>17.77996983716028</v>
      </c>
    </row>
    <row r="24" spans="1:14" x14ac:dyDescent="0.2">
      <c r="A24" t="s">
        <v>55</v>
      </c>
      <c r="B24" t="s">
        <v>129</v>
      </c>
      <c r="C24" t="s">
        <v>32</v>
      </c>
      <c r="E24">
        <v>34.978468535661598</v>
      </c>
      <c r="F24" t="s">
        <v>55</v>
      </c>
      <c r="G24" s="1" t="s">
        <v>21</v>
      </c>
      <c r="H24">
        <v>142</v>
      </c>
      <c r="I24">
        <f t="shared" ref="I24:J25" si="24">I23</f>
        <v>35.656998724477646</v>
      </c>
      <c r="J24">
        <f t="shared" si="24"/>
        <v>0.48353680066214444</v>
      </c>
      <c r="K24">
        <f>I8</f>
        <v>32.8835381993648</v>
      </c>
      <c r="L24">
        <f>I20</f>
        <v>17.877028887317366</v>
      </c>
      <c r="M24">
        <f t="shared" si="0"/>
        <v>2.7734605251128457</v>
      </c>
      <c r="N24">
        <f t="shared" si="1"/>
        <v>17.77996983716028</v>
      </c>
    </row>
    <row r="25" spans="1:14" x14ac:dyDescent="0.2">
      <c r="A25" t="s">
        <v>56</v>
      </c>
      <c r="B25" t="s">
        <v>129</v>
      </c>
      <c r="C25" t="s">
        <v>32</v>
      </c>
      <c r="D25">
        <v>35.998910875179099</v>
      </c>
      <c r="E25">
        <v>35.998910875179099</v>
      </c>
      <c r="F25" t="s">
        <v>56</v>
      </c>
      <c r="G25" s="1" t="s">
        <v>21</v>
      </c>
      <c r="H25">
        <v>142</v>
      </c>
      <c r="I25">
        <f t="shared" si="24"/>
        <v>35.656998724477646</v>
      </c>
      <c r="J25">
        <f t="shared" ref="J25" si="25">J23</f>
        <v>0.48353680066214444</v>
      </c>
      <c r="K25">
        <f>I8</f>
        <v>32.8835381993648</v>
      </c>
      <c r="L25">
        <f>I20</f>
        <v>17.877028887317366</v>
      </c>
      <c r="M25">
        <f t="shared" si="0"/>
        <v>2.7734605251128457</v>
      </c>
      <c r="N25">
        <f t="shared" si="1"/>
        <v>17.77996983716028</v>
      </c>
    </row>
    <row r="26" spans="1:14" x14ac:dyDescent="0.2">
      <c r="A26" t="s">
        <v>57</v>
      </c>
      <c r="B26" t="s">
        <v>129</v>
      </c>
      <c r="C26" t="s">
        <v>32</v>
      </c>
      <c r="D26">
        <v>30.469050536314999</v>
      </c>
      <c r="E26">
        <v>30.469050536314999</v>
      </c>
      <c r="F26" t="s">
        <v>57</v>
      </c>
      <c r="G26" s="4" t="s">
        <v>14</v>
      </c>
      <c r="H26">
        <v>131</v>
      </c>
      <c r="I26">
        <f t="shared" ref="I26" si="26">AVERAGE(D26:D28)</f>
        <v>30.382549636557101</v>
      </c>
      <c r="J26">
        <f t="shared" ref="J26" si="27">STDEV(D26:D28)</f>
        <v>0.1223307455950968</v>
      </c>
      <c r="K26">
        <f>I2</f>
        <v>30.774971028120731</v>
      </c>
      <c r="L26">
        <f>I14</f>
        <v>18.597521195345998</v>
      </c>
      <c r="M26">
        <f t="shared" si="0"/>
        <v>-0.3924213915636301</v>
      </c>
      <c r="N26">
        <f t="shared" si="1"/>
        <v>11.785028441211104</v>
      </c>
    </row>
    <row r="27" spans="1:14" x14ac:dyDescent="0.2">
      <c r="A27" t="s">
        <v>58</v>
      </c>
      <c r="B27" t="s">
        <v>129</v>
      </c>
      <c r="C27" t="s">
        <v>32</v>
      </c>
      <c r="E27">
        <v>29.046459106626902</v>
      </c>
      <c r="F27" t="s">
        <v>58</v>
      </c>
      <c r="G27" s="4" t="s">
        <v>14</v>
      </c>
      <c r="H27">
        <v>131</v>
      </c>
      <c r="I27">
        <f t="shared" ref="I27:J27" si="28">I26</f>
        <v>30.382549636557101</v>
      </c>
      <c r="J27">
        <f t="shared" si="28"/>
        <v>0.1223307455950968</v>
      </c>
      <c r="K27">
        <f>I2</f>
        <v>30.774971028120731</v>
      </c>
      <c r="L27">
        <f>I14</f>
        <v>18.597521195345998</v>
      </c>
      <c r="M27">
        <f t="shared" si="0"/>
        <v>-0.3924213915636301</v>
      </c>
      <c r="N27">
        <f t="shared" si="1"/>
        <v>11.785028441211104</v>
      </c>
    </row>
    <row r="28" spans="1:14" x14ac:dyDescent="0.2">
      <c r="A28" t="s">
        <v>59</v>
      </c>
      <c r="B28" t="s">
        <v>129</v>
      </c>
      <c r="C28" t="s">
        <v>32</v>
      </c>
      <c r="D28">
        <v>30.2960487367992</v>
      </c>
      <c r="E28">
        <v>30.2960487367992</v>
      </c>
      <c r="F28" t="s">
        <v>59</v>
      </c>
      <c r="G28" s="4" t="s">
        <v>14</v>
      </c>
      <c r="H28">
        <v>131</v>
      </c>
      <c r="I28">
        <f t="shared" ref="I28:J28" si="29">I26</f>
        <v>30.382549636557101</v>
      </c>
      <c r="J28">
        <f t="shared" si="29"/>
        <v>0.1223307455950968</v>
      </c>
      <c r="K28">
        <f>I2</f>
        <v>30.774971028120731</v>
      </c>
      <c r="L28">
        <f>I14</f>
        <v>18.597521195345998</v>
      </c>
      <c r="M28">
        <f t="shared" si="0"/>
        <v>-0.3924213915636301</v>
      </c>
      <c r="N28">
        <f t="shared" si="1"/>
        <v>11.785028441211104</v>
      </c>
    </row>
    <row r="29" spans="1:14" x14ac:dyDescent="0.2">
      <c r="A29" t="s">
        <v>60</v>
      </c>
      <c r="B29" t="s">
        <v>129</v>
      </c>
      <c r="C29" t="s">
        <v>32</v>
      </c>
      <c r="D29">
        <v>31.0692991532643</v>
      </c>
      <c r="E29">
        <v>31.0692991532643</v>
      </c>
      <c r="F29" t="s">
        <v>60</v>
      </c>
      <c r="G29" s="1" t="s">
        <v>23</v>
      </c>
      <c r="H29">
        <v>131</v>
      </c>
      <c r="I29">
        <f t="shared" ref="I29" si="30">AVERAGE(D29:D31)</f>
        <v>31.21252583084825</v>
      </c>
      <c r="J29">
        <f t="shared" ref="J29" si="31">STDEV(D29:D31)</f>
        <v>0.20255310993286083</v>
      </c>
      <c r="K29">
        <f>I2</f>
        <v>30.774971028120731</v>
      </c>
      <c r="L29">
        <f>I14</f>
        <v>18.597521195345998</v>
      </c>
      <c r="M29">
        <f t="shared" si="0"/>
        <v>0.43755480272751868</v>
      </c>
      <c r="N29">
        <f t="shared" si="1"/>
        <v>12.615004635502252</v>
      </c>
    </row>
    <row r="30" spans="1:14" x14ac:dyDescent="0.2">
      <c r="A30" t="s">
        <v>61</v>
      </c>
      <c r="B30" t="s">
        <v>129</v>
      </c>
      <c r="C30" t="s">
        <v>32</v>
      </c>
      <c r="E30">
        <v>30.424144206033901</v>
      </c>
      <c r="F30" t="s">
        <v>61</v>
      </c>
      <c r="G30" s="1" t="s">
        <v>23</v>
      </c>
      <c r="H30">
        <v>131</v>
      </c>
      <c r="I30">
        <f t="shared" ref="I30:J31" si="32">I29</f>
        <v>31.21252583084825</v>
      </c>
      <c r="J30">
        <f t="shared" si="32"/>
        <v>0.20255310993286083</v>
      </c>
      <c r="K30">
        <f>I2</f>
        <v>30.774971028120731</v>
      </c>
      <c r="L30">
        <f>I14</f>
        <v>18.597521195345998</v>
      </c>
      <c r="M30">
        <f t="shared" si="0"/>
        <v>0.43755480272751868</v>
      </c>
      <c r="N30">
        <f t="shared" si="1"/>
        <v>12.615004635502252</v>
      </c>
    </row>
    <row r="31" spans="1:14" x14ac:dyDescent="0.2">
      <c r="A31" t="s">
        <v>62</v>
      </c>
      <c r="B31" t="s">
        <v>129</v>
      </c>
      <c r="C31" t="s">
        <v>32</v>
      </c>
      <c r="D31">
        <v>31.3557525084322</v>
      </c>
      <c r="E31">
        <v>31.3557525084322</v>
      </c>
      <c r="F31" t="s">
        <v>62</v>
      </c>
      <c r="G31" s="1" t="s">
        <v>23</v>
      </c>
      <c r="H31">
        <v>131</v>
      </c>
      <c r="I31">
        <f t="shared" si="32"/>
        <v>31.21252583084825</v>
      </c>
      <c r="J31">
        <f t="shared" ref="J31" si="33">J29</f>
        <v>0.20255310993286083</v>
      </c>
      <c r="K31">
        <f>I2</f>
        <v>30.774971028120731</v>
      </c>
      <c r="L31">
        <f>I14</f>
        <v>18.597521195345998</v>
      </c>
      <c r="M31">
        <f t="shared" si="0"/>
        <v>0.43755480272751868</v>
      </c>
      <c r="N31">
        <f t="shared" si="1"/>
        <v>12.615004635502252</v>
      </c>
    </row>
    <row r="32" spans="1:14" x14ac:dyDescent="0.2">
      <c r="A32" t="s">
        <v>63</v>
      </c>
      <c r="B32" t="s">
        <v>129</v>
      </c>
      <c r="C32" t="s">
        <v>32</v>
      </c>
      <c r="D32">
        <v>34.363525733022797</v>
      </c>
      <c r="E32">
        <v>34.363525733022797</v>
      </c>
      <c r="F32" t="s">
        <v>63</v>
      </c>
      <c r="G32" s="4" t="s">
        <v>14</v>
      </c>
      <c r="H32">
        <v>142</v>
      </c>
      <c r="I32">
        <f t="shared" ref="I32" si="34">AVERAGE(D32:D34)</f>
        <v>34.628079205986495</v>
      </c>
      <c r="J32">
        <f t="shared" ref="J32" si="35">STDEV(D32:D34)</f>
        <v>0.37413510943817035</v>
      </c>
      <c r="K32">
        <f>I8</f>
        <v>32.8835381993648</v>
      </c>
      <c r="L32">
        <f>I20</f>
        <v>17.877028887317366</v>
      </c>
      <c r="M32">
        <f t="shared" si="0"/>
        <v>1.7445410066216951</v>
      </c>
      <c r="N32">
        <f t="shared" si="1"/>
        <v>16.75105031866913</v>
      </c>
    </row>
    <row r="33" spans="1:14" x14ac:dyDescent="0.2">
      <c r="A33" t="s">
        <v>64</v>
      </c>
      <c r="B33" t="s">
        <v>129</v>
      </c>
      <c r="C33" t="s">
        <v>32</v>
      </c>
      <c r="E33">
        <v>38.203074930500399</v>
      </c>
      <c r="F33" t="s">
        <v>64</v>
      </c>
      <c r="G33" s="4" t="s">
        <v>14</v>
      </c>
      <c r="H33">
        <v>142</v>
      </c>
      <c r="I33">
        <f t="shared" ref="I33:J33" si="36">I32</f>
        <v>34.628079205986495</v>
      </c>
      <c r="J33">
        <f t="shared" si="36"/>
        <v>0.37413510943817035</v>
      </c>
      <c r="K33">
        <f>I8</f>
        <v>32.8835381993648</v>
      </c>
      <c r="L33">
        <f>I20</f>
        <v>17.877028887317366</v>
      </c>
      <c r="M33">
        <f t="shared" si="0"/>
        <v>1.7445410066216951</v>
      </c>
      <c r="N33">
        <f t="shared" si="1"/>
        <v>16.75105031866913</v>
      </c>
    </row>
    <row r="34" spans="1:14" x14ac:dyDescent="0.2">
      <c r="A34" t="s">
        <v>65</v>
      </c>
      <c r="B34" t="s">
        <v>129</v>
      </c>
      <c r="C34" t="s">
        <v>32</v>
      </c>
      <c r="D34">
        <v>34.8926326789502</v>
      </c>
      <c r="E34">
        <v>34.8926326789502</v>
      </c>
      <c r="F34" t="s">
        <v>65</v>
      </c>
      <c r="G34" s="4" t="s">
        <v>14</v>
      </c>
      <c r="H34">
        <v>142</v>
      </c>
      <c r="I34">
        <f t="shared" ref="I34:J34" si="37">I32</f>
        <v>34.628079205986495</v>
      </c>
      <c r="J34">
        <f t="shared" si="37"/>
        <v>0.37413510943817035</v>
      </c>
      <c r="K34">
        <f>I8</f>
        <v>32.8835381993648</v>
      </c>
      <c r="L34">
        <f>I20</f>
        <v>17.877028887317366</v>
      </c>
      <c r="M34">
        <f t="shared" si="0"/>
        <v>1.7445410066216951</v>
      </c>
      <c r="N34">
        <f t="shared" si="1"/>
        <v>16.75105031866913</v>
      </c>
    </row>
    <row r="35" spans="1:14" x14ac:dyDescent="0.2">
      <c r="A35" t="s">
        <v>66</v>
      </c>
      <c r="B35" t="s">
        <v>129</v>
      </c>
      <c r="C35" t="s">
        <v>32</v>
      </c>
      <c r="D35">
        <v>33.022852855905903</v>
      </c>
      <c r="E35">
        <v>33.022852855905903</v>
      </c>
      <c r="F35" t="s">
        <v>66</v>
      </c>
      <c r="G35" s="1" t="s">
        <v>23</v>
      </c>
      <c r="H35">
        <v>142</v>
      </c>
      <c r="I35">
        <f t="shared" ref="I35" si="38">AVERAGE(D35:D37)</f>
        <v>33.302349207994098</v>
      </c>
      <c r="J35">
        <f t="shared" ref="J35" si="39">STDEV(D35:D37)</f>
        <v>0.39526753175693613</v>
      </c>
      <c r="K35">
        <f>I8</f>
        <v>32.8835381993648</v>
      </c>
      <c r="L35">
        <f>I20</f>
        <v>17.877028887317366</v>
      </c>
      <c r="M35">
        <f t="shared" si="0"/>
        <v>0.41881100862929799</v>
      </c>
      <c r="N35">
        <f t="shared" si="1"/>
        <v>15.425320320676732</v>
      </c>
    </row>
    <row r="36" spans="1:14" x14ac:dyDescent="0.2">
      <c r="A36" t="s">
        <v>67</v>
      </c>
      <c r="B36" t="s">
        <v>129</v>
      </c>
      <c r="C36" t="s">
        <v>32</v>
      </c>
      <c r="D36">
        <v>33.5818455600823</v>
      </c>
      <c r="E36">
        <v>33.5818455600823</v>
      </c>
      <c r="F36" t="s">
        <v>67</v>
      </c>
      <c r="G36" s="1" t="s">
        <v>23</v>
      </c>
      <c r="H36">
        <v>142</v>
      </c>
      <c r="I36">
        <f t="shared" ref="I36:J37" si="40">I35</f>
        <v>33.302349207994098</v>
      </c>
      <c r="J36">
        <f t="shared" si="40"/>
        <v>0.39526753175693613</v>
      </c>
      <c r="K36">
        <f>I8</f>
        <v>32.8835381993648</v>
      </c>
      <c r="L36">
        <f>I20</f>
        <v>17.877028887317366</v>
      </c>
      <c r="M36">
        <f t="shared" si="0"/>
        <v>0.41881100862929799</v>
      </c>
      <c r="N36">
        <f t="shared" si="1"/>
        <v>15.425320320676732</v>
      </c>
    </row>
    <row r="37" spans="1:14" x14ac:dyDescent="0.2">
      <c r="A37" t="s">
        <v>68</v>
      </c>
      <c r="B37" t="s">
        <v>129</v>
      </c>
      <c r="C37" t="s">
        <v>32</v>
      </c>
      <c r="E37">
        <v>34.147712481813002</v>
      </c>
      <c r="F37" t="s">
        <v>68</v>
      </c>
      <c r="G37" s="1" t="s">
        <v>23</v>
      </c>
      <c r="H37">
        <v>142</v>
      </c>
      <c r="I37">
        <f t="shared" si="40"/>
        <v>33.302349207994098</v>
      </c>
      <c r="J37">
        <f t="shared" ref="J37" si="41">J35</f>
        <v>0.39526753175693613</v>
      </c>
      <c r="K37">
        <f>I8</f>
        <v>32.8835381993648</v>
      </c>
      <c r="L37">
        <f>I20</f>
        <v>17.877028887317366</v>
      </c>
      <c r="M37">
        <f t="shared" si="0"/>
        <v>0.41881100862929799</v>
      </c>
      <c r="N37">
        <f t="shared" si="1"/>
        <v>15.425320320676732</v>
      </c>
    </row>
    <row r="38" spans="1:14" x14ac:dyDescent="0.2">
      <c r="A38" t="s">
        <v>69</v>
      </c>
      <c r="B38" t="s">
        <v>129</v>
      </c>
      <c r="C38" t="s">
        <v>32</v>
      </c>
      <c r="D38">
        <v>30.015611027142899</v>
      </c>
      <c r="E38">
        <v>30.015611027142899</v>
      </c>
      <c r="F38" t="s">
        <v>69</v>
      </c>
      <c r="G38" s="4" t="s">
        <v>15</v>
      </c>
      <c r="H38">
        <v>131</v>
      </c>
      <c r="I38">
        <f t="shared" ref="I38" si="42">AVERAGE(D38:D40)</f>
        <v>29.996614236696132</v>
      </c>
      <c r="J38">
        <f t="shared" ref="J38" si="43">STDEV(D38:D40)</f>
        <v>4.7235038923869169E-2</v>
      </c>
      <c r="K38">
        <f>I2</f>
        <v>30.774971028120731</v>
      </c>
      <c r="L38">
        <f>I14</f>
        <v>18.597521195345998</v>
      </c>
      <c r="M38">
        <f t="shared" si="0"/>
        <v>-0.77835679142459924</v>
      </c>
      <c r="N38">
        <f t="shared" si="1"/>
        <v>11.399093041350135</v>
      </c>
    </row>
    <row r="39" spans="1:14" x14ac:dyDescent="0.2">
      <c r="A39" t="s">
        <v>70</v>
      </c>
      <c r="B39" t="s">
        <v>129</v>
      </c>
      <c r="C39" t="s">
        <v>32</v>
      </c>
      <c r="D39">
        <v>29.9428384164496</v>
      </c>
      <c r="E39">
        <v>29.9428384164496</v>
      </c>
      <c r="F39" t="s">
        <v>70</v>
      </c>
      <c r="G39" s="4" t="s">
        <v>15</v>
      </c>
      <c r="H39">
        <v>131</v>
      </c>
      <c r="I39">
        <f t="shared" ref="I39:J39" si="44">I38</f>
        <v>29.996614236696132</v>
      </c>
      <c r="J39">
        <f t="shared" si="44"/>
        <v>4.7235038923869169E-2</v>
      </c>
      <c r="K39">
        <f>I2</f>
        <v>30.774971028120731</v>
      </c>
      <c r="L39">
        <f>I14</f>
        <v>18.597521195345998</v>
      </c>
      <c r="M39">
        <f t="shared" si="0"/>
        <v>-0.77835679142459924</v>
      </c>
      <c r="N39">
        <f t="shared" si="1"/>
        <v>11.399093041350135</v>
      </c>
    </row>
    <row r="40" spans="1:14" x14ac:dyDescent="0.2">
      <c r="A40" t="s">
        <v>71</v>
      </c>
      <c r="B40" t="s">
        <v>129</v>
      </c>
      <c r="C40" t="s">
        <v>32</v>
      </c>
      <c r="D40">
        <v>30.0313932664959</v>
      </c>
      <c r="E40">
        <v>30.0313932664959</v>
      </c>
      <c r="F40" t="s">
        <v>71</v>
      </c>
      <c r="G40" s="4" t="s">
        <v>15</v>
      </c>
      <c r="H40">
        <v>131</v>
      </c>
      <c r="I40">
        <f t="shared" ref="I40:J40" si="45">I38</f>
        <v>29.996614236696132</v>
      </c>
      <c r="J40">
        <f t="shared" si="45"/>
        <v>4.7235038923869169E-2</v>
      </c>
      <c r="K40">
        <f>I2</f>
        <v>30.774971028120731</v>
      </c>
      <c r="L40">
        <f>I14</f>
        <v>18.597521195345998</v>
      </c>
      <c r="M40">
        <f t="shared" si="0"/>
        <v>-0.77835679142459924</v>
      </c>
      <c r="N40">
        <f t="shared" si="1"/>
        <v>11.399093041350135</v>
      </c>
    </row>
    <row r="41" spans="1:14" x14ac:dyDescent="0.2">
      <c r="A41" t="s">
        <v>72</v>
      </c>
      <c r="B41" t="s">
        <v>129</v>
      </c>
      <c r="C41" t="s">
        <v>32</v>
      </c>
      <c r="D41">
        <v>30.994152168793899</v>
      </c>
      <c r="E41">
        <v>30.994152168793899</v>
      </c>
      <c r="F41" t="s">
        <v>72</v>
      </c>
      <c r="G41" s="1" t="s">
        <v>22</v>
      </c>
      <c r="H41">
        <v>131</v>
      </c>
      <c r="I41">
        <f t="shared" ref="I41" si="46">AVERAGE(D41:D43)</f>
        <v>31.018392506289732</v>
      </c>
      <c r="J41">
        <f t="shared" ref="J41" si="47">STDEV(D41:D43)</f>
        <v>7.8488724932375298E-2</v>
      </c>
      <c r="K41">
        <f>I2</f>
        <v>30.774971028120731</v>
      </c>
      <c r="L41">
        <f>I14</f>
        <v>18.597521195345998</v>
      </c>
      <c r="M41">
        <f t="shared" si="0"/>
        <v>0.24342147816900095</v>
      </c>
      <c r="N41">
        <f t="shared" si="1"/>
        <v>12.420871310943735</v>
      </c>
    </row>
    <row r="42" spans="1:14" x14ac:dyDescent="0.2">
      <c r="A42" t="s">
        <v>73</v>
      </c>
      <c r="B42" t="s">
        <v>129</v>
      </c>
      <c r="C42" t="s">
        <v>32</v>
      </c>
      <c r="D42">
        <v>31.106141931744801</v>
      </c>
      <c r="E42">
        <v>31.106141931744801</v>
      </c>
      <c r="F42" t="s">
        <v>73</v>
      </c>
      <c r="G42" s="1" t="s">
        <v>22</v>
      </c>
      <c r="H42">
        <v>131</v>
      </c>
      <c r="I42">
        <f t="shared" ref="I42:J43" si="48">I41</f>
        <v>31.018392506289732</v>
      </c>
      <c r="J42">
        <f t="shared" si="48"/>
        <v>7.8488724932375298E-2</v>
      </c>
      <c r="K42">
        <f>I2</f>
        <v>30.774971028120731</v>
      </c>
      <c r="L42">
        <f>I14</f>
        <v>18.597521195345998</v>
      </c>
      <c r="M42">
        <f t="shared" si="0"/>
        <v>0.24342147816900095</v>
      </c>
      <c r="N42">
        <f t="shared" si="1"/>
        <v>12.420871310943735</v>
      </c>
    </row>
    <row r="43" spans="1:14" x14ac:dyDescent="0.2">
      <c r="A43" t="s">
        <v>74</v>
      </c>
      <c r="B43" t="s">
        <v>129</v>
      </c>
      <c r="C43" t="s">
        <v>32</v>
      </c>
      <c r="D43">
        <v>30.9548834183305</v>
      </c>
      <c r="E43">
        <v>30.9548834183305</v>
      </c>
      <c r="F43" t="s">
        <v>74</v>
      </c>
      <c r="G43" s="1" t="s">
        <v>22</v>
      </c>
      <c r="H43">
        <v>131</v>
      </c>
      <c r="I43">
        <f t="shared" si="48"/>
        <v>31.018392506289732</v>
      </c>
      <c r="J43">
        <f t="shared" ref="J43" si="49">J41</f>
        <v>7.8488724932375298E-2</v>
      </c>
      <c r="K43">
        <f>I2</f>
        <v>30.774971028120731</v>
      </c>
      <c r="L43">
        <f>I14</f>
        <v>18.597521195345998</v>
      </c>
      <c r="M43">
        <f t="shared" si="0"/>
        <v>0.24342147816900095</v>
      </c>
      <c r="N43">
        <f t="shared" si="1"/>
        <v>12.420871310943735</v>
      </c>
    </row>
    <row r="44" spans="1:14" x14ac:dyDescent="0.2">
      <c r="A44" t="s">
        <v>75</v>
      </c>
      <c r="B44" t="s">
        <v>129</v>
      </c>
      <c r="C44" t="s">
        <v>32</v>
      </c>
      <c r="D44">
        <v>34.337507760668302</v>
      </c>
      <c r="E44">
        <v>34.337507760668302</v>
      </c>
      <c r="F44" t="s">
        <v>75</v>
      </c>
      <c r="G44" s="4" t="s">
        <v>15</v>
      </c>
      <c r="H44">
        <v>142</v>
      </c>
      <c r="I44">
        <f t="shared" ref="I44" si="50">AVERAGE(D44:D46)</f>
        <v>34.226569073607351</v>
      </c>
      <c r="J44">
        <f t="shared" ref="J44" si="51">STDEV(D44:D46)</f>
        <v>0.1568909958334618</v>
      </c>
      <c r="K44">
        <f>I8</f>
        <v>32.8835381993648</v>
      </c>
      <c r="L44">
        <f>I20</f>
        <v>17.877028887317366</v>
      </c>
      <c r="M44">
        <f t="shared" si="0"/>
        <v>1.343030874242551</v>
      </c>
      <c r="N44">
        <f t="shared" si="1"/>
        <v>16.349540186289985</v>
      </c>
    </row>
    <row r="45" spans="1:14" x14ac:dyDescent="0.2">
      <c r="A45" t="s">
        <v>76</v>
      </c>
      <c r="B45" t="s">
        <v>129</v>
      </c>
      <c r="C45" t="s">
        <v>32</v>
      </c>
      <c r="E45">
        <v>36.024609440607001</v>
      </c>
      <c r="F45" t="s">
        <v>76</v>
      </c>
      <c r="G45" s="4" t="s">
        <v>15</v>
      </c>
      <c r="H45">
        <v>142</v>
      </c>
      <c r="I45">
        <f t="shared" ref="I45:J45" si="52">I44</f>
        <v>34.226569073607351</v>
      </c>
      <c r="J45">
        <f t="shared" si="52"/>
        <v>0.1568909958334618</v>
      </c>
      <c r="K45">
        <f>I8</f>
        <v>32.8835381993648</v>
      </c>
      <c r="L45">
        <f>I20</f>
        <v>17.877028887317366</v>
      </c>
      <c r="M45">
        <f t="shared" si="0"/>
        <v>1.343030874242551</v>
      </c>
      <c r="N45">
        <f t="shared" si="1"/>
        <v>16.349540186289985</v>
      </c>
    </row>
    <row r="46" spans="1:14" x14ac:dyDescent="0.2">
      <c r="A46" t="s">
        <v>77</v>
      </c>
      <c r="B46" t="s">
        <v>129</v>
      </c>
      <c r="C46" t="s">
        <v>32</v>
      </c>
      <c r="D46">
        <v>34.1156303865464</v>
      </c>
      <c r="E46">
        <v>34.1156303865464</v>
      </c>
      <c r="F46" t="s">
        <v>77</v>
      </c>
      <c r="G46" s="4" t="s">
        <v>15</v>
      </c>
      <c r="H46">
        <v>142</v>
      </c>
      <c r="I46">
        <f t="shared" ref="I46:J46" si="53">I44</f>
        <v>34.226569073607351</v>
      </c>
      <c r="J46">
        <f t="shared" si="53"/>
        <v>0.1568909958334618</v>
      </c>
      <c r="K46">
        <f>I8</f>
        <v>32.8835381993648</v>
      </c>
      <c r="L46">
        <f>I20</f>
        <v>17.877028887317366</v>
      </c>
      <c r="M46">
        <f t="shared" si="0"/>
        <v>1.343030874242551</v>
      </c>
      <c r="N46">
        <f t="shared" si="1"/>
        <v>16.349540186289985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35.718928231544098</v>
      </c>
      <c r="F47" s="17" t="s">
        <v>78</v>
      </c>
      <c r="G47" s="19" t="s">
        <v>22</v>
      </c>
      <c r="H47" s="17">
        <v>142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32.8835381993648</v>
      </c>
      <c r="L47" s="17">
        <f>I20</f>
        <v>17.877028887317366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D48" s="17" t="s">
        <v>33</v>
      </c>
      <c r="E48" s="17" t="s">
        <v>33</v>
      </c>
      <c r="F48" s="17" t="s">
        <v>79</v>
      </c>
      <c r="G48" s="19" t="s">
        <v>22</v>
      </c>
      <c r="H48" s="17">
        <v>142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32.8835381993648</v>
      </c>
      <c r="L48" s="17">
        <f>I20</f>
        <v>17.877028887317366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D49" s="17" t="s">
        <v>33</v>
      </c>
      <c r="E49" s="17" t="s">
        <v>33</v>
      </c>
      <c r="F49" s="17" t="s">
        <v>80</v>
      </c>
      <c r="G49" s="19" t="s">
        <v>22</v>
      </c>
      <c r="H49" s="17">
        <v>142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32.8835381993648</v>
      </c>
      <c r="L49" s="17">
        <f>I20</f>
        <v>17.877028887317366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29.822964362272899</v>
      </c>
      <c r="E50">
        <v>29.822964362272899</v>
      </c>
      <c r="F50" t="s">
        <v>81</v>
      </c>
      <c r="G50" s="4" t="s">
        <v>16</v>
      </c>
      <c r="H50">
        <v>131</v>
      </c>
      <c r="I50">
        <f t="shared" ref="I50" si="58">AVERAGE(D50:D52)</f>
        <v>29.574607280534895</v>
      </c>
      <c r="J50">
        <f t="shared" ref="J50" si="59">STDEV(D50:D52)</f>
        <v>0.21532058549843514</v>
      </c>
      <c r="K50">
        <f>I2</f>
        <v>30.774971028120731</v>
      </c>
      <c r="L50">
        <f>I14</f>
        <v>18.597521195345998</v>
      </c>
      <c r="M50">
        <f t="shared" si="0"/>
        <v>-1.2003637475858362</v>
      </c>
      <c r="N50">
        <f t="shared" si="1"/>
        <v>10.977086085188898</v>
      </c>
    </row>
    <row r="51" spans="1:14" x14ac:dyDescent="0.2">
      <c r="A51" t="s">
        <v>82</v>
      </c>
      <c r="B51" t="s">
        <v>129</v>
      </c>
      <c r="C51" t="s">
        <v>32</v>
      </c>
      <c r="D51">
        <v>29.4403280217544</v>
      </c>
      <c r="E51">
        <v>29.4403280217544</v>
      </c>
      <c r="F51" t="s">
        <v>82</v>
      </c>
      <c r="G51" s="4" t="s">
        <v>16</v>
      </c>
      <c r="H51">
        <v>131</v>
      </c>
      <c r="I51">
        <f t="shared" ref="I51:J51" si="60">I50</f>
        <v>29.574607280534895</v>
      </c>
      <c r="J51">
        <f t="shared" si="60"/>
        <v>0.21532058549843514</v>
      </c>
      <c r="K51">
        <f>I2</f>
        <v>30.774971028120731</v>
      </c>
      <c r="L51">
        <f>I14</f>
        <v>18.597521195345998</v>
      </c>
      <c r="M51">
        <f t="shared" si="0"/>
        <v>-1.2003637475858362</v>
      </c>
      <c r="N51">
        <f t="shared" si="1"/>
        <v>10.977086085188898</v>
      </c>
    </row>
    <row r="52" spans="1:14" x14ac:dyDescent="0.2">
      <c r="A52" t="s">
        <v>83</v>
      </c>
      <c r="B52" t="s">
        <v>129</v>
      </c>
      <c r="C52" t="s">
        <v>32</v>
      </c>
      <c r="D52">
        <v>29.460529457577401</v>
      </c>
      <c r="E52">
        <v>29.460529457577401</v>
      </c>
      <c r="F52" t="s">
        <v>83</v>
      </c>
      <c r="G52" s="4" t="s">
        <v>16</v>
      </c>
      <c r="H52">
        <v>131</v>
      </c>
      <c r="I52">
        <f t="shared" ref="I52:J52" si="61">I50</f>
        <v>29.574607280534895</v>
      </c>
      <c r="J52">
        <f t="shared" si="61"/>
        <v>0.21532058549843514</v>
      </c>
      <c r="K52">
        <f>I2</f>
        <v>30.774971028120731</v>
      </c>
      <c r="L52">
        <f>I14</f>
        <v>18.597521195345998</v>
      </c>
      <c r="M52">
        <f t="shared" si="0"/>
        <v>-1.2003637475858362</v>
      </c>
      <c r="N52">
        <f t="shared" si="1"/>
        <v>10.977086085188898</v>
      </c>
    </row>
    <row r="53" spans="1:14" x14ac:dyDescent="0.2">
      <c r="A53" t="s">
        <v>84</v>
      </c>
      <c r="B53" t="s">
        <v>129</v>
      </c>
      <c r="C53" t="s">
        <v>32</v>
      </c>
      <c r="D53">
        <v>30.026668682641901</v>
      </c>
      <c r="E53">
        <v>30.026668682641901</v>
      </c>
      <c r="F53" t="s">
        <v>84</v>
      </c>
      <c r="G53" s="1" t="s">
        <v>24</v>
      </c>
      <c r="H53">
        <v>131</v>
      </c>
      <c r="I53">
        <f t="shared" ref="I53" si="62">AVERAGE(D53:D55)</f>
        <v>30.235489945553702</v>
      </c>
      <c r="J53">
        <f t="shared" ref="J53" si="63">STDEV(D53:D55)</f>
        <v>0.29531786212174443</v>
      </c>
      <c r="K53">
        <f>I2</f>
        <v>30.774971028120731</v>
      </c>
      <c r="L53">
        <f>I14</f>
        <v>18.597521195345998</v>
      </c>
      <c r="M53">
        <f t="shared" si="0"/>
        <v>-0.53948108256702909</v>
      </c>
      <c r="N53">
        <f t="shared" si="1"/>
        <v>11.637968750207705</v>
      </c>
    </row>
    <row r="54" spans="1:14" x14ac:dyDescent="0.2">
      <c r="A54" t="s">
        <v>85</v>
      </c>
      <c r="B54" t="s">
        <v>129</v>
      </c>
      <c r="C54" t="s">
        <v>32</v>
      </c>
      <c r="D54">
        <v>30.4443112084655</v>
      </c>
      <c r="E54">
        <v>30.4443112084655</v>
      </c>
      <c r="F54" t="s">
        <v>85</v>
      </c>
      <c r="G54" s="1" t="s">
        <v>24</v>
      </c>
      <c r="H54">
        <v>131</v>
      </c>
      <c r="I54">
        <f t="shared" ref="I54:J55" si="64">I53</f>
        <v>30.235489945553702</v>
      </c>
      <c r="J54">
        <f t="shared" si="64"/>
        <v>0.29531786212174443</v>
      </c>
      <c r="K54">
        <f>I2</f>
        <v>30.774971028120731</v>
      </c>
      <c r="L54">
        <f>I14</f>
        <v>18.597521195345998</v>
      </c>
      <c r="M54">
        <f t="shared" si="0"/>
        <v>-0.53948108256702909</v>
      </c>
      <c r="N54">
        <f t="shared" si="1"/>
        <v>11.637968750207705</v>
      </c>
    </row>
    <row r="55" spans="1:14" x14ac:dyDescent="0.2">
      <c r="A55" t="s">
        <v>86</v>
      </c>
      <c r="B55" t="s">
        <v>129</v>
      </c>
      <c r="C55" t="s">
        <v>32</v>
      </c>
      <c r="E55">
        <v>29.3754887283568</v>
      </c>
      <c r="F55" t="s">
        <v>86</v>
      </c>
      <c r="G55" s="1" t="s">
        <v>24</v>
      </c>
      <c r="H55">
        <v>131</v>
      </c>
      <c r="I55">
        <f t="shared" si="64"/>
        <v>30.235489945553702</v>
      </c>
      <c r="J55">
        <f t="shared" ref="J55" si="65">J53</f>
        <v>0.29531786212174443</v>
      </c>
      <c r="K55">
        <f>I2</f>
        <v>30.774971028120731</v>
      </c>
      <c r="L55">
        <f>I14</f>
        <v>18.597521195345998</v>
      </c>
      <c r="M55">
        <f t="shared" si="0"/>
        <v>-0.53948108256702909</v>
      </c>
      <c r="N55">
        <f t="shared" si="1"/>
        <v>11.637968750207705</v>
      </c>
    </row>
    <row r="56" spans="1:14" x14ac:dyDescent="0.2">
      <c r="A56" t="s">
        <v>87</v>
      </c>
      <c r="B56" t="s">
        <v>129</v>
      </c>
      <c r="C56" t="s">
        <v>32</v>
      </c>
      <c r="D56">
        <v>32.712205383094698</v>
      </c>
      <c r="E56">
        <v>32.712205383094698</v>
      </c>
      <c r="F56" t="s">
        <v>87</v>
      </c>
      <c r="G56" s="4" t="s">
        <v>16</v>
      </c>
      <c r="H56">
        <v>142</v>
      </c>
      <c r="I56">
        <f t="shared" ref="I56" si="66">AVERAGE(D56:D58)</f>
        <v>32.646797670659495</v>
      </c>
      <c r="J56">
        <f t="shared" ref="J56" si="67">STDEV(D56:D58)</f>
        <v>9.2500474009658148E-2</v>
      </c>
      <c r="K56">
        <f>I8</f>
        <v>32.8835381993648</v>
      </c>
      <c r="L56">
        <f>I20</f>
        <v>17.877028887317366</v>
      </c>
      <c r="M56">
        <f t="shared" si="0"/>
        <v>-0.2367405287053046</v>
      </c>
      <c r="N56">
        <f t="shared" si="1"/>
        <v>14.76976878334213</v>
      </c>
    </row>
    <row r="57" spans="1:14" x14ac:dyDescent="0.2">
      <c r="A57" t="s">
        <v>88</v>
      </c>
      <c r="B57" t="s">
        <v>129</v>
      </c>
      <c r="C57" t="s">
        <v>32</v>
      </c>
      <c r="E57">
        <v>33.8654229735318</v>
      </c>
      <c r="F57" t="s">
        <v>88</v>
      </c>
      <c r="G57" s="4" t="s">
        <v>16</v>
      </c>
      <c r="H57">
        <v>142</v>
      </c>
      <c r="I57">
        <f t="shared" ref="I57:J57" si="68">I56</f>
        <v>32.646797670659495</v>
      </c>
      <c r="J57">
        <f t="shared" si="68"/>
        <v>9.2500474009658148E-2</v>
      </c>
      <c r="K57">
        <f>I8</f>
        <v>32.8835381993648</v>
      </c>
      <c r="L57">
        <f>I20</f>
        <v>17.877028887317366</v>
      </c>
      <c r="M57">
        <f t="shared" si="0"/>
        <v>-0.2367405287053046</v>
      </c>
      <c r="N57">
        <f t="shared" si="1"/>
        <v>14.76976878334213</v>
      </c>
    </row>
    <row r="58" spans="1:14" x14ac:dyDescent="0.2">
      <c r="A58" t="s">
        <v>89</v>
      </c>
      <c r="B58" t="s">
        <v>129</v>
      </c>
      <c r="C58" t="s">
        <v>32</v>
      </c>
      <c r="D58">
        <v>32.5813899582243</v>
      </c>
      <c r="E58">
        <v>32.5813899582243</v>
      </c>
      <c r="F58" t="s">
        <v>89</v>
      </c>
      <c r="G58" s="4" t="s">
        <v>16</v>
      </c>
      <c r="H58">
        <v>142</v>
      </c>
      <c r="I58">
        <f t="shared" ref="I58:J58" si="69">I56</f>
        <v>32.646797670659495</v>
      </c>
      <c r="J58">
        <f t="shared" si="69"/>
        <v>9.2500474009658148E-2</v>
      </c>
      <c r="K58">
        <f>I8</f>
        <v>32.8835381993648</v>
      </c>
      <c r="L58">
        <f>I20</f>
        <v>17.877028887317366</v>
      </c>
      <c r="M58">
        <f t="shared" si="0"/>
        <v>-0.2367405287053046</v>
      </c>
      <c r="N58">
        <f t="shared" si="1"/>
        <v>14.76976878334213</v>
      </c>
    </row>
    <row r="59" spans="1:14" x14ac:dyDescent="0.2">
      <c r="A59" t="s">
        <v>90</v>
      </c>
      <c r="B59" t="s">
        <v>129</v>
      </c>
      <c r="C59" t="s">
        <v>32</v>
      </c>
      <c r="D59">
        <v>34.952295726452903</v>
      </c>
      <c r="E59">
        <v>34.952295726452903</v>
      </c>
      <c r="F59" t="s">
        <v>90</v>
      </c>
      <c r="G59" s="1" t="s">
        <v>24</v>
      </c>
      <c r="H59">
        <v>142</v>
      </c>
      <c r="I59">
        <f t="shared" ref="I59" si="70">AVERAGE(D59:D61)</f>
        <v>35.293145255670296</v>
      </c>
      <c r="J59">
        <f t="shared" ref="J59" si="71">STDEV(D59:D61)</f>
        <v>0.48203402694772796</v>
      </c>
      <c r="K59">
        <f>I8</f>
        <v>32.8835381993648</v>
      </c>
      <c r="L59">
        <f>I20</f>
        <v>17.877028887317366</v>
      </c>
      <c r="M59">
        <f t="shared" si="0"/>
        <v>2.4096070563054965</v>
      </c>
      <c r="N59">
        <f t="shared" si="1"/>
        <v>17.416116368352931</v>
      </c>
    </row>
    <row r="60" spans="1:14" x14ac:dyDescent="0.2">
      <c r="A60" t="s">
        <v>91</v>
      </c>
      <c r="B60" t="s">
        <v>129</v>
      </c>
      <c r="C60" t="s">
        <v>32</v>
      </c>
      <c r="D60">
        <v>35.633994784887697</v>
      </c>
      <c r="E60">
        <v>35.633994784887697</v>
      </c>
      <c r="F60" t="s">
        <v>91</v>
      </c>
      <c r="G60" s="1" t="s">
        <v>24</v>
      </c>
      <c r="H60">
        <v>142</v>
      </c>
      <c r="I60">
        <f t="shared" ref="I60:J61" si="72">I59</f>
        <v>35.293145255670296</v>
      </c>
      <c r="J60">
        <f t="shared" si="72"/>
        <v>0.48203402694772796</v>
      </c>
      <c r="K60">
        <f>I8</f>
        <v>32.8835381993648</v>
      </c>
      <c r="L60">
        <f>I20</f>
        <v>17.877028887317366</v>
      </c>
      <c r="M60">
        <f t="shared" si="0"/>
        <v>2.4096070563054965</v>
      </c>
      <c r="N60">
        <f t="shared" si="1"/>
        <v>17.416116368352931</v>
      </c>
    </row>
    <row r="61" spans="1:14" x14ac:dyDescent="0.2">
      <c r="A61" t="s">
        <v>92</v>
      </c>
      <c r="B61" t="s">
        <v>129</v>
      </c>
      <c r="C61" t="s">
        <v>32</v>
      </c>
      <c r="E61">
        <v>36.407932635908502</v>
      </c>
      <c r="F61" t="s">
        <v>92</v>
      </c>
      <c r="G61" s="1" t="s">
        <v>24</v>
      </c>
      <c r="H61">
        <v>142</v>
      </c>
      <c r="I61">
        <f t="shared" si="72"/>
        <v>35.293145255670296</v>
      </c>
      <c r="J61">
        <f t="shared" ref="J61" si="73">J59</f>
        <v>0.48203402694772796</v>
      </c>
      <c r="K61">
        <f>I8</f>
        <v>32.8835381993648</v>
      </c>
      <c r="L61">
        <f>I20</f>
        <v>17.877028887317366</v>
      </c>
      <c r="M61">
        <f t="shared" si="0"/>
        <v>2.4096070563054965</v>
      </c>
      <c r="N61">
        <f t="shared" si="1"/>
        <v>17.416116368352931</v>
      </c>
    </row>
    <row r="62" spans="1:14" x14ac:dyDescent="0.2">
      <c r="A62" t="s">
        <v>93</v>
      </c>
      <c r="B62" t="s">
        <v>129</v>
      </c>
      <c r="C62" t="s">
        <v>32</v>
      </c>
      <c r="E62">
        <v>31.016776261878899</v>
      </c>
      <c r="F62" t="s">
        <v>93</v>
      </c>
      <c r="G62" s="4" t="s">
        <v>17</v>
      </c>
      <c r="H62">
        <v>131</v>
      </c>
      <c r="I62">
        <f t="shared" ref="I62" si="74">AVERAGE(D62:D64)</f>
        <v>29.929839732503453</v>
      </c>
      <c r="J62">
        <f t="shared" ref="J62" si="75">STDEV(D62:D64)</f>
        <v>0.27038270758304506</v>
      </c>
      <c r="K62">
        <f>I2</f>
        <v>30.774971028120731</v>
      </c>
      <c r="L62">
        <f>I14</f>
        <v>18.597521195345998</v>
      </c>
      <c r="M62">
        <f t="shared" si="0"/>
        <v>-0.84513129561727851</v>
      </c>
      <c r="N62">
        <f t="shared" si="1"/>
        <v>11.332318537157455</v>
      </c>
    </row>
    <row r="63" spans="1:14" x14ac:dyDescent="0.2">
      <c r="A63" t="s">
        <v>94</v>
      </c>
      <c r="B63" t="s">
        <v>129</v>
      </c>
      <c r="C63" t="s">
        <v>32</v>
      </c>
      <c r="D63">
        <v>29.738650286455901</v>
      </c>
      <c r="E63">
        <v>29.738650286455901</v>
      </c>
      <c r="F63" t="s">
        <v>94</v>
      </c>
      <c r="G63" s="4" t="s">
        <v>17</v>
      </c>
      <c r="H63">
        <v>131</v>
      </c>
      <c r="I63">
        <f t="shared" ref="I63:J63" si="76">I62</f>
        <v>29.929839732503453</v>
      </c>
      <c r="J63">
        <f t="shared" si="76"/>
        <v>0.27038270758304506</v>
      </c>
      <c r="K63">
        <f>I2</f>
        <v>30.774971028120731</v>
      </c>
      <c r="L63">
        <f>I14</f>
        <v>18.597521195345998</v>
      </c>
      <c r="M63">
        <f t="shared" si="0"/>
        <v>-0.84513129561727851</v>
      </c>
      <c r="N63">
        <f t="shared" si="1"/>
        <v>11.332318537157455</v>
      </c>
    </row>
    <row r="64" spans="1:14" x14ac:dyDescent="0.2">
      <c r="A64" t="s">
        <v>95</v>
      </c>
      <c r="B64" t="s">
        <v>129</v>
      </c>
      <c r="C64" t="s">
        <v>32</v>
      </c>
      <c r="D64">
        <v>30.121029178551002</v>
      </c>
      <c r="E64">
        <v>30.121029178551002</v>
      </c>
      <c r="F64" t="s">
        <v>95</v>
      </c>
      <c r="G64" s="4" t="s">
        <v>17</v>
      </c>
      <c r="H64">
        <v>131</v>
      </c>
      <c r="I64">
        <f t="shared" ref="I64:J64" si="77">I62</f>
        <v>29.929839732503453</v>
      </c>
      <c r="J64">
        <f t="shared" si="77"/>
        <v>0.27038270758304506</v>
      </c>
      <c r="K64">
        <f>I2</f>
        <v>30.774971028120731</v>
      </c>
      <c r="L64">
        <f>I14</f>
        <v>18.597521195345998</v>
      </c>
      <c r="M64">
        <f t="shared" si="0"/>
        <v>-0.84513129561727851</v>
      </c>
      <c r="N64">
        <f t="shared" si="1"/>
        <v>11.332318537157455</v>
      </c>
    </row>
    <row r="65" spans="1:14" x14ac:dyDescent="0.2">
      <c r="A65" t="s">
        <v>96</v>
      </c>
      <c r="B65" t="s">
        <v>129</v>
      </c>
      <c r="C65" t="s">
        <v>32</v>
      </c>
      <c r="D65">
        <v>30.0695155755954</v>
      </c>
      <c r="E65">
        <v>30.0695155755954</v>
      </c>
      <c r="F65" t="s">
        <v>96</v>
      </c>
      <c r="G65" s="1" t="s">
        <v>25</v>
      </c>
      <c r="H65">
        <v>131</v>
      </c>
      <c r="I65">
        <f t="shared" ref="I65" si="78">AVERAGE(D65:D67)</f>
        <v>30.2390181381007</v>
      </c>
      <c r="J65">
        <f t="shared" ref="J65" si="79">STDEV(D65:D67)</f>
        <v>0.14955138205663018</v>
      </c>
      <c r="K65">
        <f>I2</f>
        <v>30.774971028120731</v>
      </c>
      <c r="L65">
        <f>I14</f>
        <v>18.597521195345998</v>
      </c>
      <c r="M65">
        <f t="shared" si="0"/>
        <v>-0.53595289002003099</v>
      </c>
      <c r="N65">
        <f t="shared" si="1"/>
        <v>11.641496942754703</v>
      </c>
    </row>
    <row r="66" spans="1:14" x14ac:dyDescent="0.2">
      <c r="A66" t="s">
        <v>97</v>
      </c>
      <c r="B66" t="s">
        <v>129</v>
      </c>
      <c r="C66" t="s">
        <v>32</v>
      </c>
      <c r="D66">
        <v>30.295181364974798</v>
      </c>
      <c r="E66">
        <v>30.295181364974798</v>
      </c>
      <c r="F66" t="s">
        <v>97</v>
      </c>
      <c r="G66" s="1" t="s">
        <v>25</v>
      </c>
      <c r="H66">
        <v>131</v>
      </c>
      <c r="I66">
        <f t="shared" ref="I66:J67" si="80">I65</f>
        <v>30.2390181381007</v>
      </c>
      <c r="J66">
        <f t="shared" si="80"/>
        <v>0.14955138205663018</v>
      </c>
      <c r="K66">
        <f>I2</f>
        <v>30.774971028120731</v>
      </c>
      <c r="L66">
        <f>I14</f>
        <v>18.597521195345998</v>
      </c>
      <c r="M66">
        <f t="shared" si="0"/>
        <v>-0.53595289002003099</v>
      </c>
      <c r="N66">
        <f t="shared" si="1"/>
        <v>11.641496942754703</v>
      </c>
    </row>
    <row r="67" spans="1:14" x14ac:dyDescent="0.2">
      <c r="A67" t="s">
        <v>98</v>
      </c>
      <c r="B67" t="s">
        <v>129</v>
      </c>
      <c r="C67" t="s">
        <v>32</v>
      </c>
      <c r="D67">
        <v>30.3523574737319</v>
      </c>
      <c r="E67">
        <v>30.3523574737319</v>
      </c>
      <c r="F67" t="s">
        <v>98</v>
      </c>
      <c r="G67" s="1" t="s">
        <v>25</v>
      </c>
      <c r="H67">
        <v>131</v>
      </c>
      <c r="I67">
        <f t="shared" si="80"/>
        <v>30.2390181381007</v>
      </c>
      <c r="J67">
        <f t="shared" ref="J67" si="81">J65</f>
        <v>0.14955138205663018</v>
      </c>
      <c r="K67">
        <f>I2</f>
        <v>30.774971028120731</v>
      </c>
      <c r="L67">
        <f>I14</f>
        <v>18.597521195345998</v>
      </c>
      <c r="M67">
        <f t="shared" ref="M67:M97" si="82">I67-K67</f>
        <v>-0.53595289002003099</v>
      </c>
      <c r="N67">
        <f t="shared" ref="N67:N97" si="83">I67-L67</f>
        <v>11.641496942754703</v>
      </c>
    </row>
    <row r="68" spans="1:14" x14ac:dyDescent="0.2">
      <c r="A68" t="s">
        <v>99</v>
      </c>
      <c r="B68" t="s">
        <v>129</v>
      </c>
      <c r="C68" t="s">
        <v>32</v>
      </c>
      <c r="D68">
        <v>32.814725328718097</v>
      </c>
      <c r="E68">
        <v>32.814725328718097</v>
      </c>
      <c r="F68" t="s">
        <v>99</v>
      </c>
      <c r="G68" s="4" t="s">
        <v>17</v>
      </c>
      <c r="H68">
        <v>142</v>
      </c>
      <c r="I68">
        <f t="shared" ref="I68" si="84">AVERAGE(D68:D70)</f>
        <v>32.696689391095447</v>
      </c>
      <c r="J68">
        <f t="shared" ref="J68" si="85">STDEV(D68:D70)</f>
        <v>0.16692802383337202</v>
      </c>
      <c r="K68">
        <f>I8</f>
        <v>32.8835381993648</v>
      </c>
      <c r="L68">
        <f>I20</f>
        <v>17.877028887317366</v>
      </c>
      <c r="M68">
        <f t="shared" si="82"/>
        <v>-0.18684880826935313</v>
      </c>
      <c r="N68">
        <f t="shared" si="83"/>
        <v>14.819660503778081</v>
      </c>
    </row>
    <row r="69" spans="1:14" x14ac:dyDescent="0.2">
      <c r="A69" t="s">
        <v>100</v>
      </c>
      <c r="B69" t="s">
        <v>129</v>
      </c>
      <c r="C69" t="s">
        <v>32</v>
      </c>
      <c r="D69">
        <v>32.578653453472803</v>
      </c>
      <c r="E69">
        <v>32.578653453472803</v>
      </c>
      <c r="F69" t="s">
        <v>100</v>
      </c>
      <c r="G69" s="4" t="s">
        <v>17</v>
      </c>
      <c r="H69">
        <v>142</v>
      </c>
      <c r="I69">
        <f t="shared" ref="I69:J69" si="86">I68</f>
        <v>32.696689391095447</v>
      </c>
      <c r="J69">
        <f t="shared" si="86"/>
        <v>0.16692802383337202</v>
      </c>
      <c r="K69">
        <f>I8</f>
        <v>32.8835381993648</v>
      </c>
      <c r="L69">
        <f>I20</f>
        <v>17.877028887317366</v>
      </c>
      <c r="M69">
        <f t="shared" si="82"/>
        <v>-0.18684880826935313</v>
      </c>
      <c r="N69">
        <f t="shared" si="83"/>
        <v>14.819660503778081</v>
      </c>
    </row>
    <row r="70" spans="1:14" x14ac:dyDescent="0.2">
      <c r="A70" t="s">
        <v>101</v>
      </c>
      <c r="B70" t="s">
        <v>129</v>
      </c>
      <c r="C70" t="s">
        <v>32</v>
      </c>
      <c r="E70">
        <v>33.399624015940702</v>
      </c>
      <c r="F70" t="s">
        <v>101</v>
      </c>
      <c r="G70" s="4" t="s">
        <v>17</v>
      </c>
      <c r="H70">
        <v>142</v>
      </c>
      <c r="I70">
        <f t="shared" ref="I70:J70" si="87">I68</f>
        <v>32.696689391095447</v>
      </c>
      <c r="J70">
        <f t="shared" si="87"/>
        <v>0.16692802383337202</v>
      </c>
      <c r="K70">
        <f>I8</f>
        <v>32.8835381993648</v>
      </c>
      <c r="L70">
        <f>I20</f>
        <v>17.877028887317366</v>
      </c>
      <c r="M70">
        <f t="shared" si="82"/>
        <v>-0.18684880826935313</v>
      </c>
      <c r="N70">
        <f t="shared" si="83"/>
        <v>14.819660503778081</v>
      </c>
    </row>
    <row r="71" spans="1:14" x14ac:dyDescent="0.2">
      <c r="A71" t="s">
        <v>102</v>
      </c>
      <c r="B71" t="s">
        <v>129</v>
      </c>
      <c r="C71" t="s">
        <v>32</v>
      </c>
      <c r="D71">
        <v>33.000813323828098</v>
      </c>
      <c r="E71">
        <v>33.000813323828098</v>
      </c>
      <c r="F71" t="s">
        <v>102</v>
      </c>
      <c r="G71" s="1" t="s">
        <v>25</v>
      </c>
      <c r="H71">
        <v>142</v>
      </c>
      <c r="I71">
        <f t="shared" ref="I71" si="88">AVERAGE(D71:D73)</f>
        <v>32.833885968406996</v>
      </c>
      <c r="J71">
        <f t="shared" ref="J71" si="89">STDEV(D71:D73)</f>
        <v>0.16220385860448916</v>
      </c>
      <c r="K71">
        <f>I8</f>
        <v>32.8835381993648</v>
      </c>
      <c r="L71">
        <f>I20</f>
        <v>17.877028887317366</v>
      </c>
      <c r="M71">
        <f t="shared" si="82"/>
        <v>-4.9652230957804022E-2</v>
      </c>
      <c r="N71">
        <f t="shared" si="83"/>
        <v>14.95685708108963</v>
      </c>
    </row>
    <row r="72" spans="1:14" x14ac:dyDescent="0.2">
      <c r="A72" t="s">
        <v>103</v>
      </c>
      <c r="B72" t="s">
        <v>129</v>
      </c>
      <c r="C72" t="s">
        <v>32</v>
      </c>
      <c r="D72">
        <v>32.676859152812902</v>
      </c>
      <c r="E72">
        <v>32.676859152812902</v>
      </c>
      <c r="F72" t="s">
        <v>103</v>
      </c>
      <c r="G72" s="1" t="s">
        <v>25</v>
      </c>
      <c r="H72">
        <v>142</v>
      </c>
      <c r="I72">
        <f t="shared" ref="I72:J73" si="90">I71</f>
        <v>32.833885968406996</v>
      </c>
      <c r="J72">
        <f t="shared" si="90"/>
        <v>0.16220385860448916</v>
      </c>
      <c r="K72">
        <f>I8</f>
        <v>32.8835381993648</v>
      </c>
      <c r="L72">
        <f>I20</f>
        <v>17.877028887317366</v>
      </c>
      <c r="M72">
        <f t="shared" si="82"/>
        <v>-4.9652230957804022E-2</v>
      </c>
      <c r="N72">
        <f t="shared" si="83"/>
        <v>14.95685708108963</v>
      </c>
    </row>
    <row r="73" spans="1:14" x14ac:dyDescent="0.2">
      <c r="A73" t="s">
        <v>104</v>
      </c>
      <c r="B73" t="s">
        <v>129</v>
      </c>
      <c r="C73" t="s">
        <v>32</v>
      </c>
      <c r="D73">
        <v>32.823985428580002</v>
      </c>
      <c r="E73">
        <v>32.823985428580002</v>
      </c>
      <c r="F73" t="s">
        <v>104</v>
      </c>
      <c r="G73" s="1" t="s">
        <v>25</v>
      </c>
      <c r="H73">
        <v>142</v>
      </c>
      <c r="I73">
        <f t="shared" si="90"/>
        <v>32.833885968406996</v>
      </c>
      <c r="J73">
        <f t="shared" ref="J73" si="91">J71</f>
        <v>0.16220385860448916</v>
      </c>
      <c r="K73">
        <f>I8</f>
        <v>32.8835381993648</v>
      </c>
      <c r="L73">
        <f>I20</f>
        <v>17.877028887317366</v>
      </c>
      <c r="M73">
        <f t="shared" si="82"/>
        <v>-4.9652230957804022E-2</v>
      </c>
      <c r="N73">
        <f t="shared" si="83"/>
        <v>14.95685708108963</v>
      </c>
    </row>
    <row r="74" spans="1:14" x14ac:dyDescent="0.2">
      <c r="A74" t="s">
        <v>105</v>
      </c>
      <c r="B74" t="s">
        <v>129</v>
      </c>
      <c r="C74" t="s">
        <v>32</v>
      </c>
      <c r="E74">
        <v>31.6842036809362</v>
      </c>
      <c r="F74" t="s">
        <v>105</v>
      </c>
      <c r="G74" s="4" t="s">
        <v>18</v>
      </c>
      <c r="H74">
        <v>131</v>
      </c>
      <c r="I74">
        <f t="shared" ref="I74" si="92">AVERAGE(D74:D76)</f>
        <v>30.5931461383766</v>
      </c>
      <c r="J74">
        <f>STDEV(D74:D76)</f>
        <v>4.7696084358582469E-3</v>
      </c>
      <c r="K74">
        <f>I2</f>
        <v>30.774971028120731</v>
      </c>
      <c r="L74">
        <f>I14</f>
        <v>18.597521195345998</v>
      </c>
      <c r="M74">
        <f t="shared" si="82"/>
        <v>-0.18182488974413147</v>
      </c>
      <c r="N74">
        <f t="shared" si="83"/>
        <v>11.995624943030602</v>
      </c>
    </row>
    <row r="75" spans="1:14" x14ac:dyDescent="0.2">
      <c r="A75" t="s">
        <v>106</v>
      </c>
      <c r="B75" t="s">
        <v>129</v>
      </c>
      <c r="C75" t="s">
        <v>32</v>
      </c>
      <c r="D75">
        <v>30.5965187608452</v>
      </c>
      <c r="E75">
        <v>30.5965187608452</v>
      </c>
      <c r="F75" t="s">
        <v>106</v>
      </c>
      <c r="G75" s="4" t="s">
        <v>18</v>
      </c>
      <c r="H75">
        <v>131</v>
      </c>
      <c r="I75">
        <f t="shared" ref="I75:J75" si="93">I74</f>
        <v>30.5931461383766</v>
      </c>
      <c r="J75">
        <f t="shared" si="93"/>
        <v>4.7696084358582469E-3</v>
      </c>
      <c r="K75">
        <f>I2</f>
        <v>30.774971028120731</v>
      </c>
      <c r="L75">
        <f>I14</f>
        <v>18.597521195345998</v>
      </c>
      <c r="M75">
        <f t="shared" si="82"/>
        <v>-0.18182488974413147</v>
      </c>
      <c r="N75">
        <f t="shared" si="83"/>
        <v>11.995624943030602</v>
      </c>
    </row>
    <row r="76" spans="1:14" x14ac:dyDescent="0.2">
      <c r="A76" t="s">
        <v>107</v>
      </c>
      <c r="B76" t="s">
        <v>129</v>
      </c>
      <c r="C76" t="s">
        <v>32</v>
      </c>
      <c r="D76">
        <v>30.589773515908</v>
      </c>
      <c r="E76">
        <v>30.589773515908</v>
      </c>
      <c r="F76" t="s">
        <v>107</v>
      </c>
      <c r="G76" s="4" t="s">
        <v>18</v>
      </c>
      <c r="H76">
        <v>131</v>
      </c>
      <c r="I76">
        <f t="shared" ref="I76:J76" si="94">I74</f>
        <v>30.5931461383766</v>
      </c>
      <c r="J76">
        <f t="shared" si="94"/>
        <v>4.7696084358582469E-3</v>
      </c>
      <c r="K76">
        <f>I2</f>
        <v>30.774971028120731</v>
      </c>
      <c r="L76">
        <f>I14</f>
        <v>18.597521195345998</v>
      </c>
      <c r="M76">
        <f t="shared" si="82"/>
        <v>-0.18182488974413147</v>
      </c>
      <c r="N76">
        <f t="shared" si="83"/>
        <v>11.995624943030602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30.774971028120731</v>
      </c>
      <c r="L77">
        <f>I14</f>
        <v>18.597521195345998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30.774971028120731</v>
      </c>
      <c r="L78">
        <f>I14</f>
        <v>18.597521195345998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30.774971028120731</v>
      </c>
      <c r="L79">
        <f>I14</f>
        <v>18.597521195345998</v>
      </c>
      <c r="M79" t="e">
        <f t="shared" si="82"/>
        <v>#DIV/0!</v>
      </c>
      <c r="N79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D80" s="17">
        <v>35.098840852273497</v>
      </c>
      <c r="E80" s="17">
        <v>35.098840852273497</v>
      </c>
      <c r="F80" s="17" t="s">
        <v>111</v>
      </c>
      <c r="G80" s="20" t="s">
        <v>18</v>
      </c>
      <c r="H80" s="17">
        <v>142</v>
      </c>
      <c r="I80" s="17">
        <f t="shared" ref="I80" si="99">AVERAGE(D80:D82)</f>
        <v>35.098840852273497</v>
      </c>
      <c r="J80" s="17" t="e">
        <f t="shared" ref="J80" si="100">STDEV(D80:D82)</f>
        <v>#DIV/0!</v>
      </c>
      <c r="K80" s="17">
        <f>I8</f>
        <v>32.8835381993648</v>
      </c>
      <c r="L80" s="17">
        <f>I20</f>
        <v>17.877028887317366</v>
      </c>
      <c r="M80" s="17">
        <f t="shared" si="82"/>
        <v>2.2153026529086972</v>
      </c>
      <c r="N80" s="17">
        <f t="shared" si="83"/>
        <v>17.221811964956132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D81" s="17" t="s">
        <v>33</v>
      </c>
      <c r="E81" s="17" t="s">
        <v>33</v>
      </c>
      <c r="F81" s="17" t="s">
        <v>112</v>
      </c>
      <c r="G81" s="20" t="s">
        <v>18</v>
      </c>
      <c r="H81" s="17">
        <v>142</v>
      </c>
      <c r="I81" s="17">
        <f t="shared" ref="I81:J81" si="101">I80</f>
        <v>35.098840852273497</v>
      </c>
      <c r="J81" s="17" t="e">
        <f t="shared" si="101"/>
        <v>#DIV/0!</v>
      </c>
      <c r="K81" s="17">
        <f>I8</f>
        <v>32.8835381993648</v>
      </c>
      <c r="L81" s="17">
        <f>I20</f>
        <v>17.877028887317366</v>
      </c>
      <c r="M81" s="17">
        <f t="shared" si="82"/>
        <v>2.2153026529086972</v>
      </c>
      <c r="N81" s="17">
        <f t="shared" si="83"/>
        <v>17.221811964956132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D82" s="17" t="s">
        <v>33</v>
      </c>
      <c r="E82" s="17" t="s">
        <v>33</v>
      </c>
      <c r="F82" s="17" t="s">
        <v>113</v>
      </c>
      <c r="G82" s="20" t="s">
        <v>18</v>
      </c>
      <c r="H82" s="17">
        <v>142</v>
      </c>
      <c r="I82" s="17">
        <f t="shared" ref="I82:J82" si="102">I80</f>
        <v>35.098840852273497</v>
      </c>
      <c r="J82" s="17" t="e">
        <f t="shared" si="102"/>
        <v>#DIV/0!</v>
      </c>
      <c r="K82" s="17">
        <f>I8</f>
        <v>32.8835381993648</v>
      </c>
      <c r="L82" s="17">
        <f>I20</f>
        <v>17.877028887317366</v>
      </c>
      <c r="M82" s="17">
        <f t="shared" si="82"/>
        <v>2.2153026529086972</v>
      </c>
      <c r="N82" s="17">
        <f t="shared" si="83"/>
        <v>17.221811964956132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32.8835381993648</v>
      </c>
      <c r="L83">
        <f>I20</f>
        <v>17.877028887317366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32.8835381993648</v>
      </c>
      <c r="L84">
        <f>I20</f>
        <v>17.877028887317366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32.8835381993648</v>
      </c>
      <c r="L85">
        <f>I20</f>
        <v>17.877028887317366</v>
      </c>
      <c r="M85" t="e">
        <f t="shared" si="82"/>
        <v>#DIV/0!</v>
      </c>
      <c r="N85" t="e">
        <f t="shared" si="83"/>
        <v>#DIV/0!</v>
      </c>
    </row>
    <row r="86" spans="1:14" ht="17" thickBot="1" x14ac:dyDescent="0.25">
      <c r="A86" t="s">
        <v>117</v>
      </c>
      <c r="B86" t="s">
        <v>129</v>
      </c>
      <c r="C86" t="s">
        <v>32</v>
      </c>
      <c r="D86" t="s">
        <v>33</v>
      </c>
      <c r="E86" t="s">
        <v>33</v>
      </c>
      <c r="F86" t="s">
        <v>117</v>
      </c>
      <c r="G86" s="6" t="s">
        <v>19</v>
      </c>
      <c r="H86">
        <v>131</v>
      </c>
      <c r="I86">
        <f t="shared" ref="I86" si="107">AVERAGE(D86:D88)</f>
        <v>32.242872723138248</v>
      </c>
      <c r="J86">
        <f t="shared" ref="J86" si="108">STDEV(D86:D88)</f>
        <v>0.45412332029599689</v>
      </c>
      <c r="K86">
        <f>I2</f>
        <v>30.774971028120731</v>
      </c>
      <c r="L86">
        <f>I14</f>
        <v>18.597521195345998</v>
      </c>
      <c r="M86">
        <f t="shared" si="82"/>
        <v>1.4679016950175168</v>
      </c>
      <c r="N86">
        <f t="shared" si="83"/>
        <v>13.645351527792251</v>
      </c>
    </row>
    <row r="87" spans="1:14" ht="17" thickBot="1" x14ac:dyDescent="0.25">
      <c r="A87" t="s">
        <v>118</v>
      </c>
      <c r="B87" t="s">
        <v>129</v>
      </c>
      <c r="C87" t="s">
        <v>32</v>
      </c>
      <c r="D87">
        <v>32.5639864024145</v>
      </c>
      <c r="E87">
        <v>32.5639864024145</v>
      </c>
      <c r="F87" t="s">
        <v>118</v>
      </c>
      <c r="G87" s="6" t="s">
        <v>19</v>
      </c>
      <c r="H87">
        <v>131</v>
      </c>
      <c r="I87">
        <f t="shared" ref="I87:J87" si="109">I86</f>
        <v>32.242872723138248</v>
      </c>
      <c r="J87">
        <f t="shared" si="109"/>
        <v>0.45412332029599689</v>
      </c>
      <c r="K87">
        <f>I2</f>
        <v>30.774971028120731</v>
      </c>
      <c r="L87">
        <f>I14</f>
        <v>18.597521195345998</v>
      </c>
      <c r="M87">
        <f t="shared" si="82"/>
        <v>1.4679016950175168</v>
      </c>
      <c r="N87">
        <f t="shared" si="83"/>
        <v>13.645351527792251</v>
      </c>
    </row>
    <row r="88" spans="1:14" ht="17" thickBot="1" x14ac:dyDescent="0.25">
      <c r="A88" t="s">
        <v>119</v>
      </c>
      <c r="B88" t="s">
        <v>129</v>
      </c>
      <c r="C88" t="s">
        <v>32</v>
      </c>
      <c r="D88">
        <v>31.921759043862</v>
      </c>
      <c r="E88">
        <v>31.921759043862</v>
      </c>
      <c r="F88" t="s">
        <v>119</v>
      </c>
      <c r="G88" s="6" t="s">
        <v>19</v>
      </c>
      <c r="H88">
        <v>131</v>
      </c>
      <c r="I88">
        <f t="shared" ref="I88:J88" si="110">I86</f>
        <v>32.242872723138248</v>
      </c>
      <c r="J88">
        <f t="shared" si="110"/>
        <v>0.45412332029599689</v>
      </c>
      <c r="K88">
        <f>I2</f>
        <v>30.774971028120731</v>
      </c>
      <c r="L88">
        <f>I14</f>
        <v>18.597521195345998</v>
      </c>
      <c r="M88">
        <f t="shared" si="82"/>
        <v>1.4679016950175168</v>
      </c>
      <c r="N88">
        <f t="shared" si="83"/>
        <v>13.645351527792251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30.774971028120731</v>
      </c>
      <c r="L89">
        <f>I14</f>
        <v>18.597521195345998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30.774971028120731</v>
      </c>
      <c r="L90">
        <f>I14</f>
        <v>18.597521195345998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30.774971028120731</v>
      </c>
      <c r="L91">
        <f>I14</f>
        <v>18.597521195345998</v>
      </c>
      <c r="M91" t="e">
        <f t="shared" si="82"/>
        <v>#DIV/0!</v>
      </c>
      <c r="N91" t="e">
        <f t="shared" si="8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34.732428574912497</v>
      </c>
      <c r="E92">
        <v>34.732428574912497</v>
      </c>
      <c r="F92" t="s">
        <v>123</v>
      </c>
      <c r="G92" s="6" t="s">
        <v>19</v>
      </c>
      <c r="H92">
        <v>142</v>
      </c>
      <c r="I92">
        <f t="shared" ref="I92" si="115">AVERAGE(D92:D94)</f>
        <v>34.722747437901901</v>
      </c>
      <c r="J92">
        <f t="shared" ref="J92" si="116">STDEV(D92:D94)</f>
        <v>1.369119525958111E-2</v>
      </c>
      <c r="K92">
        <f>I8</f>
        <v>32.8835381993648</v>
      </c>
      <c r="L92">
        <f>I20</f>
        <v>17.877028887317366</v>
      </c>
      <c r="M92">
        <f t="shared" si="82"/>
        <v>1.8392092385371015</v>
      </c>
      <c r="N92">
        <f t="shared" si="83"/>
        <v>16.845718550584536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34.713066300891299</v>
      </c>
      <c r="E93">
        <v>34.713066300891299</v>
      </c>
      <c r="F93" t="s">
        <v>124</v>
      </c>
      <c r="G93" s="6" t="s">
        <v>19</v>
      </c>
      <c r="H93">
        <v>142</v>
      </c>
      <c r="I93">
        <f t="shared" ref="I93:J93" si="117">I92</f>
        <v>34.722747437901901</v>
      </c>
      <c r="J93">
        <f t="shared" si="117"/>
        <v>1.369119525958111E-2</v>
      </c>
      <c r="K93">
        <f>I8</f>
        <v>32.8835381993648</v>
      </c>
      <c r="L93">
        <f>I20</f>
        <v>17.877028887317366</v>
      </c>
      <c r="M93">
        <f t="shared" si="82"/>
        <v>1.8392092385371015</v>
      </c>
      <c r="N93">
        <f t="shared" si="83"/>
        <v>16.845718550584536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36.663937609009999</v>
      </c>
      <c r="F94" t="s">
        <v>125</v>
      </c>
      <c r="G94" s="6" t="s">
        <v>19</v>
      </c>
      <c r="H94">
        <v>142</v>
      </c>
      <c r="I94">
        <f t="shared" ref="I94:J94" si="118">I92</f>
        <v>34.722747437901901</v>
      </c>
      <c r="J94">
        <f t="shared" si="118"/>
        <v>1.369119525958111E-2</v>
      </c>
      <c r="K94">
        <f>I8</f>
        <v>32.8835381993648</v>
      </c>
      <c r="L94">
        <f>I20</f>
        <v>17.877028887317366</v>
      </c>
      <c r="M94">
        <f t="shared" si="82"/>
        <v>1.8392092385371015</v>
      </c>
      <c r="N94">
        <f t="shared" si="83"/>
        <v>16.845718550584536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32.8835381993648</v>
      </c>
      <c r="L95">
        <f>I20</f>
        <v>17.877028887317366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32.8835381993648</v>
      </c>
      <c r="L96">
        <f>I20</f>
        <v>17.877028887317366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32.8835381993648</v>
      </c>
      <c r="L97">
        <f>I20</f>
        <v>17.877028887317366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5" priority="1" operator="greaterThan">
      <formula>0.3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F32F-2EFA-8F43-8128-13EF6FBC44D2}">
  <dimension ref="A1:N97"/>
  <sheetViews>
    <sheetView workbookViewId="0">
      <selection activeCell="H1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s="17" customFormat="1" ht="17" thickBot="1" x14ac:dyDescent="0.25">
      <c r="A2" s="17" t="s">
        <v>31</v>
      </c>
      <c r="B2" s="17" t="s">
        <v>129</v>
      </c>
      <c r="C2" s="17" t="s">
        <v>32</v>
      </c>
      <c r="D2" s="17" t="s">
        <v>33</v>
      </c>
      <c r="E2" s="17" t="s">
        <v>33</v>
      </c>
      <c r="F2" s="17" t="s">
        <v>31</v>
      </c>
      <c r="G2" s="22" t="s">
        <v>9</v>
      </c>
      <c r="H2" s="17" t="s">
        <v>147</v>
      </c>
      <c r="I2" s="17" t="e">
        <f>AVERAGE(D2:D4)</f>
        <v>#DIV/0!</v>
      </c>
      <c r="J2" s="17" t="e">
        <f>STDEV(D2:D4)</f>
        <v>#DIV/0!</v>
      </c>
      <c r="K2" s="17" t="e">
        <f>I2</f>
        <v>#DIV/0!</v>
      </c>
      <c r="L2" s="17" t="e">
        <f>I14</f>
        <v>#DIV/0!</v>
      </c>
      <c r="M2" s="17" t="e">
        <f>I2-K2</f>
        <v>#DIV/0!</v>
      </c>
      <c r="N2" s="17" t="e">
        <f>I2-L2</f>
        <v>#DIV/0!</v>
      </c>
    </row>
    <row r="3" spans="1:14" s="17" customFormat="1" ht="17" thickBot="1" x14ac:dyDescent="0.25">
      <c r="A3" s="17" t="s">
        <v>34</v>
      </c>
      <c r="B3" s="17" t="s">
        <v>129</v>
      </c>
      <c r="C3" s="17" t="s">
        <v>32</v>
      </c>
      <c r="D3" s="17" t="s">
        <v>33</v>
      </c>
      <c r="E3" s="17" t="s">
        <v>33</v>
      </c>
      <c r="F3" s="17" t="s">
        <v>34</v>
      </c>
      <c r="G3" s="22" t="s">
        <v>9</v>
      </c>
      <c r="H3" s="17" t="s">
        <v>147</v>
      </c>
      <c r="I3" s="17" t="e">
        <f>I2</f>
        <v>#DIV/0!</v>
      </c>
      <c r="J3" s="17" t="e">
        <f>J2</f>
        <v>#DIV/0!</v>
      </c>
      <c r="K3" s="17" t="e">
        <f>I2</f>
        <v>#DIV/0!</v>
      </c>
      <c r="L3" s="17" t="e">
        <f>I14</f>
        <v>#DIV/0!</v>
      </c>
      <c r="M3" s="17" t="e">
        <f t="shared" ref="M3:M66" si="0">I3-K3</f>
        <v>#DIV/0!</v>
      </c>
      <c r="N3" s="17" t="e">
        <f t="shared" ref="N3:N66" si="1">I3-L3</f>
        <v>#DIV/0!</v>
      </c>
    </row>
    <row r="4" spans="1:14" s="17" customFormat="1" ht="17" thickBot="1" x14ac:dyDescent="0.25">
      <c r="A4" s="17" t="s">
        <v>35</v>
      </c>
      <c r="B4" s="17" t="s">
        <v>129</v>
      </c>
      <c r="C4" s="17" t="s">
        <v>32</v>
      </c>
      <c r="E4" s="17">
        <v>34.2436195195396</v>
      </c>
      <c r="F4" s="17" t="s">
        <v>35</v>
      </c>
      <c r="G4" s="22" t="s">
        <v>9</v>
      </c>
      <c r="H4" s="17" t="s">
        <v>147</v>
      </c>
      <c r="I4" s="17" t="e">
        <f>I2</f>
        <v>#DIV/0!</v>
      </c>
      <c r="J4" s="17" t="e">
        <f>J2</f>
        <v>#DIV/0!</v>
      </c>
      <c r="K4" s="17" t="e">
        <f>I2</f>
        <v>#DIV/0!</v>
      </c>
      <c r="L4" s="17" t="e">
        <f>I14</f>
        <v>#DIV/0!</v>
      </c>
      <c r="M4" s="17" t="e">
        <f t="shared" si="0"/>
        <v>#DIV/0!</v>
      </c>
      <c r="N4" s="17" t="e">
        <f t="shared" si="1"/>
        <v>#DIV/0!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34.161373817031603</v>
      </c>
      <c r="E5">
        <v>34.161373817031603</v>
      </c>
      <c r="F5" t="s">
        <v>36</v>
      </c>
      <c r="G5" s="2" t="s">
        <v>20</v>
      </c>
      <c r="H5" t="s">
        <v>147</v>
      </c>
      <c r="I5">
        <f>AVERAGE(D5:D7)</f>
        <v>34.246085169874704</v>
      </c>
      <c r="J5">
        <f>STDEV(D5:D7)</f>
        <v>0.11979994407768096</v>
      </c>
      <c r="K5" t="e">
        <f>I2</f>
        <v>#DIV/0!</v>
      </c>
      <c r="L5" t="e">
        <f>I14</f>
        <v>#DIV/0!</v>
      </c>
      <c r="M5" t="e">
        <f t="shared" si="0"/>
        <v>#DIV/0!</v>
      </c>
      <c r="N5" t="e">
        <f t="shared" si="1"/>
        <v>#DIV/0!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34.330796522717797</v>
      </c>
      <c r="E6">
        <v>34.330796522717797</v>
      </c>
      <c r="F6" t="s">
        <v>37</v>
      </c>
      <c r="G6" s="2" t="s">
        <v>20</v>
      </c>
      <c r="H6" t="s">
        <v>147</v>
      </c>
      <c r="I6">
        <f>I5</f>
        <v>34.246085169874704</v>
      </c>
      <c r="J6">
        <f>J5</f>
        <v>0.11979994407768096</v>
      </c>
      <c r="K6" t="e">
        <f>I2</f>
        <v>#DIV/0!</v>
      </c>
      <c r="L6" t="e">
        <f>I14</f>
        <v>#DIV/0!</v>
      </c>
      <c r="M6" t="e">
        <f t="shared" si="0"/>
        <v>#DIV/0!</v>
      </c>
      <c r="N6" t="e">
        <f t="shared" si="1"/>
        <v>#DIV/0!</v>
      </c>
    </row>
    <row r="7" spans="1:14" ht="17" thickBot="1" x14ac:dyDescent="0.25">
      <c r="A7" t="s">
        <v>38</v>
      </c>
      <c r="B7" t="s">
        <v>129</v>
      </c>
      <c r="C7" t="s">
        <v>32</v>
      </c>
      <c r="E7">
        <v>33.250223557435902</v>
      </c>
      <c r="F7" t="s">
        <v>38</v>
      </c>
      <c r="G7" s="2" t="s">
        <v>20</v>
      </c>
      <c r="H7" t="s">
        <v>147</v>
      </c>
      <c r="I7">
        <f>I6</f>
        <v>34.246085169874704</v>
      </c>
      <c r="J7">
        <f>J5</f>
        <v>0.11979994407768096</v>
      </c>
      <c r="K7" t="e">
        <f>I2</f>
        <v>#DIV/0!</v>
      </c>
      <c r="L7" t="e">
        <f>I14</f>
        <v>#DIV/0!</v>
      </c>
      <c r="M7" t="e">
        <f t="shared" si="0"/>
        <v>#DIV/0!</v>
      </c>
      <c r="N7" t="e">
        <f t="shared" si="1"/>
        <v>#DIV/0!</v>
      </c>
    </row>
    <row r="8" spans="1:14" s="17" customFormat="1" ht="17" thickBot="1" x14ac:dyDescent="0.25">
      <c r="A8" s="17" t="s">
        <v>39</v>
      </c>
      <c r="B8" s="17" t="s">
        <v>129</v>
      </c>
      <c r="C8" s="17" t="s">
        <v>32</v>
      </c>
      <c r="E8" s="17">
        <v>18.025356946189898</v>
      </c>
      <c r="F8" s="17" t="s">
        <v>39</v>
      </c>
      <c r="G8" s="22" t="s">
        <v>9</v>
      </c>
      <c r="H8" s="17">
        <v>144</v>
      </c>
      <c r="I8" s="17" t="e">
        <f t="shared" ref="I8" si="2">AVERAGE(D8:D10)</f>
        <v>#DIV/0!</v>
      </c>
      <c r="J8" s="17" t="e">
        <f t="shared" ref="J8" si="3">STDEV(D8:D10)</f>
        <v>#DIV/0!</v>
      </c>
      <c r="K8" s="17" t="e">
        <f>I8</f>
        <v>#DIV/0!</v>
      </c>
      <c r="L8" s="17">
        <f>I20</f>
        <v>18.514543156994367</v>
      </c>
      <c r="M8" s="17" t="e">
        <f t="shared" si="0"/>
        <v>#DIV/0!</v>
      </c>
      <c r="N8" s="17" t="e">
        <f t="shared" si="1"/>
        <v>#DIV/0!</v>
      </c>
    </row>
    <row r="9" spans="1:14" s="17" customFormat="1" ht="17" thickBot="1" x14ac:dyDescent="0.25">
      <c r="A9" s="17" t="s">
        <v>40</v>
      </c>
      <c r="B9" s="17" t="s">
        <v>129</v>
      </c>
      <c r="C9" s="17" t="s">
        <v>32</v>
      </c>
      <c r="E9" s="17">
        <v>30.269156780237001</v>
      </c>
      <c r="F9" s="17" t="s">
        <v>40</v>
      </c>
      <c r="G9" s="22" t="s">
        <v>9</v>
      </c>
      <c r="H9" s="17">
        <v>144</v>
      </c>
      <c r="I9" s="17" t="e">
        <f t="shared" ref="I9:J9" si="4">I8</f>
        <v>#DIV/0!</v>
      </c>
      <c r="J9" s="17" t="e">
        <f t="shared" si="4"/>
        <v>#DIV/0!</v>
      </c>
      <c r="K9" s="17" t="e">
        <f>I8</f>
        <v>#DIV/0!</v>
      </c>
      <c r="L9" s="17">
        <f>I20</f>
        <v>18.514543156994367</v>
      </c>
      <c r="M9" s="17" t="e">
        <f t="shared" si="0"/>
        <v>#DIV/0!</v>
      </c>
      <c r="N9" s="17" t="e">
        <f t="shared" si="1"/>
        <v>#DIV/0!</v>
      </c>
    </row>
    <row r="10" spans="1:14" s="17" customFormat="1" ht="17" thickBot="1" x14ac:dyDescent="0.25">
      <c r="A10" s="17" t="s">
        <v>41</v>
      </c>
      <c r="B10" s="17" t="s">
        <v>129</v>
      </c>
      <c r="C10" s="17" t="s">
        <v>32</v>
      </c>
      <c r="E10" s="17">
        <v>21.9350675277161</v>
      </c>
      <c r="F10" s="17" t="s">
        <v>41</v>
      </c>
      <c r="G10" s="22" t="s">
        <v>9</v>
      </c>
      <c r="H10" s="17">
        <v>144</v>
      </c>
      <c r="I10" s="17" t="e">
        <f t="shared" ref="I10:J10" si="5">I8</f>
        <v>#DIV/0!</v>
      </c>
      <c r="J10" s="17" t="e">
        <f t="shared" si="5"/>
        <v>#DIV/0!</v>
      </c>
      <c r="K10" s="17" t="e">
        <f>I8</f>
        <v>#DIV/0!</v>
      </c>
      <c r="L10" s="17">
        <f>I20</f>
        <v>18.514543156994367</v>
      </c>
      <c r="M10" s="17" t="e">
        <f t="shared" si="0"/>
        <v>#DIV/0!</v>
      </c>
      <c r="N10" s="17" t="e">
        <f t="shared" si="1"/>
        <v>#DIV/0!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33.479929553255197</v>
      </c>
      <c r="F11" s="17" t="s">
        <v>42</v>
      </c>
      <c r="G11" s="18" t="s">
        <v>20</v>
      </c>
      <c r="H11" s="17">
        <v>144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 t="e">
        <f>I8</f>
        <v>#DIV/0!</v>
      </c>
      <c r="L11" s="17">
        <f>I20</f>
        <v>18.514543156994367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>
        <v>18.0225340642587</v>
      </c>
      <c r="F12" s="17" t="s">
        <v>43</v>
      </c>
      <c r="G12" s="18" t="s">
        <v>20</v>
      </c>
      <c r="H12" s="17">
        <v>144</v>
      </c>
      <c r="I12" s="17" t="e">
        <f t="shared" ref="I12:J13" si="8">I11</f>
        <v>#DIV/0!</v>
      </c>
      <c r="J12" s="17" t="e">
        <f t="shared" si="8"/>
        <v>#DIV/0!</v>
      </c>
      <c r="K12" s="17" t="e">
        <f>I8</f>
        <v>#DIV/0!</v>
      </c>
      <c r="L12" s="17">
        <f>I20</f>
        <v>18.514543156994367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 t="s">
        <v>33</v>
      </c>
      <c r="F13" s="17" t="s">
        <v>44</v>
      </c>
      <c r="G13" s="18" t="s">
        <v>20</v>
      </c>
      <c r="H13" s="17">
        <v>144</v>
      </c>
      <c r="I13" s="17" t="e">
        <f t="shared" si="8"/>
        <v>#DIV/0!</v>
      </c>
      <c r="J13" s="17" t="e">
        <f t="shared" ref="J13" si="9">J11</f>
        <v>#DIV/0!</v>
      </c>
      <c r="K13" s="17" t="e">
        <f>I8</f>
        <v>#DIV/0!</v>
      </c>
      <c r="L13" s="17">
        <f>I20</f>
        <v>18.514543156994367</v>
      </c>
      <c r="M13" s="17" t="e">
        <f t="shared" si="0"/>
        <v>#DIV/0!</v>
      </c>
      <c r="N13" s="17" t="e">
        <f t="shared" si="1"/>
        <v>#DIV/0!</v>
      </c>
    </row>
    <row r="14" spans="1:14" s="17" customFormat="1" x14ac:dyDescent="0.2">
      <c r="A14" s="17" t="s">
        <v>45</v>
      </c>
      <c r="B14" s="17" t="s">
        <v>129</v>
      </c>
      <c r="C14" s="17" t="s">
        <v>32</v>
      </c>
      <c r="E14" s="17" t="s">
        <v>33</v>
      </c>
      <c r="F14" s="17" t="s">
        <v>45</v>
      </c>
      <c r="G14" s="20" t="s">
        <v>8</v>
      </c>
      <c r="H14" s="17" t="s">
        <v>147</v>
      </c>
      <c r="I14" s="17" t="e">
        <f t="shared" ref="I14" si="10">AVERAGE(D14:D16)</f>
        <v>#DIV/0!</v>
      </c>
      <c r="J14" s="17" t="e">
        <f t="shared" ref="J14" si="11">STDEV(D14:D16)</f>
        <v>#DIV/0!</v>
      </c>
      <c r="K14" s="17" t="e">
        <f>I2</f>
        <v>#DIV/0!</v>
      </c>
      <c r="L14" s="17" t="e">
        <f>I14</f>
        <v>#DIV/0!</v>
      </c>
      <c r="M14" s="17" t="e">
        <f t="shared" si="0"/>
        <v>#DIV/0!</v>
      </c>
      <c r="N14" s="17" t="e">
        <f t="shared" si="1"/>
        <v>#DIV/0!</v>
      </c>
    </row>
    <row r="15" spans="1:14" s="17" customFormat="1" x14ac:dyDescent="0.2">
      <c r="A15" s="17" t="s">
        <v>46</v>
      </c>
      <c r="B15" s="17" t="s">
        <v>129</v>
      </c>
      <c r="C15" s="17" t="s">
        <v>32</v>
      </c>
      <c r="E15" s="17">
        <v>21.745625793575002</v>
      </c>
      <c r="F15" s="17" t="s">
        <v>46</v>
      </c>
      <c r="G15" s="20" t="s">
        <v>8</v>
      </c>
      <c r="H15" s="17" t="s">
        <v>147</v>
      </c>
      <c r="I15" s="17" t="e">
        <f t="shared" ref="I15:J15" si="12">I14</f>
        <v>#DIV/0!</v>
      </c>
      <c r="J15" s="17" t="e">
        <f t="shared" si="12"/>
        <v>#DIV/0!</v>
      </c>
      <c r="K15" s="17" t="e">
        <f>I2</f>
        <v>#DIV/0!</v>
      </c>
      <c r="L15" s="17" t="e">
        <f>I14</f>
        <v>#DIV/0!</v>
      </c>
      <c r="M15" s="17" t="e">
        <f t="shared" si="0"/>
        <v>#DIV/0!</v>
      </c>
      <c r="N15" s="17" t="e">
        <f t="shared" si="1"/>
        <v>#DIV/0!</v>
      </c>
    </row>
    <row r="16" spans="1:14" s="17" customFormat="1" x14ac:dyDescent="0.2">
      <c r="A16" s="17" t="s">
        <v>47</v>
      </c>
      <c r="B16" s="17" t="s">
        <v>129</v>
      </c>
      <c r="C16" s="17" t="s">
        <v>32</v>
      </c>
      <c r="E16" s="17">
        <v>20.578129395173899</v>
      </c>
      <c r="F16" s="17" t="s">
        <v>47</v>
      </c>
      <c r="G16" s="20" t="s">
        <v>8</v>
      </c>
      <c r="H16" s="17" t="s">
        <v>147</v>
      </c>
      <c r="I16" s="17" t="e">
        <f t="shared" ref="I16:J16" si="13">I14</f>
        <v>#DIV/0!</v>
      </c>
      <c r="J16" s="17" t="e">
        <f t="shared" si="13"/>
        <v>#DIV/0!</v>
      </c>
      <c r="K16" s="17" t="e">
        <f>I2</f>
        <v>#DIV/0!</v>
      </c>
      <c r="L16" s="17" t="e">
        <f>I14</f>
        <v>#DIV/0!</v>
      </c>
      <c r="M16" s="17" t="e">
        <f t="shared" si="0"/>
        <v>#DIV/0!</v>
      </c>
      <c r="N16" s="17" t="e">
        <f t="shared" si="1"/>
        <v>#DIV/0!</v>
      </c>
    </row>
    <row r="17" spans="1:14" s="17" customFormat="1" x14ac:dyDescent="0.2">
      <c r="A17" s="17" t="s">
        <v>48</v>
      </c>
      <c r="B17" s="17" t="s">
        <v>129</v>
      </c>
      <c r="C17" s="17" t="s">
        <v>32</v>
      </c>
      <c r="E17" s="17" t="s">
        <v>33</v>
      </c>
      <c r="F17" s="17" t="s">
        <v>48</v>
      </c>
      <c r="G17" s="19" t="s">
        <v>21</v>
      </c>
      <c r="H17" s="17" t="s">
        <v>147</v>
      </c>
      <c r="I17" s="17" t="e">
        <f t="shared" ref="I17" si="14">AVERAGE(D17:D19)</f>
        <v>#DIV/0!</v>
      </c>
      <c r="J17" s="17" t="e">
        <f t="shared" ref="J17" si="15">STDEV(D17:D19)</f>
        <v>#DIV/0!</v>
      </c>
      <c r="K17" s="17" t="e">
        <f>I2</f>
        <v>#DIV/0!</v>
      </c>
      <c r="L17" s="17" t="e">
        <f>I14</f>
        <v>#DIV/0!</v>
      </c>
      <c r="M17" s="17" t="e">
        <f t="shared" si="0"/>
        <v>#DIV/0!</v>
      </c>
      <c r="N17" s="17" t="e">
        <f t="shared" si="1"/>
        <v>#DIV/0!</v>
      </c>
    </row>
    <row r="18" spans="1:14" s="17" customFormat="1" x14ac:dyDescent="0.2">
      <c r="A18" s="17" t="s">
        <v>49</v>
      </c>
      <c r="B18" s="17" t="s">
        <v>129</v>
      </c>
      <c r="C18" s="17" t="s">
        <v>32</v>
      </c>
      <c r="E18" s="17">
        <v>36.613531794221501</v>
      </c>
      <c r="F18" s="17" t="s">
        <v>49</v>
      </c>
      <c r="G18" s="19" t="s">
        <v>21</v>
      </c>
      <c r="H18" s="17" t="s">
        <v>147</v>
      </c>
      <c r="I18" s="17" t="e">
        <f t="shared" ref="I18:J19" si="16">I17</f>
        <v>#DIV/0!</v>
      </c>
      <c r="J18" s="17" t="e">
        <f t="shared" si="16"/>
        <v>#DIV/0!</v>
      </c>
      <c r="K18" s="17" t="e">
        <f>I2</f>
        <v>#DIV/0!</v>
      </c>
      <c r="L18" s="17" t="e">
        <f>I14</f>
        <v>#DIV/0!</v>
      </c>
      <c r="M18" s="17" t="e">
        <f t="shared" si="0"/>
        <v>#DIV/0!</v>
      </c>
      <c r="N18" s="17" t="e">
        <f t="shared" si="1"/>
        <v>#DIV/0!</v>
      </c>
    </row>
    <row r="19" spans="1:14" s="17" customFormat="1" x14ac:dyDescent="0.2">
      <c r="A19" s="17" t="s">
        <v>50</v>
      </c>
      <c r="B19" s="17" t="s">
        <v>129</v>
      </c>
      <c r="C19" s="17" t="s">
        <v>32</v>
      </c>
      <c r="E19" s="17" t="s">
        <v>33</v>
      </c>
      <c r="F19" s="17" t="s">
        <v>50</v>
      </c>
      <c r="G19" s="19" t="s">
        <v>21</v>
      </c>
      <c r="H19" s="17" t="s">
        <v>147</v>
      </c>
      <c r="I19" s="17" t="e">
        <f t="shared" si="16"/>
        <v>#DIV/0!</v>
      </c>
      <c r="J19" s="17" t="e">
        <f t="shared" ref="J19" si="17">J17</f>
        <v>#DIV/0!</v>
      </c>
      <c r="K19" s="17" t="e">
        <f>I2</f>
        <v>#DIV/0!</v>
      </c>
      <c r="L19" s="17" t="e">
        <f>I14</f>
        <v>#DIV/0!</v>
      </c>
      <c r="M19" s="17" t="e">
        <f t="shared" si="0"/>
        <v>#DIV/0!</v>
      </c>
      <c r="N19" s="17" t="e">
        <f t="shared" si="1"/>
        <v>#DIV/0!</v>
      </c>
    </row>
    <row r="20" spans="1:14" x14ac:dyDescent="0.2">
      <c r="A20" t="s">
        <v>51</v>
      </c>
      <c r="B20" t="s">
        <v>129</v>
      </c>
      <c r="C20" t="s">
        <v>32</v>
      </c>
      <c r="D20">
        <v>18.539725453850401</v>
      </c>
      <c r="E20">
        <v>18.539725453850401</v>
      </c>
      <c r="F20" t="s">
        <v>51</v>
      </c>
      <c r="G20" s="11" t="s">
        <v>8</v>
      </c>
      <c r="H20">
        <v>144</v>
      </c>
      <c r="I20">
        <f t="shared" ref="I20" si="18">AVERAGE(D20:D22)</f>
        <v>18.514543156994367</v>
      </c>
      <c r="J20">
        <f t="shared" ref="J20" si="19">STDEV(D20:D22)</f>
        <v>0.17557810731177681</v>
      </c>
      <c r="K20" t="e">
        <f>I8</f>
        <v>#DIV/0!</v>
      </c>
      <c r="L20">
        <f>I20</f>
        <v>18.514543156994367</v>
      </c>
      <c r="M20" t="e">
        <f t="shared" si="0"/>
        <v>#DIV/0!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18.327733580405098</v>
      </c>
      <c r="E21">
        <v>18.327733580405098</v>
      </c>
      <c r="F21" t="s">
        <v>52</v>
      </c>
      <c r="G21" s="11" t="s">
        <v>8</v>
      </c>
      <c r="H21">
        <v>144</v>
      </c>
      <c r="I21">
        <f t="shared" ref="I21:J21" si="20">I20</f>
        <v>18.514543156994367</v>
      </c>
      <c r="J21">
        <f t="shared" si="20"/>
        <v>0.17557810731177681</v>
      </c>
      <c r="K21" t="e">
        <f>I8</f>
        <v>#DIV/0!</v>
      </c>
      <c r="L21">
        <f>I20</f>
        <v>18.514543156994367</v>
      </c>
      <c r="M21" t="e">
        <f t="shared" si="0"/>
        <v>#DIV/0!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18.676170436727599</v>
      </c>
      <c r="E22">
        <v>18.676170436727599</v>
      </c>
      <c r="F22" t="s">
        <v>53</v>
      </c>
      <c r="G22" s="11" t="s">
        <v>8</v>
      </c>
      <c r="H22">
        <v>144</v>
      </c>
      <c r="I22">
        <f t="shared" ref="I22:J22" si="21">I20</f>
        <v>18.514543156994367</v>
      </c>
      <c r="J22">
        <f t="shared" si="21"/>
        <v>0.17557810731177681</v>
      </c>
      <c r="K22" t="e">
        <f>I8</f>
        <v>#DIV/0!</v>
      </c>
      <c r="L22">
        <f>I20</f>
        <v>18.514543156994367</v>
      </c>
      <c r="M22" t="e">
        <f t="shared" si="0"/>
        <v>#DIV/0!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30.840788915456599</v>
      </c>
      <c r="E23">
        <v>30.840788915456599</v>
      </c>
      <c r="F23" t="s">
        <v>54</v>
      </c>
      <c r="G23" s="1" t="s">
        <v>21</v>
      </c>
      <c r="H23">
        <v>144</v>
      </c>
      <c r="I23">
        <f t="shared" ref="I23" si="22">AVERAGE(D23:D25)</f>
        <v>30.577010269566649</v>
      </c>
      <c r="J23">
        <f t="shared" ref="J23" si="23">STDEV(D23:D25)</f>
        <v>0.37303933848197707</v>
      </c>
      <c r="K23" t="e">
        <f>I8</f>
        <v>#DIV/0!</v>
      </c>
      <c r="L23">
        <f>I20</f>
        <v>18.514543156994367</v>
      </c>
      <c r="M23" t="e">
        <f t="shared" si="0"/>
        <v>#DIV/0!</v>
      </c>
      <c r="N23">
        <f t="shared" si="1"/>
        <v>12.062467112572282</v>
      </c>
    </row>
    <row r="24" spans="1:14" x14ac:dyDescent="0.2">
      <c r="A24" t="s">
        <v>55</v>
      </c>
      <c r="B24" t="s">
        <v>129</v>
      </c>
      <c r="C24" t="s">
        <v>32</v>
      </c>
      <c r="D24">
        <v>30.3132316236767</v>
      </c>
      <c r="E24">
        <v>30.3132316236767</v>
      </c>
      <c r="F24" t="s">
        <v>55</v>
      </c>
      <c r="G24" s="1" t="s">
        <v>21</v>
      </c>
      <c r="H24">
        <v>144</v>
      </c>
      <c r="I24">
        <f t="shared" ref="I24:J25" si="24">I23</f>
        <v>30.577010269566649</v>
      </c>
      <c r="J24">
        <f t="shared" si="24"/>
        <v>0.37303933848197707</v>
      </c>
      <c r="K24" t="e">
        <f>I8</f>
        <v>#DIV/0!</v>
      </c>
      <c r="L24">
        <f>I20</f>
        <v>18.514543156994367</v>
      </c>
      <c r="M24" t="e">
        <f t="shared" si="0"/>
        <v>#DIV/0!</v>
      </c>
      <c r="N24">
        <f t="shared" si="1"/>
        <v>12.062467112572282</v>
      </c>
    </row>
    <row r="25" spans="1:14" x14ac:dyDescent="0.2">
      <c r="A25" t="s">
        <v>56</v>
      </c>
      <c r="B25" t="s">
        <v>129</v>
      </c>
      <c r="C25" t="s">
        <v>32</v>
      </c>
      <c r="E25">
        <v>19.845720696703701</v>
      </c>
      <c r="F25" t="s">
        <v>56</v>
      </c>
      <c r="G25" s="1" t="s">
        <v>21</v>
      </c>
      <c r="H25">
        <v>144</v>
      </c>
      <c r="I25">
        <f t="shared" si="24"/>
        <v>30.577010269566649</v>
      </c>
      <c r="J25">
        <f t="shared" ref="J25" si="25">J23</f>
        <v>0.37303933848197707</v>
      </c>
      <c r="K25" t="e">
        <f>I8</f>
        <v>#DIV/0!</v>
      </c>
      <c r="L25">
        <f>I20</f>
        <v>18.514543156994367</v>
      </c>
      <c r="M25" t="e">
        <f t="shared" si="0"/>
        <v>#DIV/0!</v>
      </c>
      <c r="N25">
        <f t="shared" si="1"/>
        <v>12.062467112572282</v>
      </c>
    </row>
    <row r="26" spans="1:14" x14ac:dyDescent="0.2">
      <c r="A26" t="s">
        <v>57</v>
      </c>
      <c r="B26" t="s">
        <v>129</v>
      </c>
      <c r="C26" t="s">
        <v>32</v>
      </c>
      <c r="D26">
        <v>38.265657624502602</v>
      </c>
      <c r="E26">
        <v>38.265657624502602</v>
      </c>
      <c r="F26" t="s">
        <v>57</v>
      </c>
      <c r="G26" s="4" t="s">
        <v>14</v>
      </c>
      <c r="H26" t="s">
        <v>147</v>
      </c>
      <c r="I26">
        <f t="shared" ref="I26" si="26">AVERAGE(D26:D28)</f>
        <v>37.930838618499806</v>
      </c>
      <c r="J26">
        <f t="shared" ref="J26" si="27">STDEV(D26:D28)</f>
        <v>0.47350557922943792</v>
      </c>
      <c r="K26" t="e">
        <f>I2</f>
        <v>#DIV/0!</v>
      </c>
      <c r="L26" t="e">
        <f>I14</f>
        <v>#DIV/0!</v>
      </c>
      <c r="M26" t="e">
        <f t="shared" si="0"/>
        <v>#DIV/0!</v>
      </c>
      <c r="N26" t="e">
        <f t="shared" si="1"/>
        <v>#DIV/0!</v>
      </c>
    </row>
    <row r="27" spans="1:14" x14ac:dyDescent="0.2">
      <c r="A27" t="s">
        <v>58</v>
      </c>
      <c r="B27" t="s">
        <v>129</v>
      </c>
      <c r="C27" t="s">
        <v>32</v>
      </c>
      <c r="E27">
        <v>33.0754423600088</v>
      </c>
      <c r="F27" t="s">
        <v>58</v>
      </c>
      <c r="G27" s="4" t="s">
        <v>14</v>
      </c>
      <c r="H27" t="s">
        <v>147</v>
      </c>
      <c r="I27">
        <f t="shared" ref="I27:J27" si="28">I26</f>
        <v>37.930838618499806</v>
      </c>
      <c r="J27">
        <f t="shared" si="28"/>
        <v>0.47350557922943792</v>
      </c>
      <c r="K27" t="e">
        <f>I2</f>
        <v>#DIV/0!</v>
      </c>
      <c r="L27" t="e">
        <f>I14</f>
        <v>#DIV/0!</v>
      </c>
      <c r="M27" t="e">
        <f t="shared" si="0"/>
        <v>#DIV/0!</v>
      </c>
      <c r="N27" t="e">
        <f t="shared" si="1"/>
        <v>#DIV/0!</v>
      </c>
    </row>
    <row r="28" spans="1:14" x14ac:dyDescent="0.2">
      <c r="A28" t="s">
        <v>59</v>
      </c>
      <c r="B28" t="s">
        <v>129</v>
      </c>
      <c r="C28" t="s">
        <v>32</v>
      </c>
      <c r="D28">
        <v>37.596019612497003</v>
      </c>
      <c r="E28">
        <v>37.596019612497003</v>
      </c>
      <c r="F28" t="s">
        <v>59</v>
      </c>
      <c r="G28" s="4" t="s">
        <v>14</v>
      </c>
      <c r="H28" t="s">
        <v>147</v>
      </c>
      <c r="I28">
        <f t="shared" ref="I28:J28" si="29">I26</f>
        <v>37.930838618499806</v>
      </c>
      <c r="J28">
        <f t="shared" si="29"/>
        <v>0.47350557922943792</v>
      </c>
      <c r="K28" t="e">
        <f>I2</f>
        <v>#DIV/0!</v>
      </c>
      <c r="L28" t="e">
        <f>I14</f>
        <v>#DIV/0!</v>
      </c>
      <c r="M28" t="e">
        <f t="shared" si="0"/>
        <v>#DIV/0!</v>
      </c>
      <c r="N28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34.4899960475528</v>
      </c>
      <c r="E29">
        <v>34.4899960475528</v>
      </c>
      <c r="F29" t="s">
        <v>60</v>
      </c>
      <c r="G29" s="1" t="s">
        <v>23</v>
      </c>
      <c r="H29" t="s">
        <v>147</v>
      </c>
      <c r="I29">
        <f t="shared" ref="I29" si="30">AVERAGE(D29:D31)</f>
        <v>34.571287258359568</v>
      </c>
      <c r="J29">
        <f t="shared" ref="J29" si="31">STDEV(D29:D31)</f>
        <v>0.1174915947316312</v>
      </c>
      <c r="K29" t="e">
        <f>I2</f>
        <v>#DIV/0!</v>
      </c>
      <c r="L29" t="e">
        <f>I14</f>
        <v>#DIV/0!</v>
      </c>
      <c r="M29" t="e">
        <f t="shared" si="0"/>
        <v>#DIV/0!</v>
      </c>
      <c r="N29" t="e">
        <f t="shared" si="1"/>
        <v>#DIV/0!</v>
      </c>
    </row>
    <row r="30" spans="1:14" x14ac:dyDescent="0.2">
      <c r="A30" t="s">
        <v>61</v>
      </c>
      <c r="B30" t="s">
        <v>129</v>
      </c>
      <c r="C30" t="s">
        <v>32</v>
      </c>
      <c r="D30">
        <v>34.517868635085101</v>
      </c>
      <c r="E30">
        <v>34.517868635085101</v>
      </c>
      <c r="F30" t="s">
        <v>61</v>
      </c>
      <c r="G30" s="1" t="s">
        <v>23</v>
      </c>
      <c r="H30" t="s">
        <v>147</v>
      </c>
      <c r="I30">
        <f t="shared" ref="I30:J31" si="32">I29</f>
        <v>34.571287258359568</v>
      </c>
      <c r="J30">
        <f t="shared" si="32"/>
        <v>0.1174915947316312</v>
      </c>
      <c r="K30" t="e">
        <f>I2</f>
        <v>#DIV/0!</v>
      </c>
      <c r="L30" t="e">
        <f>I14</f>
        <v>#DIV/0!</v>
      </c>
      <c r="M30" t="e">
        <f t="shared" si="0"/>
        <v>#DIV/0!</v>
      </c>
      <c r="N30" t="e">
        <f t="shared" si="1"/>
        <v>#DIV/0!</v>
      </c>
    </row>
    <row r="31" spans="1:14" x14ac:dyDescent="0.2">
      <c r="A31" t="s">
        <v>62</v>
      </c>
      <c r="B31" t="s">
        <v>129</v>
      </c>
      <c r="C31" t="s">
        <v>32</v>
      </c>
      <c r="D31">
        <v>34.705997092440803</v>
      </c>
      <c r="E31">
        <v>34.705997092440803</v>
      </c>
      <c r="F31" t="s">
        <v>62</v>
      </c>
      <c r="G31" s="1" t="s">
        <v>23</v>
      </c>
      <c r="H31" t="s">
        <v>147</v>
      </c>
      <c r="I31">
        <f t="shared" si="32"/>
        <v>34.571287258359568</v>
      </c>
      <c r="J31">
        <f t="shared" ref="J31" si="33">J29</f>
        <v>0.1174915947316312</v>
      </c>
      <c r="K31" t="e">
        <f>I2</f>
        <v>#DIV/0!</v>
      </c>
      <c r="L31" t="e">
        <f>I14</f>
        <v>#DIV/0!</v>
      </c>
      <c r="M31" t="e">
        <f t="shared" si="0"/>
        <v>#DIV/0!</v>
      </c>
      <c r="N31" t="e">
        <f t="shared" si="1"/>
        <v>#DIV/0!</v>
      </c>
    </row>
    <row r="32" spans="1:14" x14ac:dyDescent="0.2">
      <c r="A32" t="s">
        <v>63</v>
      </c>
      <c r="B32" t="s">
        <v>129</v>
      </c>
      <c r="C32" t="s">
        <v>32</v>
      </c>
      <c r="E32">
        <v>28.911662141569401</v>
      </c>
      <c r="F32" t="s">
        <v>63</v>
      </c>
      <c r="G32" s="4" t="s">
        <v>14</v>
      </c>
      <c r="H32">
        <v>144</v>
      </c>
      <c r="I32">
        <f t="shared" ref="I32" si="34">AVERAGE(D32:D34)</f>
        <v>30.493227629717097</v>
      </c>
      <c r="J32">
        <f t="shared" ref="J32" si="35">STDEV(D32:D34)</f>
        <v>0.24126752412036706</v>
      </c>
      <c r="K32" t="e">
        <f>I8</f>
        <v>#DIV/0!</v>
      </c>
      <c r="L32">
        <f>I20</f>
        <v>18.514543156994367</v>
      </c>
      <c r="M32" t="e">
        <f t="shared" si="0"/>
        <v>#DIV/0!</v>
      </c>
      <c r="N32">
        <f t="shared" si="1"/>
        <v>11.97868447272273</v>
      </c>
    </row>
    <row r="33" spans="1:14" x14ac:dyDescent="0.2">
      <c r="A33" t="s">
        <v>64</v>
      </c>
      <c r="B33" t="s">
        <v>129</v>
      </c>
      <c r="C33" t="s">
        <v>32</v>
      </c>
      <c r="D33">
        <v>30.322625727331499</v>
      </c>
      <c r="E33">
        <v>30.322625727331499</v>
      </c>
      <c r="F33" t="s">
        <v>64</v>
      </c>
      <c r="G33" s="4" t="s">
        <v>14</v>
      </c>
      <c r="H33">
        <v>144</v>
      </c>
      <c r="I33">
        <f t="shared" ref="I33:J33" si="36">I32</f>
        <v>30.493227629717097</v>
      </c>
      <c r="J33">
        <f t="shared" si="36"/>
        <v>0.24126752412036706</v>
      </c>
      <c r="K33" t="e">
        <f>I8</f>
        <v>#DIV/0!</v>
      </c>
      <c r="L33">
        <f>I20</f>
        <v>18.514543156994367</v>
      </c>
      <c r="M33" t="e">
        <f t="shared" si="0"/>
        <v>#DIV/0!</v>
      </c>
      <c r="N33">
        <f t="shared" si="1"/>
        <v>11.97868447272273</v>
      </c>
    </row>
    <row r="34" spans="1:14" x14ac:dyDescent="0.2">
      <c r="A34" t="s">
        <v>65</v>
      </c>
      <c r="B34" t="s">
        <v>129</v>
      </c>
      <c r="C34" t="s">
        <v>32</v>
      </c>
      <c r="D34">
        <v>30.663829532102699</v>
      </c>
      <c r="E34">
        <v>30.663829532102699</v>
      </c>
      <c r="F34" t="s">
        <v>65</v>
      </c>
      <c r="G34" s="4" t="s">
        <v>14</v>
      </c>
      <c r="H34">
        <v>144</v>
      </c>
      <c r="I34">
        <f t="shared" ref="I34:J34" si="37">I32</f>
        <v>30.493227629717097</v>
      </c>
      <c r="J34">
        <f t="shared" si="37"/>
        <v>0.24126752412036706</v>
      </c>
      <c r="K34" t="e">
        <f>I8</f>
        <v>#DIV/0!</v>
      </c>
      <c r="L34">
        <f>I20</f>
        <v>18.514543156994367</v>
      </c>
      <c r="M34" t="e">
        <f t="shared" si="0"/>
        <v>#DIV/0!</v>
      </c>
      <c r="N34">
        <f t="shared" si="1"/>
        <v>11.97868447272273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31.1588542724209</v>
      </c>
      <c r="F35" s="17" t="s">
        <v>66</v>
      </c>
      <c r="G35" s="19" t="s">
        <v>23</v>
      </c>
      <c r="H35" s="17">
        <v>144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 t="e">
        <f>I8</f>
        <v>#DIV/0!</v>
      </c>
      <c r="L35" s="17">
        <f>I20</f>
        <v>18.514543156994367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29.921637354718701</v>
      </c>
      <c r="F36" s="17" t="s">
        <v>67</v>
      </c>
      <c r="G36" s="19" t="s">
        <v>23</v>
      </c>
      <c r="H36" s="17">
        <v>144</v>
      </c>
      <c r="I36" s="17" t="e">
        <f t="shared" ref="I36:J37" si="40">I35</f>
        <v>#DIV/0!</v>
      </c>
      <c r="J36" s="17" t="e">
        <f t="shared" si="40"/>
        <v>#DIV/0!</v>
      </c>
      <c r="K36" s="17" t="e">
        <f>I8</f>
        <v>#DIV/0!</v>
      </c>
      <c r="L36" s="17">
        <f>I20</f>
        <v>18.514543156994367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>
        <v>32.809129886851402</v>
      </c>
      <c r="F37" s="17" t="s">
        <v>68</v>
      </c>
      <c r="G37" s="19" t="s">
        <v>23</v>
      </c>
      <c r="H37" s="17">
        <v>144</v>
      </c>
      <c r="I37" s="17" t="e">
        <f t="shared" si="40"/>
        <v>#DIV/0!</v>
      </c>
      <c r="J37" s="17" t="e">
        <f t="shared" ref="J37" si="41">J35</f>
        <v>#DIV/0!</v>
      </c>
      <c r="K37" s="17" t="e">
        <f>I8</f>
        <v>#DIV/0!</v>
      </c>
      <c r="L37" s="17">
        <f>I20</f>
        <v>18.514543156994367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E38">
        <v>38.2949166614289</v>
      </c>
      <c r="F38" t="s">
        <v>69</v>
      </c>
      <c r="G38" s="4" t="s">
        <v>15</v>
      </c>
      <c r="H38" t="s">
        <v>147</v>
      </c>
      <c r="I38">
        <f t="shared" ref="I38" si="42">AVERAGE(D38:D40)</f>
        <v>35.059638728517101</v>
      </c>
      <c r="J38">
        <f t="shared" ref="J38" si="43">STDEV(D38:D40)</f>
        <v>0.33131828379042766</v>
      </c>
      <c r="K38" t="e">
        <f>I2</f>
        <v>#DIV/0!</v>
      </c>
      <c r="L38" t="e">
        <f>I14</f>
        <v>#DIV/0!</v>
      </c>
      <c r="M38" t="e">
        <f t="shared" si="0"/>
        <v>#DIV/0!</v>
      </c>
      <c r="N38" t="e">
        <f t="shared" si="1"/>
        <v>#DIV/0!</v>
      </c>
    </row>
    <row r="39" spans="1:14" x14ac:dyDescent="0.2">
      <c r="A39" t="s">
        <v>70</v>
      </c>
      <c r="B39" t="s">
        <v>129</v>
      </c>
      <c r="C39" t="s">
        <v>32</v>
      </c>
      <c r="D39">
        <v>34.8253613233178</v>
      </c>
      <c r="E39">
        <v>34.8253613233178</v>
      </c>
      <c r="F39" t="s">
        <v>70</v>
      </c>
      <c r="G39" s="4" t="s">
        <v>15</v>
      </c>
      <c r="H39" t="s">
        <v>147</v>
      </c>
      <c r="I39">
        <f t="shared" ref="I39:J39" si="44">I38</f>
        <v>35.059638728517101</v>
      </c>
      <c r="J39">
        <f t="shared" si="44"/>
        <v>0.33131828379042766</v>
      </c>
      <c r="K39" t="e">
        <f>I2</f>
        <v>#DIV/0!</v>
      </c>
      <c r="L39" t="e">
        <f>I14</f>
        <v>#DIV/0!</v>
      </c>
      <c r="M39" t="e">
        <f t="shared" si="0"/>
        <v>#DIV/0!</v>
      </c>
      <c r="N39" t="e">
        <f t="shared" si="1"/>
        <v>#DIV/0!</v>
      </c>
    </row>
    <row r="40" spans="1:14" x14ac:dyDescent="0.2">
      <c r="A40" t="s">
        <v>71</v>
      </c>
      <c r="B40" t="s">
        <v>129</v>
      </c>
      <c r="C40" t="s">
        <v>32</v>
      </c>
      <c r="D40">
        <v>35.293916133716401</v>
      </c>
      <c r="E40">
        <v>35.293916133716401</v>
      </c>
      <c r="F40" t="s">
        <v>71</v>
      </c>
      <c r="G40" s="4" t="s">
        <v>15</v>
      </c>
      <c r="H40" t="s">
        <v>147</v>
      </c>
      <c r="I40">
        <f t="shared" ref="I40:J40" si="45">I38</f>
        <v>35.059638728517101</v>
      </c>
      <c r="J40">
        <f t="shared" si="45"/>
        <v>0.33131828379042766</v>
      </c>
      <c r="K40" t="e">
        <f>I2</f>
        <v>#DIV/0!</v>
      </c>
      <c r="L40" t="e">
        <f>I14</f>
        <v>#DIV/0!</v>
      </c>
      <c r="M40" t="e">
        <f t="shared" si="0"/>
        <v>#DIV/0!</v>
      </c>
      <c r="N40" t="e">
        <f t="shared" si="1"/>
        <v>#DIV/0!</v>
      </c>
    </row>
    <row r="41" spans="1:14" x14ac:dyDescent="0.2">
      <c r="A41" t="s">
        <v>72</v>
      </c>
      <c r="B41" t="s">
        <v>129</v>
      </c>
      <c r="C41" t="s">
        <v>32</v>
      </c>
      <c r="D41">
        <v>35.3258239230451</v>
      </c>
      <c r="E41">
        <v>35.3258239230451</v>
      </c>
      <c r="F41" t="s">
        <v>72</v>
      </c>
      <c r="G41" s="1" t="s">
        <v>22</v>
      </c>
      <c r="H41" t="s">
        <v>147</v>
      </c>
      <c r="I41">
        <f t="shared" ref="I41" si="46">AVERAGE(D41:D43)</f>
        <v>35.410936115092696</v>
      </c>
      <c r="J41">
        <f t="shared" ref="J41" si="47">STDEV(D41:D43)</f>
        <v>0.12036681631701895</v>
      </c>
      <c r="K41" t="e">
        <f>I2</f>
        <v>#DIV/0!</v>
      </c>
      <c r="L41" t="e">
        <f>I14</f>
        <v>#DIV/0!</v>
      </c>
      <c r="M41" t="e">
        <f t="shared" si="0"/>
        <v>#DIV/0!</v>
      </c>
      <c r="N41" t="e">
        <f t="shared" si="1"/>
        <v>#DIV/0!</v>
      </c>
    </row>
    <row r="42" spans="1:14" x14ac:dyDescent="0.2">
      <c r="A42" t="s">
        <v>73</v>
      </c>
      <c r="B42" t="s">
        <v>129</v>
      </c>
      <c r="C42" t="s">
        <v>32</v>
      </c>
      <c r="D42" t="s">
        <v>33</v>
      </c>
      <c r="E42" t="s">
        <v>33</v>
      </c>
      <c r="F42" t="s">
        <v>73</v>
      </c>
      <c r="G42" s="1" t="s">
        <v>22</v>
      </c>
      <c r="H42" t="s">
        <v>147</v>
      </c>
      <c r="I42">
        <f t="shared" ref="I42:J43" si="48">I41</f>
        <v>35.410936115092696</v>
      </c>
      <c r="J42">
        <f t="shared" si="48"/>
        <v>0.12036681631701895</v>
      </c>
      <c r="K42" t="e">
        <f>I2</f>
        <v>#DIV/0!</v>
      </c>
      <c r="L42" t="e">
        <f>I14</f>
        <v>#DIV/0!</v>
      </c>
      <c r="M42" t="e">
        <f t="shared" si="0"/>
        <v>#DIV/0!</v>
      </c>
      <c r="N42" t="e">
        <f t="shared" si="1"/>
        <v>#DIV/0!</v>
      </c>
    </row>
    <row r="43" spans="1:14" x14ac:dyDescent="0.2">
      <c r="A43" t="s">
        <v>74</v>
      </c>
      <c r="B43" t="s">
        <v>129</v>
      </c>
      <c r="C43" t="s">
        <v>32</v>
      </c>
      <c r="D43">
        <v>35.496048307140299</v>
      </c>
      <c r="E43">
        <v>35.496048307140299</v>
      </c>
      <c r="F43" t="s">
        <v>74</v>
      </c>
      <c r="G43" s="1" t="s">
        <v>22</v>
      </c>
      <c r="H43" t="s">
        <v>147</v>
      </c>
      <c r="I43">
        <f t="shared" si="48"/>
        <v>35.410936115092696</v>
      </c>
      <c r="J43">
        <f t="shared" ref="J43" si="49">J41</f>
        <v>0.12036681631701895</v>
      </c>
      <c r="K43" t="e">
        <f>I2</f>
        <v>#DIV/0!</v>
      </c>
      <c r="L43" t="e">
        <f>I14</f>
        <v>#DIV/0!</v>
      </c>
      <c r="M43" t="e">
        <f t="shared" si="0"/>
        <v>#DIV/0!</v>
      </c>
      <c r="N43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D44">
        <v>29.482150706118901</v>
      </c>
      <c r="E44">
        <v>29.482150706118901</v>
      </c>
      <c r="F44" t="s">
        <v>75</v>
      </c>
      <c r="G44" s="4" t="s">
        <v>15</v>
      </c>
      <c r="H44">
        <v>144</v>
      </c>
      <c r="I44">
        <f t="shared" ref="I44" si="50">AVERAGE(D44:D46)</f>
        <v>29.517295616229834</v>
      </c>
      <c r="J44">
        <f t="shared" ref="J44" si="51">STDEV(D44:D46)</f>
        <v>0.37216881323267331</v>
      </c>
      <c r="K44" t="e">
        <f>I8</f>
        <v>#DIV/0!</v>
      </c>
      <c r="L44">
        <f>I20</f>
        <v>18.514543156994367</v>
      </c>
      <c r="M44" t="e">
        <f t="shared" si="0"/>
        <v>#DIV/0!</v>
      </c>
      <c r="N44">
        <f t="shared" si="1"/>
        <v>11.002752459235467</v>
      </c>
    </row>
    <row r="45" spans="1:14" x14ac:dyDescent="0.2">
      <c r="A45" t="s">
        <v>76</v>
      </c>
      <c r="B45" t="s">
        <v>129</v>
      </c>
      <c r="C45" t="s">
        <v>32</v>
      </c>
      <c r="D45">
        <v>29.163945906925999</v>
      </c>
      <c r="E45">
        <v>29.163945906925999</v>
      </c>
      <c r="F45" t="s">
        <v>76</v>
      </c>
      <c r="G45" s="4" t="s">
        <v>15</v>
      </c>
      <c r="H45">
        <v>144</v>
      </c>
      <c r="I45">
        <f t="shared" ref="I45:J45" si="52">I44</f>
        <v>29.517295616229834</v>
      </c>
      <c r="J45">
        <f t="shared" si="52"/>
        <v>0.37216881323267331</v>
      </c>
      <c r="K45" t="e">
        <f>I8</f>
        <v>#DIV/0!</v>
      </c>
      <c r="L45">
        <f>I20</f>
        <v>18.514543156994367</v>
      </c>
      <c r="M45" t="e">
        <f t="shared" si="0"/>
        <v>#DIV/0!</v>
      </c>
      <c r="N45">
        <f t="shared" si="1"/>
        <v>11.002752459235467</v>
      </c>
    </row>
    <row r="46" spans="1:14" x14ac:dyDescent="0.2">
      <c r="A46" t="s">
        <v>77</v>
      </c>
      <c r="B46" t="s">
        <v>129</v>
      </c>
      <c r="C46" t="s">
        <v>32</v>
      </c>
      <c r="D46">
        <v>29.905790235644599</v>
      </c>
      <c r="E46">
        <v>29.905790235644599</v>
      </c>
      <c r="F46" t="s">
        <v>77</v>
      </c>
      <c r="G46" s="4" t="s">
        <v>15</v>
      </c>
      <c r="H46">
        <v>144</v>
      </c>
      <c r="I46">
        <f t="shared" ref="I46:J46" si="53">I44</f>
        <v>29.517295616229834</v>
      </c>
      <c r="J46">
        <f t="shared" si="53"/>
        <v>0.37216881323267331</v>
      </c>
      <c r="K46" t="e">
        <f>I8</f>
        <v>#DIV/0!</v>
      </c>
      <c r="L46">
        <f>I20</f>
        <v>18.514543156994367</v>
      </c>
      <c r="M46" t="e">
        <f t="shared" si="0"/>
        <v>#DIV/0!</v>
      </c>
      <c r="N46">
        <f t="shared" si="1"/>
        <v>11.002752459235467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30.685217680684399</v>
      </c>
      <c r="F47" s="17" t="s">
        <v>78</v>
      </c>
      <c r="G47" s="19" t="s">
        <v>22</v>
      </c>
      <c r="H47" s="17">
        <v>144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 t="e">
        <f>I8</f>
        <v>#DIV/0!</v>
      </c>
      <c r="L47" s="17">
        <f>I20</f>
        <v>18.514543156994367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31.843431617935199</v>
      </c>
      <c r="F48" s="17" t="s">
        <v>79</v>
      </c>
      <c r="G48" s="19" t="s">
        <v>22</v>
      </c>
      <c r="H48" s="17">
        <v>144</v>
      </c>
      <c r="I48" s="17" t="e">
        <f t="shared" ref="I48:J49" si="56">I47</f>
        <v>#DIV/0!</v>
      </c>
      <c r="J48" s="17" t="e">
        <f t="shared" si="56"/>
        <v>#DIV/0!</v>
      </c>
      <c r="K48" s="17" t="e">
        <f>I8</f>
        <v>#DIV/0!</v>
      </c>
      <c r="L48" s="17">
        <f>I20</f>
        <v>18.514543156994367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>
        <v>18.811334832397499</v>
      </c>
      <c r="F49" s="17" t="s">
        <v>80</v>
      </c>
      <c r="G49" s="19" t="s">
        <v>22</v>
      </c>
      <c r="H49" s="17">
        <v>144</v>
      </c>
      <c r="I49" s="17" t="e">
        <f t="shared" si="56"/>
        <v>#DIV/0!</v>
      </c>
      <c r="J49" s="17" t="e">
        <f t="shared" ref="J49" si="57">J47</f>
        <v>#DIV/0!</v>
      </c>
      <c r="K49" s="17" t="e">
        <f>I8</f>
        <v>#DIV/0!</v>
      </c>
      <c r="L49" s="17">
        <f>I20</f>
        <v>18.514543156994367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33.742697926962997</v>
      </c>
      <c r="E50">
        <v>33.742697926962997</v>
      </c>
      <c r="F50" t="s">
        <v>81</v>
      </c>
      <c r="G50" s="4" t="s">
        <v>16</v>
      </c>
      <c r="H50" t="s">
        <v>147</v>
      </c>
      <c r="I50">
        <f t="shared" ref="I50" si="58">AVERAGE(D50:D52)</f>
        <v>33.929411774718403</v>
      </c>
      <c r="J50">
        <f t="shared" ref="J50" si="59">STDEV(D50:D52)</f>
        <v>0.26405325577855604</v>
      </c>
      <c r="K50" t="e">
        <f>I2</f>
        <v>#DIV/0!</v>
      </c>
      <c r="L50" t="e">
        <f>I14</f>
        <v>#DIV/0!</v>
      </c>
      <c r="M50" t="e">
        <f t="shared" si="0"/>
        <v>#DIV/0!</v>
      </c>
      <c r="N50" t="e">
        <f t="shared" si="1"/>
        <v>#DIV/0!</v>
      </c>
    </row>
    <row r="51" spans="1:14" x14ac:dyDescent="0.2">
      <c r="A51" t="s">
        <v>82</v>
      </c>
      <c r="B51" t="s">
        <v>129</v>
      </c>
      <c r="C51" t="s">
        <v>32</v>
      </c>
      <c r="D51">
        <v>34.116125622473803</v>
      </c>
      <c r="E51">
        <v>34.116125622473803</v>
      </c>
      <c r="F51" t="s">
        <v>82</v>
      </c>
      <c r="G51" s="4" t="s">
        <v>16</v>
      </c>
      <c r="H51" t="s">
        <v>147</v>
      </c>
      <c r="I51">
        <f t="shared" ref="I51:J51" si="60">I50</f>
        <v>33.929411774718403</v>
      </c>
      <c r="J51">
        <f t="shared" si="60"/>
        <v>0.26405325577855604</v>
      </c>
      <c r="K51" t="e">
        <f>I2</f>
        <v>#DIV/0!</v>
      </c>
      <c r="L51" t="e">
        <f>I14</f>
        <v>#DIV/0!</v>
      </c>
      <c r="M51" t="e">
        <f t="shared" si="0"/>
        <v>#DIV/0!</v>
      </c>
      <c r="N51" t="e">
        <f t="shared" si="1"/>
        <v>#DIV/0!</v>
      </c>
    </row>
    <row r="52" spans="1:14" x14ac:dyDescent="0.2">
      <c r="A52" t="s">
        <v>83</v>
      </c>
      <c r="B52" t="s">
        <v>129</v>
      </c>
      <c r="C52" t="s">
        <v>32</v>
      </c>
      <c r="E52">
        <v>32.462992118606898</v>
      </c>
      <c r="F52" t="s">
        <v>83</v>
      </c>
      <c r="G52" s="4" t="s">
        <v>16</v>
      </c>
      <c r="H52" t="s">
        <v>147</v>
      </c>
      <c r="I52">
        <f t="shared" ref="I52:J52" si="61">I50</f>
        <v>33.929411774718403</v>
      </c>
      <c r="J52">
        <f t="shared" si="61"/>
        <v>0.26405325577855604</v>
      </c>
      <c r="K52" t="e">
        <f>I2</f>
        <v>#DIV/0!</v>
      </c>
      <c r="L52" t="e">
        <f>I14</f>
        <v>#DIV/0!</v>
      </c>
      <c r="M52" t="e">
        <f t="shared" si="0"/>
        <v>#DIV/0!</v>
      </c>
      <c r="N52" t="e">
        <f t="shared" si="1"/>
        <v>#DIV/0!</v>
      </c>
    </row>
    <row r="53" spans="1:14" x14ac:dyDescent="0.2">
      <c r="A53" t="s">
        <v>84</v>
      </c>
      <c r="B53" t="s">
        <v>129</v>
      </c>
      <c r="C53" t="s">
        <v>32</v>
      </c>
      <c r="D53">
        <v>35.890630378968197</v>
      </c>
      <c r="E53">
        <v>35.890630378968197</v>
      </c>
      <c r="F53" t="s">
        <v>84</v>
      </c>
      <c r="G53" s="1" t="s">
        <v>24</v>
      </c>
      <c r="H53" t="s">
        <v>147</v>
      </c>
      <c r="I53">
        <f t="shared" ref="I53" si="62">AVERAGE(D53:D55)</f>
        <v>35.531675674745649</v>
      </c>
      <c r="J53">
        <f t="shared" ref="J53" si="63">STDEV(D53:D55)</f>
        <v>0.50763861098914975</v>
      </c>
      <c r="K53" t="e">
        <f>I2</f>
        <v>#DIV/0!</v>
      </c>
      <c r="L53" t="e">
        <f>I14</f>
        <v>#DIV/0!</v>
      </c>
      <c r="M53" t="e">
        <f t="shared" si="0"/>
        <v>#DIV/0!</v>
      </c>
      <c r="N53" t="e">
        <f t="shared" si="1"/>
        <v>#DIV/0!</v>
      </c>
    </row>
    <row r="54" spans="1:14" x14ac:dyDescent="0.2">
      <c r="A54" t="s">
        <v>85</v>
      </c>
      <c r="B54" t="s">
        <v>129</v>
      </c>
      <c r="C54" t="s">
        <v>32</v>
      </c>
      <c r="E54">
        <v>38.016005769841101</v>
      </c>
      <c r="F54" t="s">
        <v>85</v>
      </c>
      <c r="G54" s="1" t="s">
        <v>24</v>
      </c>
      <c r="H54" t="s">
        <v>147</v>
      </c>
      <c r="I54">
        <f t="shared" ref="I54:J55" si="64">I53</f>
        <v>35.531675674745649</v>
      </c>
      <c r="J54">
        <f t="shared" si="64"/>
        <v>0.50763861098914975</v>
      </c>
      <c r="K54" t="e">
        <f>I2</f>
        <v>#DIV/0!</v>
      </c>
      <c r="L54" t="e">
        <f>I14</f>
        <v>#DIV/0!</v>
      </c>
      <c r="M54" t="e">
        <f t="shared" si="0"/>
        <v>#DIV/0!</v>
      </c>
      <c r="N54" t="e">
        <f t="shared" si="1"/>
        <v>#DIV/0!</v>
      </c>
    </row>
    <row r="55" spans="1:14" x14ac:dyDescent="0.2">
      <c r="A55" t="s">
        <v>86</v>
      </c>
      <c r="B55" t="s">
        <v>129</v>
      </c>
      <c r="C55" t="s">
        <v>32</v>
      </c>
      <c r="D55">
        <v>35.172720970523102</v>
      </c>
      <c r="E55">
        <v>35.172720970523102</v>
      </c>
      <c r="F55" t="s">
        <v>86</v>
      </c>
      <c r="G55" s="1" t="s">
        <v>24</v>
      </c>
      <c r="H55" t="s">
        <v>147</v>
      </c>
      <c r="I55">
        <f t="shared" si="64"/>
        <v>35.531675674745649</v>
      </c>
      <c r="J55">
        <f t="shared" ref="J55" si="65">J53</f>
        <v>0.50763861098914975</v>
      </c>
      <c r="K55" t="e">
        <f>I2</f>
        <v>#DIV/0!</v>
      </c>
      <c r="L55" t="e">
        <f>I14</f>
        <v>#DIV/0!</v>
      </c>
      <c r="M55" t="e">
        <f t="shared" si="0"/>
        <v>#DIV/0!</v>
      </c>
      <c r="N55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28.825513166010399</v>
      </c>
      <c r="E56">
        <v>28.825513166010399</v>
      </c>
      <c r="F56" t="s">
        <v>87</v>
      </c>
      <c r="G56" s="4" t="s">
        <v>16</v>
      </c>
      <c r="H56">
        <v>144</v>
      </c>
      <c r="I56">
        <f t="shared" ref="I56" si="66">AVERAGE(D56:D58)</f>
        <v>28.833716559393633</v>
      </c>
      <c r="J56">
        <f t="shared" ref="J56" si="67">STDEV(D56:D58)</f>
        <v>0.20499545643685782</v>
      </c>
      <c r="K56" t="e">
        <f>I8</f>
        <v>#DIV/0!</v>
      </c>
      <c r="L56">
        <f>I20</f>
        <v>18.514543156994367</v>
      </c>
      <c r="M56" t="e">
        <f t="shared" si="0"/>
        <v>#DIV/0!</v>
      </c>
      <c r="N56">
        <f t="shared" si="1"/>
        <v>10.319173402399265</v>
      </c>
    </row>
    <row r="57" spans="1:14" x14ac:dyDescent="0.2">
      <c r="A57" t="s">
        <v>88</v>
      </c>
      <c r="B57" t="s">
        <v>129</v>
      </c>
      <c r="C57" t="s">
        <v>32</v>
      </c>
      <c r="D57">
        <v>29.0426905709853</v>
      </c>
      <c r="E57">
        <v>29.0426905709853</v>
      </c>
      <c r="F57" t="s">
        <v>88</v>
      </c>
      <c r="G57" s="4" t="s">
        <v>16</v>
      </c>
      <c r="H57">
        <v>144</v>
      </c>
      <c r="I57">
        <f t="shared" ref="I57:J57" si="68">I56</f>
        <v>28.833716559393633</v>
      </c>
      <c r="J57">
        <f t="shared" si="68"/>
        <v>0.20499545643685782</v>
      </c>
      <c r="K57" t="e">
        <f>I8</f>
        <v>#DIV/0!</v>
      </c>
      <c r="L57">
        <f>I20</f>
        <v>18.514543156994367</v>
      </c>
      <c r="M57" t="e">
        <f t="shared" si="0"/>
        <v>#DIV/0!</v>
      </c>
      <c r="N57">
        <f t="shared" si="1"/>
        <v>10.319173402399265</v>
      </c>
    </row>
    <row r="58" spans="1:14" x14ac:dyDescent="0.2">
      <c r="A58" t="s">
        <v>89</v>
      </c>
      <c r="B58" t="s">
        <v>129</v>
      </c>
      <c r="C58" t="s">
        <v>32</v>
      </c>
      <c r="D58">
        <v>28.632945941185199</v>
      </c>
      <c r="E58">
        <v>28.632945941185199</v>
      </c>
      <c r="F58" t="s">
        <v>89</v>
      </c>
      <c r="G58" s="4" t="s">
        <v>16</v>
      </c>
      <c r="H58">
        <v>144</v>
      </c>
      <c r="I58">
        <f t="shared" ref="I58:J58" si="69">I56</f>
        <v>28.833716559393633</v>
      </c>
      <c r="J58">
        <f t="shared" si="69"/>
        <v>0.20499545643685782</v>
      </c>
      <c r="K58" t="e">
        <f>I8</f>
        <v>#DIV/0!</v>
      </c>
      <c r="L58">
        <f>I20</f>
        <v>18.514543156994367</v>
      </c>
      <c r="M58" t="e">
        <f t="shared" si="0"/>
        <v>#DIV/0!</v>
      </c>
      <c r="N58">
        <f t="shared" si="1"/>
        <v>10.319173402399265</v>
      </c>
    </row>
    <row r="59" spans="1:14" x14ac:dyDescent="0.2">
      <c r="A59" t="s">
        <v>90</v>
      </c>
      <c r="B59" t="s">
        <v>129</v>
      </c>
      <c r="C59" t="s">
        <v>32</v>
      </c>
      <c r="D59">
        <v>30.283386087469999</v>
      </c>
      <c r="E59">
        <v>30.283386087469999</v>
      </c>
      <c r="F59" t="s">
        <v>90</v>
      </c>
      <c r="G59" s="1" t="s">
        <v>24</v>
      </c>
      <c r="H59">
        <v>144</v>
      </c>
      <c r="I59">
        <f t="shared" ref="I59" si="70">AVERAGE(D59:D61)</f>
        <v>30.122716727078952</v>
      </c>
      <c r="J59">
        <f t="shared" ref="J59" si="71">STDEV(D59:D61)</f>
        <v>0.22722078852283198</v>
      </c>
      <c r="K59" t="e">
        <f>I8</f>
        <v>#DIV/0!</v>
      </c>
      <c r="L59">
        <f>I20</f>
        <v>18.514543156994367</v>
      </c>
      <c r="M59" t="e">
        <f t="shared" si="0"/>
        <v>#DIV/0!</v>
      </c>
      <c r="N59">
        <f t="shared" si="1"/>
        <v>11.608173570084585</v>
      </c>
    </row>
    <row r="60" spans="1:14" x14ac:dyDescent="0.2">
      <c r="A60" t="s">
        <v>91</v>
      </c>
      <c r="B60" t="s">
        <v>129</v>
      </c>
      <c r="C60" t="s">
        <v>32</v>
      </c>
      <c r="D60">
        <v>29.962047366687901</v>
      </c>
      <c r="E60">
        <v>29.962047366687901</v>
      </c>
      <c r="F60" t="s">
        <v>91</v>
      </c>
      <c r="G60" s="1" t="s">
        <v>24</v>
      </c>
      <c r="H60">
        <v>144</v>
      </c>
      <c r="I60">
        <f t="shared" ref="I60:J61" si="72">I59</f>
        <v>30.122716727078952</v>
      </c>
      <c r="J60">
        <f t="shared" si="72"/>
        <v>0.22722078852283198</v>
      </c>
      <c r="K60" t="e">
        <f>I8</f>
        <v>#DIV/0!</v>
      </c>
      <c r="L60">
        <f>I20</f>
        <v>18.514543156994367</v>
      </c>
      <c r="M60" t="e">
        <f t="shared" si="0"/>
        <v>#DIV/0!</v>
      </c>
      <c r="N60">
        <f t="shared" si="1"/>
        <v>11.608173570084585</v>
      </c>
    </row>
    <row r="61" spans="1:14" x14ac:dyDescent="0.2">
      <c r="A61" t="s">
        <v>92</v>
      </c>
      <c r="B61" t="s">
        <v>129</v>
      </c>
      <c r="C61" t="s">
        <v>32</v>
      </c>
      <c r="D61" t="s">
        <v>33</v>
      </c>
      <c r="E61" t="s">
        <v>33</v>
      </c>
      <c r="F61" t="s">
        <v>92</v>
      </c>
      <c r="G61" s="1" t="s">
        <v>24</v>
      </c>
      <c r="H61">
        <v>144</v>
      </c>
      <c r="I61">
        <f t="shared" si="72"/>
        <v>30.122716727078952</v>
      </c>
      <c r="J61">
        <f t="shared" ref="J61" si="73">J59</f>
        <v>0.22722078852283198</v>
      </c>
      <c r="K61" t="e">
        <f>I8</f>
        <v>#DIV/0!</v>
      </c>
      <c r="L61">
        <f>I20</f>
        <v>18.514543156994367</v>
      </c>
      <c r="M61" t="e">
        <f t="shared" si="0"/>
        <v>#DIV/0!</v>
      </c>
      <c r="N61">
        <f t="shared" si="1"/>
        <v>11.608173570084585</v>
      </c>
    </row>
    <row r="62" spans="1:14" x14ac:dyDescent="0.2">
      <c r="A62" t="s">
        <v>93</v>
      </c>
      <c r="B62" t="s">
        <v>129</v>
      </c>
      <c r="C62" t="s">
        <v>32</v>
      </c>
      <c r="E62">
        <v>33.599085010207297</v>
      </c>
      <c r="F62" t="s">
        <v>93</v>
      </c>
      <c r="G62" s="4" t="s">
        <v>17</v>
      </c>
      <c r="H62" t="s">
        <v>147</v>
      </c>
      <c r="I62">
        <f t="shared" ref="I62" si="74">AVERAGE(D62:D64)</f>
        <v>31.886486782190651</v>
      </c>
      <c r="J62">
        <f t="shared" ref="J62" si="75">STDEV(D62:D64)</f>
        <v>0.26637303079541486</v>
      </c>
      <c r="K62" t="e">
        <f>I2</f>
        <v>#DIV/0!</v>
      </c>
      <c r="L62" t="e">
        <f>I14</f>
        <v>#DIV/0!</v>
      </c>
      <c r="M62" t="e">
        <f t="shared" si="0"/>
        <v>#DIV/0!</v>
      </c>
      <c r="N62" t="e">
        <f t="shared" si="1"/>
        <v>#DIV/0!</v>
      </c>
    </row>
    <row r="63" spans="1:14" x14ac:dyDescent="0.2">
      <c r="A63" t="s">
        <v>94</v>
      </c>
      <c r="B63" t="s">
        <v>129</v>
      </c>
      <c r="C63" t="s">
        <v>32</v>
      </c>
      <c r="D63">
        <v>32.074840958591302</v>
      </c>
      <c r="E63">
        <v>32.074840958591302</v>
      </c>
      <c r="F63" t="s">
        <v>94</v>
      </c>
      <c r="G63" s="4" t="s">
        <v>17</v>
      </c>
      <c r="H63" t="s">
        <v>147</v>
      </c>
      <c r="I63">
        <f t="shared" ref="I63:J63" si="76">I62</f>
        <v>31.886486782190651</v>
      </c>
      <c r="J63">
        <f t="shared" si="76"/>
        <v>0.26637303079541486</v>
      </c>
      <c r="K63" t="e">
        <f>I2</f>
        <v>#DIV/0!</v>
      </c>
      <c r="L63" t="e">
        <f>I14</f>
        <v>#DIV/0!</v>
      </c>
      <c r="M63" t="e">
        <f t="shared" si="0"/>
        <v>#DIV/0!</v>
      </c>
      <c r="N63" t="e">
        <f t="shared" si="1"/>
        <v>#DIV/0!</v>
      </c>
    </row>
    <row r="64" spans="1:14" x14ac:dyDescent="0.2">
      <c r="A64" t="s">
        <v>95</v>
      </c>
      <c r="B64" t="s">
        <v>129</v>
      </c>
      <c r="C64" t="s">
        <v>32</v>
      </c>
      <c r="D64">
        <v>31.698132605790001</v>
      </c>
      <c r="E64">
        <v>31.698132605790001</v>
      </c>
      <c r="F64" t="s">
        <v>95</v>
      </c>
      <c r="G64" s="4" t="s">
        <v>17</v>
      </c>
      <c r="H64" t="s">
        <v>147</v>
      </c>
      <c r="I64">
        <f t="shared" ref="I64:J64" si="77">I62</f>
        <v>31.886486782190651</v>
      </c>
      <c r="J64">
        <f t="shared" si="77"/>
        <v>0.26637303079541486</v>
      </c>
      <c r="K64" t="e">
        <f>I2</f>
        <v>#DIV/0!</v>
      </c>
      <c r="L64" t="e">
        <f>I14</f>
        <v>#DIV/0!</v>
      </c>
      <c r="M64" t="e">
        <f t="shared" si="0"/>
        <v>#DIV/0!</v>
      </c>
      <c r="N64" t="e">
        <f t="shared" si="1"/>
        <v>#DIV/0!</v>
      </c>
    </row>
    <row r="65" spans="1:14" x14ac:dyDescent="0.2">
      <c r="A65" t="s">
        <v>96</v>
      </c>
      <c r="B65" t="s">
        <v>129</v>
      </c>
      <c r="C65" t="s">
        <v>32</v>
      </c>
      <c r="D65">
        <v>34.418470029665698</v>
      </c>
      <c r="E65">
        <v>34.418470029665698</v>
      </c>
      <c r="F65" t="s">
        <v>96</v>
      </c>
      <c r="G65" s="1" t="s">
        <v>25</v>
      </c>
      <c r="H65" t="s">
        <v>147</v>
      </c>
      <c r="I65">
        <f t="shared" ref="I65" si="78">AVERAGE(D65:D67)</f>
        <v>34.065171726250952</v>
      </c>
      <c r="J65">
        <f t="shared" ref="J65" si="79">STDEV(D65:D67)</f>
        <v>0.49963925225254402</v>
      </c>
      <c r="K65" t="e">
        <f>I2</f>
        <v>#DIV/0!</v>
      </c>
      <c r="L65" t="e">
        <f>I14</f>
        <v>#DIV/0!</v>
      </c>
      <c r="M65" t="e">
        <f t="shared" si="0"/>
        <v>#DIV/0!</v>
      </c>
      <c r="N65" t="e">
        <f t="shared" si="1"/>
        <v>#DIV/0!</v>
      </c>
    </row>
    <row r="66" spans="1:14" x14ac:dyDescent="0.2">
      <c r="A66" t="s">
        <v>97</v>
      </c>
      <c r="B66" t="s">
        <v>129</v>
      </c>
      <c r="C66" t="s">
        <v>32</v>
      </c>
      <c r="D66">
        <v>33.711873422836199</v>
      </c>
      <c r="E66">
        <v>33.711873422836199</v>
      </c>
      <c r="F66" t="s">
        <v>97</v>
      </c>
      <c r="G66" s="1" t="s">
        <v>25</v>
      </c>
      <c r="H66" t="s">
        <v>147</v>
      </c>
      <c r="I66">
        <f t="shared" ref="I66:J67" si="80">I65</f>
        <v>34.065171726250952</v>
      </c>
      <c r="J66">
        <f t="shared" si="80"/>
        <v>0.49963925225254402</v>
      </c>
      <c r="K66" t="e">
        <f>I2</f>
        <v>#DIV/0!</v>
      </c>
      <c r="L66" t="e">
        <f>I14</f>
        <v>#DIV/0!</v>
      </c>
      <c r="M66" t="e">
        <f t="shared" si="0"/>
        <v>#DIV/0!</v>
      </c>
      <c r="N66" t="e">
        <f t="shared" si="1"/>
        <v>#DIV/0!</v>
      </c>
    </row>
    <row r="67" spans="1:14" x14ac:dyDescent="0.2">
      <c r="A67" t="s">
        <v>98</v>
      </c>
      <c r="B67" t="s">
        <v>129</v>
      </c>
      <c r="C67" t="s">
        <v>32</v>
      </c>
      <c r="E67">
        <v>35.619883818800801</v>
      </c>
      <c r="F67" t="s">
        <v>98</v>
      </c>
      <c r="G67" s="1" t="s">
        <v>25</v>
      </c>
      <c r="H67" t="s">
        <v>147</v>
      </c>
      <c r="I67">
        <f t="shared" si="80"/>
        <v>34.065171726250952</v>
      </c>
      <c r="J67">
        <f t="shared" ref="J67" si="81">J65</f>
        <v>0.49963925225254402</v>
      </c>
      <c r="K67" t="e">
        <f>I2</f>
        <v>#DIV/0!</v>
      </c>
      <c r="L67" t="e">
        <f>I14</f>
        <v>#DIV/0!</v>
      </c>
      <c r="M67" t="e">
        <f t="shared" ref="M67:M97" si="82">I67-K67</f>
        <v>#DIV/0!</v>
      </c>
      <c r="N67" t="e">
        <f t="shared" ref="N67:N97" si="83">I67-L67</f>
        <v>#DIV/0!</v>
      </c>
    </row>
    <row r="68" spans="1:14" x14ac:dyDescent="0.2">
      <c r="A68" t="s">
        <v>99</v>
      </c>
      <c r="B68" t="s">
        <v>129</v>
      </c>
      <c r="C68" t="s">
        <v>32</v>
      </c>
      <c r="D68">
        <v>29.6483526109004</v>
      </c>
      <c r="E68">
        <v>29.6483526109004</v>
      </c>
      <c r="F68" t="s">
        <v>99</v>
      </c>
      <c r="G68" s="4" t="s">
        <v>17</v>
      </c>
      <c r="H68">
        <v>144</v>
      </c>
      <c r="I68">
        <f t="shared" ref="I68" si="84">AVERAGE(D68:D70)</f>
        <v>29.445629826726449</v>
      </c>
      <c r="J68">
        <f t="shared" ref="J68" si="85">STDEV(D68:D70)</f>
        <v>0.28669331078083432</v>
      </c>
      <c r="K68" t="e">
        <f>I8</f>
        <v>#DIV/0!</v>
      </c>
      <c r="L68">
        <f>I20</f>
        <v>18.514543156994367</v>
      </c>
      <c r="M68" t="e">
        <f t="shared" si="82"/>
        <v>#DIV/0!</v>
      </c>
      <c r="N68">
        <f t="shared" si="83"/>
        <v>10.931086669732082</v>
      </c>
    </row>
    <row r="69" spans="1:14" x14ac:dyDescent="0.2">
      <c r="A69" t="s">
        <v>100</v>
      </c>
      <c r="B69" t="s">
        <v>129</v>
      </c>
      <c r="C69" t="s">
        <v>32</v>
      </c>
      <c r="E69">
        <v>30.309186669299201</v>
      </c>
      <c r="F69" t="s">
        <v>100</v>
      </c>
      <c r="G69" s="4" t="s">
        <v>17</v>
      </c>
      <c r="H69">
        <v>144</v>
      </c>
      <c r="I69">
        <f t="shared" ref="I69:J69" si="86">I68</f>
        <v>29.445629826726449</v>
      </c>
      <c r="J69">
        <f t="shared" si="86"/>
        <v>0.28669331078083432</v>
      </c>
      <c r="K69" t="e">
        <f>I8</f>
        <v>#DIV/0!</v>
      </c>
      <c r="L69">
        <f>I20</f>
        <v>18.514543156994367</v>
      </c>
      <c r="M69" t="e">
        <f t="shared" si="82"/>
        <v>#DIV/0!</v>
      </c>
      <c r="N69">
        <f t="shared" si="83"/>
        <v>10.931086669732082</v>
      </c>
    </row>
    <row r="70" spans="1:14" x14ac:dyDescent="0.2">
      <c r="A70" t="s">
        <v>101</v>
      </c>
      <c r="B70" t="s">
        <v>129</v>
      </c>
      <c r="C70" t="s">
        <v>32</v>
      </c>
      <c r="D70">
        <v>29.242907042552499</v>
      </c>
      <c r="E70">
        <v>29.242907042552499</v>
      </c>
      <c r="F70" t="s">
        <v>101</v>
      </c>
      <c r="G70" s="4" t="s">
        <v>17</v>
      </c>
      <c r="H70">
        <v>144</v>
      </c>
      <c r="I70">
        <f t="shared" ref="I70:J70" si="87">I68</f>
        <v>29.445629826726449</v>
      </c>
      <c r="J70">
        <f t="shared" si="87"/>
        <v>0.28669331078083432</v>
      </c>
      <c r="K70" t="e">
        <f>I8</f>
        <v>#DIV/0!</v>
      </c>
      <c r="L70">
        <f>I20</f>
        <v>18.514543156994367</v>
      </c>
      <c r="M70" t="e">
        <f t="shared" si="82"/>
        <v>#DIV/0!</v>
      </c>
      <c r="N70">
        <f t="shared" si="83"/>
        <v>10.931086669732082</v>
      </c>
    </row>
    <row r="71" spans="1:14" x14ac:dyDescent="0.2">
      <c r="A71" t="s">
        <v>102</v>
      </c>
      <c r="B71" t="s">
        <v>129</v>
      </c>
      <c r="C71" t="s">
        <v>32</v>
      </c>
      <c r="D71">
        <v>30.7799636327257</v>
      </c>
      <c r="E71">
        <v>30.7799636327257</v>
      </c>
      <c r="F71" t="s">
        <v>102</v>
      </c>
      <c r="G71" s="1" t="s">
        <v>25</v>
      </c>
      <c r="H71">
        <v>144</v>
      </c>
      <c r="I71">
        <f t="shared" ref="I71" si="88">AVERAGE(D71:D73)</f>
        <v>30.248824614755549</v>
      </c>
      <c r="J71">
        <f t="shared" ref="J71" si="89">STDEV(D71:D73)</f>
        <v>0.75114400271891235</v>
      </c>
      <c r="K71" t="e">
        <f>I8</f>
        <v>#DIV/0!</v>
      </c>
      <c r="L71">
        <f>I20</f>
        <v>18.514543156994367</v>
      </c>
      <c r="M71" t="e">
        <f t="shared" si="82"/>
        <v>#DIV/0!</v>
      </c>
      <c r="N71">
        <f t="shared" si="83"/>
        <v>11.734281457761181</v>
      </c>
    </row>
    <row r="72" spans="1:14" x14ac:dyDescent="0.2">
      <c r="A72" t="s">
        <v>103</v>
      </c>
      <c r="B72" t="s">
        <v>129</v>
      </c>
      <c r="C72" t="s">
        <v>32</v>
      </c>
      <c r="D72">
        <v>29.717685596785401</v>
      </c>
      <c r="E72">
        <v>29.717685596785401</v>
      </c>
      <c r="F72" t="s">
        <v>103</v>
      </c>
      <c r="G72" s="1" t="s">
        <v>25</v>
      </c>
      <c r="H72">
        <v>144</v>
      </c>
      <c r="I72">
        <f t="shared" ref="I72:J73" si="90">I71</f>
        <v>30.248824614755549</v>
      </c>
      <c r="J72">
        <f t="shared" si="90"/>
        <v>0.75114400271891235</v>
      </c>
      <c r="K72" t="e">
        <f>I8</f>
        <v>#DIV/0!</v>
      </c>
      <c r="L72">
        <f>I20</f>
        <v>18.514543156994367</v>
      </c>
      <c r="M72" t="e">
        <f t="shared" si="82"/>
        <v>#DIV/0!</v>
      </c>
      <c r="N72">
        <f t="shared" si="83"/>
        <v>11.734281457761181</v>
      </c>
    </row>
    <row r="73" spans="1:14" x14ac:dyDescent="0.2">
      <c r="A73" t="s">
        <v>104</v>
      </c>
      <c r="B73" t="s">
        <v>129</v>
      </c>
      <c r="C73" t="s">
        <v>32</v>
      </c>
      <c r="E73">
        <v>37.546658595628102</v>
      </c>
      <c r="F73" t="s">
        <v>104</v>
      </c>
      <c r="G73" s="1" t="s">
        <v>25</v>
      </c>
      <c r="H73">
        <v>144</v>
      </c>
      <c r="I73">
        <f t="shared" si="90"/>
        <v>30.248824614755549</v>
      </c>
      <c r="J73">
        <f t="shared" ref="J73" si="91">J71</f>
        <v>0.75114400271891235</v>
      </c>
      <c r="K73" t="e">
        <f>I8</f>
        <v>#DIV/0!</v>
      </c>
      <c r="L73">
        <f>I20</f>
        <v>18.514543156994367</v>
      </c>
      <c r="M73" t="e">
        <f t="shared" si="82"/>
        <v>#DIV/0!</v>
      </c>
      <c r="N73">
        <f t="shared" si="83"/>
        <v>11.734281457761181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 t="s">
        <v>33</v>
      </c>
      <c r="F74" s="17" t="s">
        <v>105</v>
      </c>
      <c r="G74" s="20" t="s">
        <v>18</v>
      </c>
      <c r="H74" s="17" t="s">
        <v>147</v>
      </c>
      <c r="I74" s="17" t="e">
        <f t="shared" ref="I74" si="92">AVERAGE(D74:D76)</f>
        <v>#DIV/0!</v>
      </c>
      <c r="J74" s="17" t="e">
        <f>STDEV(D74:D76)</f>
        <v>#DIV/0!</v>
      </c>
      <c r="K74" s="17" t="e">
        <f>I2</f>
        <v>#DIV/0!</v>
      </c>
      <c r="L74" s="17" t="e">
        <f>I14</f>
        <v>#DIV/0!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38.4889684333722</v>
      </c>
      <c r="F75" s="17" t="s">
        <v>106</v>
      </c>
      <c r="G75" s="20" t="s">
        <v>18</v>
      </c>
      <c r="H75" s="17" t="s">
        <v>147</v>
      </c>
      <c r="I75" s="17" t="e">
        <f t="shared" ref="I75:J75" si="93">I74</f>
        <v>#DIV/0!</v>
      </c>
      <c r="J75" s="17" t="e">
        <f t="shared" si="93"/>
        <v>#DIV/0!</v>
      </c>
      <c r="K75" s="17" t="e">
        <f>I2</f>
        <v>#DIV/0!</v>
      </c>
      <c r="L75" s="17" t="e">
        <f>I14</f>
        <v>#DIV/0!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 t="s">
        <v>33</v>
      </c>
      <c r="F76" s="17" t="s">
        <v>107</v>
      </c>
      <c r="G76" s="20" t="s">
        <v>18</v>
      </c>
      <c r="H76" s="17" t="s">
        <v>147</v>
      </c>
      <c r="I76" s="17" t="e">
        <f t="shared" ref="I76:J76" si="94">I74</f>
        <v>#DIV/0!</v>
      </c>
      <c r="J76" s="17" t="e">
        <f t="shared" si="94"/>
        <v>#DIV/0!</v>
      </c>
      <c r="K76" s="17" t="e">
        <f>I2</f>
        <v>#DIV/0!</v>
      </c>
      <c r="L76" s="17" t="e">
        <f>I14</f>
        <v>#DIV/0!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 t="e">
        <f>I2</f>
        <v>#DIV/0!</v>
      </c>
      <c r="L77" t="e">
        <f>I14</f>
        <v>#DIV/0!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 t="e">
        <f>I2</f>
        <v>#DIV/0!</v>
      </c>
      <c r="L78" t="e">
        <f>I14</f>
        <v>#DIV/0!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 t="e">
        <f>I2</f>
        <v>#DIV/0!</v>
      </c>
      <c r="L79" t="e">
        <f>I14</f>
        <v>#DIV/0!</v>
      </c>
      <c r="M79" t="e">
        <f t="shared" si="82"/>
        <v>#DIV/0!</v>
      </c>
      <c r="N79" t="e">
        <f t="shared" si="83"/>
        <v>#DIV/0!</v>
      </c>
    </row>
    <row r="80" spans="1:14" x14ac:dyDescent="0.2">
      <c r="A80" t="s">
        <v>111</v>
      </c>
      <c r="B80" t="s">
        <v>129</v>
      </c>
      <c r="C80" t="s">
        <v>32</v>
      </c>
      <c r="D80">
        <v>30.611572295210799</v>
      </c>
      <c r="E80">
        <v>30.611572295210799</v>
      </c>
      <c r="F80" t="s">
        <v>111</v>
      </c>
      <c r="G80" s="4" t="s">
        <v>18</v>
      </c>
      <c r="H80">
        <v>144</v>
      </c>
      <c r="I80">
        <f t="shared" ref="I80" si="99">AVERAGE(D80:D82)</f>
        <v>30.555709272319465</v>
      </c>
      <c r="J80">
        <f t="shared" ref="J80" si="100">STDEV(D80:D82)</f>
        <v>0.18610567166263456</v>
      </c>
      <c r="K80" t="e">
        <f>I8</f>
        <v>#DIV/0!</v>
      </c>
      <c r="L80">
        <f>I20</f>
        <v>18.514543156994367</v>
      </c>
      <c r="M80" t="e">
        <f t="shared" si="82"/>
        <v>#DIV/0!</v>
      </c>
      <c r="N80">
        <f t="shared" si="83"/>
        <v>12.041166115325098</v>
      </c>
    </row>
    <row r="81" spans="1:14" x14ac:dyDescent="0.2">
      <c r="A81" t="s">
        <v>112</v>
      </c>
      <c r="B81" t="s">
        <v>129</v>
      </c>
      <c r="C81" t="s">
        <v>32</v>
      </c>
      <c r="D81">
        <v>30.7074853373142</v>
      </c>
      <c r="E81">
        <v>30.7074853373142</v>
      </c>
      <c r="F81" t="s">
        <v>112</v>
      </c>
      <c r="G81" s="4" t="s">
        <v>18</v>
      </c>
      <c r="H81">
        <v>144</v>
      </c>
      <c r="I81">
        <f t="shared" ref="I81:J81" si="101">I80</f>
        <v>30.555709272319465</v>
      </c>
      <c r="J81">
        <f t="shared" si="101"/>
        <v>0.18610567166263456</v>
      </c>
      <c r="K81" t="e">
        <f>I8</f>
        <v>#DIV/0!</v>
      </c>
      <c r="L81">
        <f>I20</f>
        <v>18.514543156994367</v>
      </c>
      <c r="M81" t="e">
        <f t="shared" si="82"/>
        <v>#DIV/0!</v>
      </c>
      <c r="N81">
        <f t="shared" si="83"/>
        <v>12.041166115325098</v>
      </c>
    </row>
    <row r="82" spans="1:14" x14ac:dyDescent="0.2">
      <c r="A82" t="s">
        <v>113</v>
      </c>
      <c r="B82" t="s">
        <v>129</v>
      </c>
      <c r="C82" t="s">
        <v>32</v>
      </c>
      <c r="D82">
        <v>30.3480701844334</v>
      </c>
      <c r="E82">
        <v>30.3480701844334</v>
      </c>
      <c r="F82" t="s">
        <v>113</v>
      </c>
      <c r="G82" s="4" t="s">
        <v>18</v>
      </c>
      <c r="H82">
        <v>144</v>
      </c>
      <c r="I82">
        <f t="shared" ref="I82:J82" si="102">I80</f>
        <v>30.555709272319465</v>
      </c>
      <c r="J82">
        <f t="shared" si="102"/>
        <v>0.18610567166263456</v>
      </c>
      <c r="K82" t="e">
        <f>I8</f>
        <v>#DIV/0!</v>
      </c>
      <c r="L82">
        <f>I20</f>
        <v>18.514543156994367</v>
      </c>
      <c r="M82" t="e">
        <f t="shared" si="82"/>
        <v>#DIV/0!</v>
      </c>
      <c r="N82">
        <f t="shared" si="83"/>
        <v>12.041166115325098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 t="e">
        <f>I8</f>
        <v>#DIV/0!</v>
      </c>
      <c r="L83">
        <f>I20</f>
        <v>18.514543156994367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 t="e">
        <f>I8</f>
        <v>#DIV/0!</v>
      </c>
      <c r="L84">
        <f>I20</f>
        <v>18.514543156994367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 t="e">
        <f>I8</f>
        <v>#DIV/0!</v>
      </c>
      <c r="L85">
        <f>I20</f>
        <v>18.514543156994367</v>
      </c>
      <c r="M85" t="e">
        <f t="shared" si="82"/>
        <v>#DIV/0!</v>
      </c>
      <c r="N85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D86" s="17" t="s">
        <v>33</v>
      </c>
      <c r="E86" s="17" t="s">
        <v>33</v>
      </c>
      <c r="F86" s="17" t="s">
        <v>117</v>
      </c>
      <c r="G86" s="21" t="s">
        <v>19</v>
      </c>
      <c r="H86" s="17" t="s">
        <v>147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 t="e">
        <f>I2</f>
        <v>#DIV/0!</v>
      </c>
      <c r="L86" s="17" t="e">
        <f>I14</f>
        <v>#DIV/0!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D87" s="17" t="s">
        <v>33</v>
      </c>
      <c r="E87" s="17" t="s">
        <v>33</v>
      </c>
      <c r="F87" s="17" t="s">
        <v>118</v>
      </c>
      <c r="G87" s="21" t="s">
        <v>19</v>
      </c>
      <c r="H87" s="17" t="s">
        <v>147</v>
      </c>
      <c r="I87" s="17" t="e">
        <f t="shared" ref="I87:J87" si="109">I86</f>
        <v>#DIV/0!</v>
      </c>
      <c r="J87" s="17" t="e">
        <f t="shared" si="109"/>
        <v>#DIV/0!</v>
      </c>
      <c r="K87" s="17" t="e">
        <f>I2</f>
        <v>#DIV/0!</v>
      </c>
      <c r="L87" s="17" t="e">
        <f>I14</f>
        <v>#DIV/0!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D88" s="17" t="s">
        <v>33</v>
      </c>
      <c r="E88" s="17" t="s">
        <v>33</v>
      </c>
      <c r="F88" s="17" t="s">
        <v>119</v>
      </c>
      <c r="G88" s="21" t="s">
        <v>19</v>
      </c>
      <c r="H88" s="17" t="s">
        <v>147</v>
      </c>
      <c r="I88" s="17" t="e">
        <f t="shared" ref="I88:J88" si="110">I86</f>
        <v>#DIV/0!</v>
      </c>
      <c r="J88" s="17" t="e">
        <f t="shared" si="110"/>
        <v>#DIV/0!</v>
      </c>
      <c r="K88" s="17" t="e">
        <f>I2</f>
        <v>#DIV/0!</v>
      </c>
      <c r="L88" s="17" t="e">
        <f>I14</f>
        <v>#DIV/0!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 t="e">
        <f>I2</f>
        <v>#DIV/0!</v>
      </c>
      <c r="L89" t="e">
        <f>I14</f>
        <v>#DIV/0!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 t="e">
        <f>I2</f>
        <v>#DIV/0!</v>
      </c>
      <c r="L90" t="e">
        <f>I14</f>
        <v>#DIV/0!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 t="e">
        <f>I2</f>
        <v>#DIV/0!</v>
      </c>
      <c r="L91" t="e">
        <f>I14</f>
        <v>#DIV/0!</v>
      </c>
      <c r="M91" t="e">
        <f t="shared" si="82"/>
        <v>#DIV/0!</v>
      </c>
      <c r="N91" t="e">
        <f t="shared" si="8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30.944369321074198</v>
      </c>
      <c r="E92">
        <v>30.944369321074198</v>
      </c>
      <c r="F92" t="s">
        <v>123</v>
      </c>
      <c r="G92" s="6" t="s">
        <v>19</v>
      </c>
      <c r="H92">
        <v>144</v>
      </c>
      <c r="I92">
        <f t="shared" ref="I92" si="115">AVERAGE(D92:D94)</f>
        <v>31.167254871116</v>
      </c>
      <c r="J92">
        <f t="shared" ref="J92" si="116">STDEV(D92:D94)</f>
        <v>0.31520776772610121</v>
      </c>
      <c r="K92" t="e">
        <f>I8</f>
        <v>#DIV/0!</v>
      </c>
      <c r="L92">
        <f>I20</f>
        <v>18.514543156994367</v>
      </c>
      <c r="M92" t="e">
        <f t="shared" si="82"/>
        <v>#DIV/0!</v>
      </c>
      <c r="N92">
        <f t="shared" si="83"/>
        <v>12.652711714121633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31.390140421157799</v>
      </c>
      <c r="E93">
        <v>31.390140421157799</v>
      </c>
      <c r="F93" t="s">
        <v>124</v>
      </c>
      <c r="G93" s="6" t="s">
        <v>19</v>
      </c>
      <c r="H93">
        <v>144</v>
      </c>
      <c r="I93">
        <f t="shared" ref="I93:J93" si="117">I92</f>
        <v>31.167254871116</v>
      </c>
      <c r="J93">
        <f t="shared" si="117"/>
        <v>0.31520776772610121</v>
      </c>
      <c r="K93" t="e">
        <f>I8</f>
        <v>#DIV/0!</v>
      </c>
      <c r="L93">
        <f>I20</f>
        <v>18.514543156994367</v>
      </c>
      <c r="M93" t="e">
        <f t="shared" si="82"/>
        <v>#DIV/0!</v>
      </c>
      <c r="N93">
        <f t="shared" si="83"/>
        <v>12.652711714121633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31.869377801499201</v>
      </c>
      <c r="F94" t="s">
        <v>125</v>
      </c>
      <c r="G94" s="6" t="s">
        <v>19</v>
      </c>
      <c r="H94">
        <v>144</v>
      </c>
      <c r="I94">
        <f t="shared" ref="I94:J94" si="118">I92</f>
        <v>31.167254871116</v>
      </c>
      <c r="J94">
        <f t="shared" si="118"/>
        <v>0.31520776772610121</v>
      </c>
      <c r="K94" t="e">
        <f>I8</f>
        <v>#DIV/0!</v>
      </c>
      <c r="L94">
        <f>I20</f>
        <v>18.514543156994367</v>
      </c>
      <c r="M94" t="e">
        <f t="shared" si="82"/>
        <v>#DIV/0!</v>
      </c>
      <c r="N94">
        <f t="shared" si="83"/>
        <v>12.652711714121633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 t="e">
        <f>I8</f>
        <v>#DIV/0!</v>
      </c>
      <c r="L95">
        <f>I20</f>
        <v>18.514543156994367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 t="e">
        <f>I8</f>
        <v>#DIV/0!</v>
      </c>
      <c r="L96">
        <f>I20</f>
        <v>18.514543156994367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 t="e">
        <f>I8</f>
        <v>#DIV/0!</v>
      </c>
      <c r="L97">
        <f>I20</f>
        <v>18.514543156994367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4" priority="1" operator="greaterThan">
      <formula>0.3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9FA0-39A9-9240-87B3-F0270314F036}">
  <dimension ref="A1:N97"/>
  <sheetViews>
    <sheetView topLeftCell="A36" workbookViewId="0">
      <selection activeCell="A86" sqref="A86:XFD88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31.284301920345602</v>
      </c>
      <c r="E2">
        <v>31.284301920345602</v>
      </c>
      <c r="F2" t="s">
        <v>31</v>
      </c>
      <c r="G2" s="9" t="s">
        <v>9</v>
      </c>
      <c r="H2">
        <v>146</v>
      </c>
      <c r="I2">
        <f>AVERAGE(D2:D4)</f>
        <v>31.413881999341349</v>
      </c>
      <c r="J2">
        <f>STDEV(D2:D4)</f>
        <v>0.1832539051291657</v>
      </c>
      <c r="K2">
        <f>I2</f>
        <v>31.413881999341349</v>
      </c>
      <c r="L2">
        <f>I14</f>
        <v>16.021941509135768</v>
      </c>
      <c r="M2">
        <f>I2-K2</f>
        <v>0</v>
      </c>
      <c r="N2">
        <f>I2-L2</f>
        <v>15.391940490205581</v>
      </c>
    </row>
    <row r="3" spans="1:14" ht="17" thickBot="1" x14ac:dyDescent="0.25">
      <c r="A3" t="s">
        <v>34</v>
      </c>
      <c r="B3" t="s">
        <v>129</v>
      </c>
      <c r="C3" t="s">
        <v>32</v>
      </c>
      <c r="E3">
        <v>30.807606908044399</v>
      </c>
      <c r="F3" t="s">
        <v>34</v>
      </c>
      <c r="G3" s="9" t="s">
        <v>9</v>
      </c>
      <c r="H3">
        <v>146</v>
      </c>
      <c r="I3">
        <f>I2</f>
        <v>31.413881999341349</v>
      </c>
      <c r="J3">
        <f>J2</f>
        <v>0.1832539051291657</v>
      </c>
      <c r="K3">
        <f>I2</f>
        <v>31.413881999341349</v>
      </c>
      <c r="L3">
        <f>I14</f>
        <v>16.021941509135768</v>
      </c>
      <c r="M3">
        <f t="shared" ref="M3:M66" si="0">I3-K3</f>
        <v>0</v>
      </c>
      <c r="N3">
        <f t="shared" ref="N3:N66" si="1">I3-L3</f>
        <v>15.391940490205581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31.5434620783371</v>
      </c>
      <c r="E4">
        <v>31.5434620783371</v>
      </c>
      <c r="F4" t="s">
        <v>35</v>
      </c>
      <c r="G4" s="9" t="s">
        <v>9</v>
      </c>
      <c r="H4">
        <v>146</v>
      </c>
      <c r="I4">
        <f>I2</f>
        <v>31.413881999341349</v>
      </c>
      <c r="J4">
        <f>J2</f>
        <v>0.1832539051291657</v>
      </c>
      <c r="K4">
        <f>I2</f>
        <v>31.413881999341349</v>
      </c>
      <c r="L4">
        <f>I14</f>
        <v>16.021941509135768</v>
      </c>
      <c r="M4">
        <f t="shared" si="0"/>
        <v>0</v>
      </c>
      <c r="N4">
        <f t="shared" si="1"/>
        <v>15.391940490205581</v>
      </c>
    </row>
    <row r="5" spans="1:14" ht="17" thickBot="1" x14ac:dyDescent="0.25">
      <c r="A5" t="s">
        <v>36</v>
      </c>
      <c r="B5" t="s">
        <v>129</v>
      </c>
      <c r="C5" t="s">
        <v>32</v>
      </c>
      <c r="E5">
        <v>32.0965535384478</v>
      </c>
      <c r="F5" t="s">
        <v>36</v>
      </c>
      <c r="G5" s="2" t="s">
        <v>20</v>
      </c>
      <c r="H5">
        <v>146</v>
      </c>
      <c r="I5">
        <f>AVERAGE(D5:D7)</f>
        <v>31.358642500188999</v>
      </c>
      <c r="J5">
        <f>STDEV(D5:D7)</f>
        <v>0.24938249531420939</v>
      </c>
      <c r="K5">
        <f>I2</f>
        <v>31.413881999341349</v>
      </c>
      <c r="L5">
        <f>I14</f>
        <v>16.021941509135768</v>
      </c>
      <c r="M5">
        <f t="shared" si="0"/>
        <v>-5.5239499152349936E-2</v>
      </c>
      <c r="N5">
        <f t="shared" si="1"/>
        <v>15.336700991053231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31.534982553734899</v>
      </c>
      <c r="E6">
        <v>31.534982553734899</v>
      </c>
      <c r="F6" t="s">
        <v>37</v>
      </c>
      <c r="G6" s="2" t="s">
        <v>20</v>
      </c>
      <c r="H6">
        <v>146</v>
      </c>
      <c r="I6">
        <f>I5</f>
        <v>31.358642500188999</v>
      </c>
      <c r="J6">
        <f>J5</f>
        <v>0.24938249531420939</v>
      </c>
      <c r="K6">
        <f>I2</f>
        <v>31.413881999341349</v>
      </c>
      <c r="L6">
        <f>I14</f>
        <v>16.021941509135768</v>
      </c>
      <c r="M6">
        <f t="shared" si="0"/>
        <v>-5.5239499152349936E-2</v>
      </c>
      <c r="N6">
        <f t="shared" si="1"/>
        <v>15.336700991053231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31.182302446643099</v>
      </c>
      <c r="E7">
        <v>31.182302446643099</v>
      </c>
      <c r="F7" t="s">
        <v>38</v>
      </c>
      <c r="G7" s="2" t="s">
        <v>20</v>
      </c>
      <c r="H7">
        <v>146</v>
      </c>
      <c r="I7">
        <f>I6</f>
        <v>31.358642500188999</v>
      </c>
      <c r="J7">
        <f>J5</f>
        <v>0.24938249531420939</v>
      </c>
      <c r="K7">
        <f>I2</f>
        <v>31.413881999341349</v>
      </c>
      <c r="L7">
        <f>I14</f>
        <v>16.021941509135768</v>
      </c>
      <c r="M7">
        <f t="shared" si="0"/>
        <v>-5.5239499152349936E-2</v>
      </c>
      <c r="N7">
        <f t="shared" si="1"/>
        <v>15.336700991053231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31.087265590694798</v>
      </c>
      <c r="E8">
        <v>31.087265590694798</v>
      </c>
      <c r="F8" t="s">
        <v>39</v>
      </c>
      <c r="G8" s="9" t="s">
        <v>9</v>
      </c>
      <c r="H8">
        <v>149</v>
      </c>
      <c r="I8">
        <f t="shared" ref="I8" si="2">AVERAGE(D8:D10)</f>
        <v>31.159664644382499</v>
      </c>
      <c r="J8">
        <f t="shared" ref="J8" si="3">STDEV(D8:D10)</f>
        <v>0.10238772362812372</v>
      </c>
      <c r="K8">
        <f>I8</f>
        <v>31.159664644382499</v>
      </c>
      <c r="L8">
        <f>I20</f>
        <v>17.6039737779174</v>
      </c>
      <c r="M8">
        <f t="shared" si="0"/>
        <v>0</v>
      </c>
      <c r="N8">
        <f t="shared" si="1"/>
        <v>13.555690866465099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31.232063698070199</v>
      </c>
      <c r="E9">
        <v>31.232063698070199</v>
      </c>
      <c r="F9" t="s">
        <v>40</v>
      </c>
      <c r="G9" s="9" t="s">
        <v>9</v>
      </c>
      <c r="H9">
        <v>149</v>
      </c>
      <c r="I9">
        <f t="shared" ref="I9:J9" si="4">I8</f>
        <v>31.159664644382499</v>
      </c>
      <c r="J9">
        <f t="shared" si="4"/>
        <v>0.10238772362812372</v>
      </c>
      <c r="K9">
        <f>I8</f>
        <v>31.159664644382499</v>
      </c>
      <c r="L9">
        <f>I20</f>
        <v>17.6039737779174</v>
      </c>
      <c r="M9">
        <f t="shared" si="0"/>
        <v>0</v>
      </c>
      <c r="N9">
        <f t="shared" si="1"/>
        <v>13.555690866465099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30.708985761379999</v>
      </c>
      <c r="F10" t="s">
        <v>41</v>
      </c>
      <c r="G10" s="9" t="s">
        <v>9</v>
      </c>
      <c r="H10">
        <v>149</v>
      </c>
      <c r="I10">
        <f t="shared" ref="I10:J10" si="5">I8</f>
        <v>31.159664644382499</v>
      </c>
      <c r="J10">
        <f t="shared" si="5"/>
        <v>0.10238772362812372</v>
      </c>
      <c r="K10">
        <f>I8</f>
        <v>31.159664644382499</v>
      </c>
      <c r="L10">
        <f>I20</f>
        <v>17.6039737779174</v>
      </c>
      <c r="M10">
        <f t="shared" si="0"/>
        <v>0</v>
      </c>
      <c r="N10">
        <f t="shared" si="1"/>
        <v>13.555690866465099</v>
      </c>
    </row>
    <row r="11" spans="1:14" ht="17" thickBot="1" x14ac:dyDescent="0.25">
      <c r="A11" t="s">
        <v>42</v>
      </c>
      <c r="B11" t="s">
        <v>129</v>
      </c>
      <c r="C11" t="s">
        <v>32</v>
      </c>
      <c r="D11">
        <v>30.336404624435101</v>
      </c>
      <c r="E11">
        <v>30.336404624435101</v>
      </c>
      <c r="F11" t="s">
        <v>42</v>
      </c>
      <c r="G11" s="2" t="s">
        <v>20</v>
      </c>
      <c r="H11">
        <v>149</v>
      </c>
      <c r="I11">
        <f t="shared" ref="I11" si="6">AVERAGE(D11:D13)</f>
        <v>30.661613909898449</v>
      </c>
      <c r="J11">
        <f t="shared" ref="J11" si="7">STDEV(D11:D13)</f>
        <v>0.45991538211193289</v>
      </c>
      <c r="K11">
        <f>I8</f>
        <v>31.159664644382499</v>
      </c>
      <c r="L11">
        <f>I20</f>
        <v>17.6039737779174</v>
      </c>
      <c r="M11">
        <f t="shared" si="0"/>
        <v>-0.49805073448404968</v>
      </c>
      <c r="N11">
        <f t="shared" si="1"/>
        <v>13.057640131981049</v>
      </c>
    </row>
    <row r="12" spans="1:14" ht="17" thickBot="1" x14ac:dyDescent="0.25">
      <c r="A12" t="s">
        <v>43</v>
      </c>
      <c r="B12" t="s">
        <v>129</v>
      </c>
      <c r="C12" t="s">
        <v>32</v>
      </c>
      <c r="D12">
        <v>30.986823195361801</v>
      </c>
      <c r="E12">
        <v>30.986823195361801</v>
      </c>
      <c r="F12" t="s">
        <v>43</v>
      </c>
      <c r="G12" s="2" t="s">
        <v>20</v>
      </c>
      <c r="H12">
        <v>149</v>
      </c>
      <c r="I12">
        <f t="shared" ref="I12:J13" si="8">I11</f>
        <v>30.661613909898449</v>
      </c>
      <c r="J12">
        <f t="shared" si="8"/>
        <v>0.45991538211193289</v>
      </c>
      <c r="K12">
        <f>I8</f>
        <v>31.159664644382499</v>
      </c>
      <c r="L12">
        <f>I20</f>
        <v>17.6039737779174</v>
      </c>
      <c r="M12">
        <f t="shared" si="0"/>
        <v>-0.49805073448404968</v>
      </c>
      <c r="N12">
        <f t="shared" si="1"/>
        <v>13.057640131981049</v>
      </c>
    </row>
    <row r="13" spans="1:14" x14ac:dyDescent="0.2">
      <c r="A13" t="s">
        <v>44</v>
      </c>
      <c r="B13" t="s">
        <v>129</v>
      </c>
      <c r="C13" t="s">
        <v>32</v>
      </c>
      <c r="E13">
        <v>35.908888664090099</v>
      </c>
      <c r="F13" t="s">
        <v>44</v>
      </c>
      <c r="G13" s="2" t="s">
        <v>20</v>
      </c>
      <c r="H13">
        <v>149</v>
      </c>
      <c r="I13">
        <f t="shared" si="8"/>
        <v>30.661613909898449</v>
      </c>
      <c r="J13">
        <f t="shared" ref="J13" si="9">J11</f>
        <v>0.45991538211193289</v>
      </c>
      <c r="K13">
        <f>I8</f>
        <v>31.159664644382499</v>
      </c>
      <c r="L13">
        <f>I20</f>
        <v>17.6039737779174</v>
      </c>
      <c r="M13">
        <f t="shared" si="0"/>
        <v>-0.49805073448404968</v>
      </c>
      <c r="N13">
        <f t="shared" si="1"/>
        <v>13.057640131981049</v>
      </c>
    </row>
    <row r="14" spans="1:14" x14ac:dyDescent="0.2">
      <c r="A14" t="s">
        <v>45</v>
      </c>
      <c r="B14" t="s">
        <v>129</v>
      </c>
      <c r="C14" t="s">
        <v>32</v>
      </c>
      <c r="D14">
        <v>16.204367703793899</v>
      </c>
      <c r="E14">
        <v>16.204367703793899</v>
      </c>
      <c r="F14" t="s">
        <v>45</v>
      </c>
      <c r="G14" s="11" t="s">
        <v>8</v>
      </c>
      <c r="H14">
        <v>146</v>
      </c>
      <c r="I14">
        <f t="shared" ref="I14" si="10">AVERAGE(D14:D16)</f>
        <v>16.021941509135768</v>
      </c>
      <c r="J14">
        <f t="shared" ref="J14" si="11">STDEV(D14:D16)</f>
        <v>0.17492085610983027</v>
      </c>
      <c r="K14">
        <f>I2</f>
        <v>31.413881999341349</v>
      </c>
      <c r="L14">
        <f>I14</f>
        <v>16.021941509135768</v>
      </c>
      <c r="M14">
        <f t="shared" si="0"/>
        <v>-15.391940490205581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15.8556430035764</v>
      </c>
      <c r="E15">
        <v>15.8556430035764</v>
      </c>
      <c r="F15" t="s">
        <v>46</v>
      </c>
      <c r="G15" s="11" t="s">
        <v>8</v>
      </c>
      <c r="H15">
        <v>146</v>
      </c>
      <c r="I15">
        <f t="shared" ref="I15:J15" si="12">I14</f>
        <v>16.021941509135768</v>
      </c>
      <c r="J15">
        <f t="shared" si="12"/>
        <v>0.17492085610983027</v>
      </c>
      <c r="K15">
        <f>I2</f>
        <v>31.413881999341349</v>
      </c>
      <c r="L15">
        <f>I14</f>
        <v>16.021941509135768</v>
      </c>
      <c r="M15">
        <f t="shared" si="0"/>
        <v>-15.391940490205581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16.005813820037002</v>
      </c>
      <c r="E16">
        <v>16.005813820037002</v>
      </c>
      <c r="F16" t="s">
        <v>47</v>
      </c>
      <c r="G16" s="11" t="s">
        <v>8</v>
      </c>
      <c r="H16">
        <v>146</v>
      </c>
      <c r="I16">
        <f t="shared" ref="I16:J16" si="13">I14</f>
        <v>16.021941509135768</v>
      </c>
      <c r="J16">
        <f t="shared" si="13"/>
        <v>0.17492085610983027</v>
      </c>
      <c r="K16">
        <f>I2</f>
        <v>31.413881999341349</v>
      </c>
      <c r="L16">
        <f>I14</f>
        <v>16.021941509135768</v>
      </c>
      <c r="M16">
        <f t="shared" si="0"/>
        <v>-15.391940490205581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34.101822152726903</v>
      </c>
      <c r="E17">
        <v>34.101822152726903</v>
      </c>
      <c r="F17" t="s">
        <v>48</v>
      </c>
      <c r="G17" s="1" t="s">
        <v>21</v>
      </c>
      <c r="H17">
        <v>146</v>
      </c>
      <c r="I17">
        <f t="shared" ref="I17" si="14">AVERAGE(D17:D19)</f>
        <v>34.174524335885202</v>
      </c>
      <c r="J17">
        <f t="shared" ref="J17" si="15">STDEV(D17:D19)</f>
        <v>0.10281641343659897</v>
      </c>
      <c r="K17">
        <f>I2</f>
        <v>31.413881999341349</v>
      </c>
      <c r="L17">
        <f>I14</f>
        <v>16.021941509135768</v>
      </c>
      <c r="M17">
        <f t="shared" si="0"/>
        <v>2.760642336543853</v>
      </c>
      <c r="N17">
        <f t="shared" si="1"/>
        <v>18.152582826749434</v>
      </c>
    </row>
    <row r="18" spans="1:14" x14ac:dyDescent="0.2">
      <c r="A18" t="s">
        <v>49</v>
      </c>
      <c r="B18" t="s">
        <v>129</v>
      </c>
      <c r="C18" t="s">
        <v>32</v>
      </c>
      <c r="E18">
        <v>32.999896104179399</v>
      </c>
      <c r="F18" t="s">
        <v>49</v>
      </c>
      <c r="G18" s="1" t="s">
        <v>21</v>
      </c>
      <c r="H18">
        <v>146</v>
      </c>
      <c r="I18">
        <f t="shared" ref="I18:J19" si="16">I17</f>
        <v>34.174524335885202</v>
      </c>
      <c r="J18">
        <f t="shared" si="16"/>
        <v>0.10281641343659897</v>
      </c>
      <c r="K18">
        <f>I2</f>
        <v>31.413881999341349</v>
      </c>
      <c r="L18">
        <f>I14</f>
        <v>16.021941509135768</v>
      </c>
      <c r="M18">
        <f t="shared" si="0"/>
        <v>2.760642336543853</v>
      </c>
      <c r="N18">
        <f t="shared" si="1"/>
        <v>18.152582826749434</v>
      </c>
    </row>
    <row r="19" spans="1:14" x14ac:dyDescent="0.2">
      <c r="A19" t="s">
        <v>50</v>
      </c>
      <c r="B19" t="s">
        <v>129</v>
      </c>
      <c r="C19" t="s">
        <v>32</v>
      </c>
      <c r="D19">
        <v>34.247226519043501</v>
      </c>
      <c r="E19">
        <v>34.247226519043501</v>
      </c>
      <c r="F19" t="s">
        <v>50</v>
      </c>
      <c r="G19" s="1" t="s">
        <v>21</v>
      </c>
      <c r="H19">
        <v>146</v>
      </c>
      <c r="I19">
        <f t="shared" si="16"/>
        <v>34.174524335885202</v>
      </c>
      <c r="J19">
        <f t="shared" ref="J19" si="17">J17</f>
        <v>0.10281641343659897</v>
      </c>
      <c r="K19">
        <f>I2</f>
        <v>31.413881999341349</v>
      </c>
      <c r="L19">
        <f>I14</f>
        <v>16.021941509135768</v>
      </c>
      <c r="M19">
        <f t="shared" si="0"/>
        <v>2.760642336543853</v>
      </c>
      <c r="N19">
        <f t="shared" si="1"/>
        <v>18.152582826749434</v>
      </c>
    </row>
    <row r="20" spans="1:14" x14ac:dyDescent="0.2">
      <c r="A20" t="s">
        <v>51</v>
      </c>
      <c r="B20" t="s">
        <v>129</v>
      </c>
      <c r="C20" t="s">
        <v>32</v>
      </c>
      <c r="D20">
        <v>17.568343024387499</v>
      </c>
      <c r="E20">
        <v>17.568343024387499</v>
      </c>
      <c r="F20" t="s">
        <v>51</v>
      </c>
      <c r="G20" s="11" t="s">
        <v>8</v>
      </c>
      <c r="H20">
        <v>149</v>
      </c>
      <c r="I20">
        <f t="shared" ref="I20" si="18">AVERAGE(D20:D22)</f>
        <v>17.6039737779174</v>
      </c>
      <c r="J20">
        <f t="shared" ref="J20" si="19">STDEV(D20:D22)</f>
        <v>0.16405259403093328</v>
      </c>
      <c r="K20">
        <f>I8</f>
        <v>31.159664644382499</v>
      </c>
      <c r="L20">
        <f>I20</f>
        <v>17.6039737779174</v>
      </c>
      <c r="M20">
        <f t="shared" si="0"/>
        <v>-13.555690866465099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17.460664697629898</v>
      </c>
      <c r="E21">
        <v>17.460664697629898</v>
      </c>
      <c r="F21" t="s">
        <v>52</v>
      </c>
      <c r="G21" s="11" t="s">
        <v>8</v>
      </c>
      <c r="H21">
        <v>149</v>
      </c>
      <c r="I21">
        <f t="shared" ref="I21:J21" si="20">I20</f>
        <v>17.6039737779174</v>
      </c>
      <c r="J21">
        <f t="shared" si="20"/>
        <v>0.16405259403093328</v>
      </c>
      <c r="K21">
        <f>I8</f>
        <v>31.159664644382499</v>
      </c>
      <c r="L21">
        <f>I20</f>
        <v>17.6039737779174</v>
      </c>
      <c r="M21">
        <f t="shared" si="0"/>
        <v>-13.555690866465099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17.782913611734799</v>
      </c>
      <c r="E22">
        <v>17.782913611734799</v>
      </c>
      <c r="F22" t="s">
        <v>53</v>
      </c>
      <c r="G22" s="11" t="s">
        <v>8</v>
      </c>
      <c r="H22">
        <v>149</v>
      </c>
      <c r="I22">
        <f t="shared" ref="I22:J22" si="21">I20</f>
        <v>17.6039737779174</v>
      </c>
      <c r="J22">
        <f t="shared" si="21"/>
        <v>0.16405259403093328</v>
      </c>
      <c r="K22">
        <f>I8</f>
        <v>31.159664644382499</v>
      </c>
      <c r="L22">
        <f>I20</f>
        <v>17.6039737779174</v>
      </c>
      <c r="M22">
        <f t="shared" si="0"/>
        <v>-13.555690866465099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31.338329135396499</v>
      </c>
      <c r="E23">
        <v>31.338329135396499</v>
      </c>
      <c r="F23" t="s">
        <v>54</v>
      </c>
      <c r="G23" s="1" t="s">
        <v>21</v>
      </c>
      <c r="H23">
        <v>149</v>
      </c>
      <c r="I23">
        <f t="shared" ref="I23" si="22">AVERAGE(D23:D25)</f>
        <v>31.602512017967349</v>
      </c>
      <c r="J23">
        <f t="shared" ref="J23" si="23">STDEV(D23:D25)</f>
        <v>0.37361101547851494</v>
      </c>
      <c r="K23">
        <f>I8</f>
        <v>31.159664644382499</v>
      </c>
      <c r="L23">
        <f>I20</f>
        <v>17.6039737779174</v>
      </c>
      <c r="M23">
        <f t="shared" si="0"/>
        <v>0.4428473735848506</v>
      </c>
      <c r="N23">
        <f t="shared" si="1"/>
        <v>13.99853824004995</v>
      </c>
    </row>
    <row r="24" spans="1:14" x14ac:dyDescent="0.2">
      <c r="A24" t="s">
        <v>55</v>
      </c>
      <c r="B24" t="s">
        <v>129</v>
      </c>
      <c r="C24" t="s">
        <v>32</v>
      </c>
      <c r="D24">
        <v>31.866694900538199</v>
      </c>
      <c r="E24">
        <v>31.866694900538199</v>
      </c>
      <c r="F24" t="s">
        <v>55</v>
      </c>
      <c r="G24" s="1" t="s">
        <v>21</v>
      </c>
      <c r="H24">
        <v>149</v>
      </c>
      <c r="I24">
        <f t="shared" ref="I24:J25" si="24">I23</f>
        <v>31.602512017967349</v>
      </c>
      <c r="J24">
        <f t="shared" si="24"/>
        <v>0.37361101547851494</v>
      </c>
      <c r="K24">
        <f>I8</f>
        <v>31.159664644382499</v>
      </c>
      <c r="L24">
        <f>I20</f>
        <v>17.6039737779174</v>
      </c>
      <c r="M24">
        <f t="shared" si="0"/>
        <v>0.4428473735848506</v>
      </c>
      <c r="N24">
        <f t="shared" si="1"/>
        <v>13.99853824004995</v>
      </c>
    </row>
    <row r="25" spans="1:14" x14ac:dyDescent="0.2">
      <c r="A25" t="s">
        <v>56</v>
      </c>
      <c r="B25" t="s">
        <v>129</v>
      </c>
      <c r="C25" t="s">
        <v>32</v>
      </c>
      <c r="D25" t="s">
        <v>33</v>
      </c>
      <c r="E25" t="s">
        <v>33</v>
      </c>
      <c r="F25" t="s">
        <v>56</v>
      </c>
      <c r="G25" s="1" t="s">
        <v>21</v>
      </c>
      <c r="H25">
        <v>149</v>
      </c>
      <c r="I25">
        <f t="shared" si="24"/>
        <v>31.602512017967349</v>
      </c>
      <c r="J25">
        <f t="shared" ref="J25" si="25">J23</f>
        <v>0.37361101547851494</v>
      </c>
      <c r="K25">
        <f>I8</f>
        <v>31.159664644382499</v>
      </c>
      <c r="L25">
        <f>I20</f>
        <v>17.6039737779174</v>
      </c>
      <c r="M25">
        <f t="shared" si="0"/>
        <v>0.4428473735848506</v>
      </c>
      <c r="N25">
        <f t="shared" si="1"/>
        <v>13.99853824004995</v>
      </c>
    </row>
    <row r="26" spans="1:14" x14ac:dyDescent="0.2">
      <c r="A26" t="s">
        <v>57</v>
      </c>
      <c r="B26" t="s">
        <v>129</v>
      </c>
      <c r="C26" t="s">
        <v>32</v>
      </c>
      <c r="D26">
        <v>33.122935748532697</v>
      </c>
      <c r="E26">
        <v>33.122935748532697</v>
      </c>
      <c r="F26" t="s">
        <v>57</v>
      </c>
      <c r="G26" s="4" t="s">
        <v>14</v>
      </c>
      <c r="H26">
        <v>146</v>
      </c>
      <c r="I26">
        <f t="shared" ref="I26" si="26">AVERAGE(D26:D28)</f>
        <v>33.256997781472897</v>
      </c>
      <c r="J26">
        <f t="shared" ref="J26" si="27">STDEV(D26:D28)</f>
        <v>0.18959234518333948</v>
      </c>
      <c r="K26">
        <f>I2</f>
        <v>31.413881999341349</v>
      </c>
      <c r="L26">
        <f>I14</f>
        <v>16.021941509135768</v>
      </c>
      <c r="M26">
        <f t="shared" si="0"/>
        <v>1.843115782131548</v>
      </c>
      <c r="N26">
        <f t="shared" si="1"/>
        <v>17.235056272337129</v>
      </c>
    </row>
    <row r="27" spans="1:14" x14ac:dyDescent="0.2">
      <c r="A27" t="s">
        <v>58</v>
      </c>
      <c r="B27" t="s">
        <v>129</v>
      </c>
      <c r="C27" t="s">
        <v>32</v>
      </c>
      <c r="E27">
        <v>31.586610642635399</v>
      </c>
      <c r="F27" t="s">
        <v>58</v>
      </c>
      <c r="G27" s="4" t="s">
        <v>14</v>
      </c>
      <c r="H27">
        <v>146</v>
      </c>
      <c r="I27">
        <f t="shared" ref="I27:J27" si="28">I26</f>
        <v>33.256997781472897</v>
      </c>
      <c r="J27">
        <f t="shared" si="28"/>
        <v>0.18959234518333948</v>
      </c>
      <c r="K27">
        <f>I2</f>
        <v>31.413881999341349</v>
      </c>
      <c r="L27">
        <f>I14</f>
        <v>16.021941509135768</v>
      </c>
      <c r="M27">
        <f t="shared" si="0"/>
        <v>1.843115782131548</v>
      </c>
      <c r="N27">
        <f t="shared" si="1"/>
        <v>17.235056272337129</v>
      </c>
    </row>
    <row r="28" spans="1:14" x14ac:dyDescent="0.2">
      <c r="A28" t="s">
        <v>59</v>
      </c>
      <c r="B28" t="s">
        <v>129</v>
      </c>
      <c r="C28" t="s">
        <v>32</v>
      </c>
      <c r="D28">
        <v>33.391059814413097</v>
      </c>
      <c r="E28">
        <v>33.391059814413097</v>
      </c>
      <c r="F28" t="s">
        <v>59</v>
      </c>
      <c r="G28" s="4" t="s">
        <v>14</v>
      </c>
      <c r="H28">
        <v>146</v>
      </c>
      <c r="I28">
        <f t="shared" ref="I28:J28" si="29">I26</f>
        <v>33.256997781472897</v>
      </c>
      <c r="J28">
        <f t="shared" si="29"/>
        <v>0.18959234518333948</v>
      </c>
      <c r="K28">
        <f>I2</f>
        <v>31.413881999341349</v>
      </c>
      <c r="L28">
        <f>I14</f>
        <v>16.021941509135768</v>
      </c>
      <c r="M28">
        <f t="shared" si="0"/>
        <v>1.843115782131548</v>
      </c>
      <c r="N28">
        <f t="shared" si="1"/>
        <v>17.235056272337129</v>
      </c>
    </row>
    <row r="29" spans="1:14" x14ac:dyDescent="0.2">
      <c r="A29" t="s">
        <v>60</v>
      </c>
      <c r="B29" t="s">
        <v>129</v>
      </c>
      <c r="C29" t="s">
        <v>32</v>
      </c>
      <c r="E29">
        <v>32.483509148721303</v>
      </c>
      <c r="F29" t="s">
        <v>60</v>
      </c>
      <c r="G29" s="1" t="s">
        <v>23</v>
      </c>
      <c r="H29">
        <v>146</v>
      </c>
      <c r="I29">
        <f t="shared" ref="I29" si="30">AVERAGE(D29:D31)</f>
        <v>31.528269043460952</v>
      </c>
      <c r="J29">
        <f t="shared" ref="J29" si="31">STDEV(D29:D31)</f>
        <v>0.18243267054458684</v>
      </c>
      <c r="K29">
        <f>I2</f>
        <v>31.413881999341349</v>
      </c>
      <c r="L29">
        <f>I14</f>
        <v>16.021941509135768</v>
      </c>
      <c r="M29">
        <f t="shared" si="0"/>
        <v>0.11438704411960288</v>
      </c>
      <c r="N29">
        <f t="shared" si="1"/>
        <v>15.506327534325184</v>
      </c>
    </row>
    <row r="30" spans="1:14" x14ac:dyDescent="0.2">
      <c r="A30" t="s">
        <v>61</v>
      </c>
      <c r="B30" t="s">
        <v>129</v>
      </c>
      <c r="C30" t="s">
        <v>32</v>
      </c>
      <c r="D30">
        <v>31.657268421912999</v>
      </c>
      <c r="E30">
        <v>31.657268421912999</v>
      </c>
      <c r="F30" t="s">
        <v>61</v>
      </c>
      <c r="G30" s="1" t="s">
        <v>23</v>
      </c>
      <c r="H30">
        <v>146</v>
      </c>
      <c r="I30">
        <f t="shared" ref="I30:J31" si="32">I29</f>
        <v>31.528269043460952</v>
      </c>
      <c r="J30">
        <f t="shared" si="32"/>
        <v>0.18243267054458684</v>
      </c>
      <c r="K30">
        <f>I2</f>
        <v>31.413881999341349</v>
      </c>
      <c r="L30">
        <f>I14</f>
        <v>16.021941509135768</v>
      </c>
      <c r="M30">
        <f t="shared" si="0"/>
        <v>0.11438704411960288</v>
      </c>
      <c r="N30">
        <f t="shared" si="1"/>
        <v>15.506327534325184</v>
      </c>
    </row>
    <row r="31" spans="1:14" x14ac:dyDescent="0.2">
      <c r="A31" t="s">
        <v>62</v>
      </c>
      <c r="B31" t="s">
        <v>129</v>
      </c>
      <c r="C31" t="s">
        <v>32</v>
      </c>
      <c r="D31">
        <v>31.399269665008902</v>
      </c>
      <c r="E31">
        <v>31.399269665008902</v>
      </c>
      <c r="F31" t="s">
        <v>62</v>
      </c>
      <c r="G31" s="1" t="s">
        <v>23</v>
      </c>
      <c r="H31">
        <v>146</v>
      </c>
      <c r="I31">
        <f t="shared" si="32"/>
        <v>31.528269043460952</v>
      </c>
      <c r="J31">
        <f t="shared" ref="J31" si="33">J29</f>
        <v>0.18243267054458684</v>
      </c>
      <c r="K31">
        <f>I2</f>
        <v>31.413881999341349</v>
      </c>
      <c r="L31">
        <f>I14</f>
        <v>16.021941509135768</v>
      </c>
      <c r="M31">
        <f t="shared" si="0"/>
        <v>0.11438704411960288</v>
      </c>
      <c r="N31">
        <f t="shared" si="1"/>
        <v>15.506327534325184</v>
      </c>
    </row>
    <row r="32" spans="1:14" x14ac:dyDescent="0.2">
      <c r="A32" t="s">
        <v>63</v>
      </c>
      <c r="B32" t="s">
        <v>129</v>
      </c>
      <c r="C32" t="s">
        <v>32</v>
      </c>
      <c r="D32">
        <v>29.972045416245201</v>
      </c>
      <c r="E32">
        <v>29.972045416245201</v>
      </c>
      <c r="F32" t="s">
        <v>63</v>
      </c>
      <c r="G32" s="4" t="s">
        <v>14</v>
      </c>
      <c r="H32">
        <v>149</v>
      </c>
      <c r="I32">
        <f t="shared" ref="I32" si="34">AVERAGE(D32:D34)</f>
        <v>30.306770885015951</v>
      </c>
      <c r="J32">
        <f t="shared" ref="J32" si="35">STDEV(D32:D34)</f>
        <v>0.47337329760728519</v>
      </c>
      <c r="K32">
        <f>I8</f>
        <v>31.159664644382499</v>
      </c>
      <c r="L32">
        <f>I20</f>
        <v>17.6039737779174</v>
      </c>
      <c r="M32">
        <f t="shared" si="0"/>
        <v>-0.85289375936654821</v>
      </c>
      <c r="N32">
        <f t="shared" si="1"/>
        <v>12.702797107098551</v>
      </c>
    </row>
    <row r="33" spans="1:14" x14ac:dyDescent="0.2">
      <c r="A33" t="s">
        <v>64</v>
      </c>
      <c r="B33" t="s">
        <v>129</v>
      </c>
      <c r="C33" t="s">
        <v>32</v>
      </c>
      <c r="D33">
        <v>30.6414963537867</v>
      </c>
      <c r="E33">
        <v>30.6414963537867</v>
      </c>
      <c r="F33" t="s">
        <v>64</v>
      </c>
      <c r="G33" s="4" t="s">
        <v>14</v>
      </c>
      <c r="H33">
        <v>149</v>
      </c>
      <c r="I33">
        <f t="shared" ref="I33:J33" si="36">I32</f>
        <v>30.306770885015951</v>
      </c>
      <c r="J33">
        <f t="shared" si="36"/>
        <v>0.47337329760728519</v>
      </c>
      <c r="K33">
        <f>I8</f>
        <v>31.159664644382499</v>
      </c>
      <c r="L33">
        <f>I20</f>
        <v>17.6039737779174</v>
      </c>
      <c r="M33">
        <f t="shared" si="0"/>
        <v>-0.85289375936654821</v>
      </c>
      <c r="N33">
        <f t="shared" si="1"/>
        <v>12.702797107098551</v>
      </c>
    </row>
    <row r="34" spans="1:14" x14ac:dyDescent="0.2">
      <c r="A34" t="s">
        <v>65</v>
      </c>
      <c r="B34" t="s">
        <v>129</v>
      </c>
      <c r="C34" t="s">
        <v>32</v>
      </c>
      <c r="E34">
        <v>29.028023070035701</v>
      </c>
      <c r="F34" t="s">
        <v>65</v>
      </c>
      <c r="G34" s="4" t="s">
        <v>14</v>
      </c>
      <c r="H34">
        <v>149</v>
      </c>
      <c r="I34">
        <f t="shared" ref="I34:J34" si="37">I32</f>
        <v>30.306770885015951</v>
      </c>
      <c r="J34">
        <f t="shared" si="37"/>
        <v>0.47337329760728519</v>
      </c>
      <c r="K34">
        <f>I8</f>
        <v>31.159664644382499</v>
      </c>
      <c r="L34">
        <f>I20</f>
        <v>17.6039737779174</v>
      </c>
      <c r="M34">
        <f t="shared" si="0"/>
        <v>-0.85289375936654821</v>
      </c>
      <c r="N34">
        <f t="shared" si="1"/>
        <v>12.702797107098551</v>
      </c>
    </row>
    <row r="35" spans="1:14" x14ac:dyDescent="0.2">
      <c r="A35" t="s">
        <v>66</v>
      </c>
      <c r="B35" t="s">
        <v>129</v>
      </c>
      <c r="C35" t="s">
        <v>32</v>
      </c>
      <c r="D35">
        <v>32.395483048123701</v>
      </c>
      <c r="E35">
        <v>32.395483048123701</v>
      </c>
      <c r="F35" t="s">
        <v>66</v>
      </c>
      <c r="G35" s="1" t="s">
        <v>23</v>
      </c>
      <c r="H35">
        <v>149</v>
      </c>
      <c r="I35">
        <f t="shared" ref="I35" si="38">AVERAGE(D35:D37)</f>
        <v>32.456588511010153</v>
      </c>
      <c r="J35">
        <f t="shared" ref="J35" si="39">STDEV(D35:D37)</f>
        <v>8.6416174349101552E-2</v>
      </c>
      <c r="K35">
        <f>I8</f>
        <v>31.159664644382499</v>
      </c>
      <c r="L35">
        <f>I20</f>
        <v>17.6039737779174</v>
      </c>
      <c r="M35">
        <f t="shared" si="0"/>
        <v>1.2969238666276546</v>
      </c>
      <c r="N35">
        <f t="shared" si="1"/>
        <v>14.852614733092754</v>
      </c>
    </row>
    <row r="36" spans="1:14" x14ac:dyDescent="0.2">
      <c r="A36" t="s">
        <v>67</v>
      </c>
      <c r="B36" t="s">
        <v>129</v>
      </c>
      <c r="C36" t="s">
        <v>32</v>
      </c>
      <c r="D36">
        <v>32.517693973896598</v>
      </c>
      <c r="E36">
        <v>32.517693973896598</v>
      </c>
      <c r="F36" t="s">
        <v>67</v>
      </c>
      <c r="G36" s="1" t="s">
        <v>23</v>
      </c>
      <c r="H36">
        <v>149</v>
      </c>
      <c r="I36">
        <f t="shared" ref="I36:J37" si="40">I35</f>
        <v>32.456588511010153</v>
      </c>
      <c r="J36">
        <f t="shared" si="40"/>
        <v>8.6416174349101552E-2</v>
      </c>
      <c r="K36">
        <f>I8</f>
        <v>31.159664644382499</v>
      </c>
      <c r="L36">
        <f>I20</f>
        <v>17.6039737779174</v>
      </c>
      <c r="M36">
        <f t="shared" si="0"/>
        <v>1.2969238666276546</v>
      </c>
      <c r="N36">
        <f t="shared" si="1"/>
        <v>14.852614733092754</v>
      </c>
    </row>
    <row r="37" spans="1:14" x14ac:dyDescent="0.2">
      <c r="A37" t="s">
        <v>68</v>
      </c>
      <c r="B37" t="s">
        <v>129</v>
      </c>
      <c r="C37" t="s">
        <v>32</v>
      </c>
      <c r="E37">
        <v>34.709335293731598</v>
      </c>
      <c r="F37" t="s">
        <v>68</v>
      </c>
      <c r="G37" s="1" t="s">
        <v>23</v>
      </c>
      <c r="H37">
        <v>149</v>
      </c>
      <c r="I37">
        <f t="shared" si="40"/>
        <v>32.456588511010153</v>
      </c>
      <c r="J37">
        <f t="shared" ref="J37" si="41">J35</f>
        <v>8.6416174349101552E-2</v>
      </c>
      <c r="K37">
        <f>I8</f>
        <v>31.159664644382499</v>
      </c>
      <c r="L37">
        <f>I20</f>
        <v>17.6039737779174</v>
      </c>
      <c r="M37">
        <f t="shared" si="0"/>
        <v>1.2969238666276546</v>
      </c>
      <c r="N37">
        <f t="shared" si="1"/>
        <v>14.852614733092754</v>
      </c>
    </row>
    <row r="38" spans="1:14" s="17" customFormat="1" x14ac:dyDescent="0.2">
      <c r="A38" s="17" t="s">
        <v>69</v>
      </c>
      <c r="B38" s="17" t="s">
        <v>129</v>
      </c>
      <c r="C38" s="17" t="s">
        <v>32</v>
      </c>
      <c r="E38" s="17">
        <v>34.160722357805199</v>
      </c>
      <c r="F38" s="17" t="s">
        <v>69</v>
      </c>
      <c r="G38" s="20" t="s">
        <v>15</v>
      </c>
      <c r="H38" s="17">
        <v>146</v>
      </c>
      <c r="I38" s="17" t="e">
        <f t="shared" ref="I38" si="42">AVERAGE(D38:D40)</f>
        <v>#DIV/0!</v>
      </c>
      <c r="J38" s="17" t="e">
        <f t="shared" ref="J38" si="43">STDEV(D38:D40)</f>
        <v>#DIV/0!</v>
      </c>
      <c r="K38" s="17">
        <f>I2</f>
        <v>31.413881999341349</v>
      </c>
      <c r="L38" s="17">
        <f>I14</f>
        <v>16.021941509135768</v>
      </c>
      <c r="M38" s="17" t="e">
        <f t="shared" si="0"/>
        <v>#DIV/0!</v>
      </c>
      <c r="N38" s="17" t="e">
        <f t="shared" si="1"/>
        <v>#DIV/0!</v>
      </c>
    </row>
    <row r="39" spans="1:14" s="17" customFormat="1" x14ac:dyDescent="0.2">
      <c r="A39" s="17" t="s">
        <v>70</v>
      </c>
      <c r="B39" s="17" t="s">
        <v>129</v>
      </c>
      <c r="C39" s="17" t="s">
        <v>32</v>
      </c>
      <c r="E39" s="17">
        <v>32.196134866605298</v>
      </c>
      <c r="F39" s="17" t="s">
        <v>70</v>
      </c>
      <c r="G39" s="20" t="s">
        <v>15</v>
      </c>
      <c r="H39" s="17">
        <v>146</v>
      </c>
      <c r="I39" s="17" t="e">
        <f t="shared" ref="I39:J39" si="44">I38</f>
        <v>#DIV/0!</v>
      </c>
      <c r="J39" s="17" t="e">
        <f t="shared" si="44"/>
        <v>#DIV/0!</v>
      </c>
      <c r="K39" s="17">
        <f>I2</f>
        <v>31.413881999341349</v>
      </c>
      <c r="L39" s="17">
        <f>I14</f>
        <v>16.021941509135768</v>
      </c>
      <c r="M39" s="17" t="e">
        <f t="shared" si="0"/>
        <v>#DIV/0!</v>
      </c>
      <c r="N39" s="17" t="e">
        <f t="shared" si="1"/>
        <v>#DIV/0!</v>
      </c>
    </row>
    <row r="40" spans="1:14" s="17" customFormat="1" x14ac:dyDescent="0.2">
      <c r="A40" s="17" t="s">
        <v>71</v>
      </c>
      <c r="B40" s="17" t="s">
        <v>129</v>
      </c>
      <c r="C40" s="17" t="s">
        <v>32</v>
      </c>
      <c r="E40" s="17">
        <v>33.1591058055579</v>
      </c>
      <c r="F40" s="17" t="s">
        <v>71</v>
      </c>
      <c r="G40" s="20" t="s">
        <v>15</v>
      </c>
      <c r="H40" s="17">
        <v>146</v>
      </c>
      <c r="I40" s="17" t="e">
        <f t="shared" ref="I40:J40" si="45">I38</f>
        <v>#DIV/0!</v>
      </c>
      <c r="J40" s="17" t="e">
        <f t="shared" si="45"/>
        <v>#DIV/0!</v>
      </c>
      <c r="K40" s="17">
        <f>I2</f>
        <v>31.413881999341349</v>
      </c>
      <c r="L40" s="17">
        <f>I14</f>
        <v>16.021941509135768</v>
      </c>
      <c r="M40" s="17" t="e">
        <f t="shared" si="0"/>
        <v>#DIV/0!</v>
      </c>
      <c r="N40" s="17" t="e">
        <f t="shared" si="1"/>
        <v>#DIV/0!</v>
      </c>
    </row>
    <row r="41" spans="1:14" s="17" customFormat="1" x14ac:dyDescent="0.2">
      <c r="A41" s="17" t="s">
        <v>72</v>
      </c>
      <c r="B41" s="17" t="s">
        <v>129</v>
      </c>
      <c r="C41" s="17" t="s">
        <v>32</v>
      </c>
      <c r="E41" s="17">
        <v>33.965839724137901</v>
      </c>
      <c r="F41" s="17" t="s">
        <v>72</v>
      </c>
      <c r="G41" s="19" t="s">
        <v>22</v>
      </c>
      <c r="H41" s="17">
        <v>146</v>
      </c>
      <c r="I41" s="17" t="e">
        <f t="shared" ref="I41" si="46">AVERAGE(D41:D43)</f>
        <v>#DIV/0!</v>
      </c>
      <c r="J41" s="17" t="e">
        <f t="shared" ref="J41" si="47">STDEV(D41:D43)</f>
        <v>#DIV/0!</v>
      </c>
      <c r="K41" s="17">
        <f>I2</f>
        <v>31.413881999341349</v>
      </c>
      <c r="L41" s="17">
        <f>I14</f>
        <v>16.021941509135768</v>
      </c>
      <c r="M41" s="17" t="e">
        <f t="shared" si="0"/>
        <v>#DIV/0!</v>
      </c>
      <c r="N41" s="17" t="e">
        <f t="shared" si="1"/>
        <v>#DIV/0!</v>
      </c>
    </row>
    <row r="42" spans="1:14" s="17" customFormat="1" x14ac:dyDescent="0.2">
      <c r="A42" s="17" t="s">
        <v>73</v>
      </c>
      <c r="B42" s="17" t="s">
        <v>129</v>
      </c>
      <c r="C42" s="17" t="s">
        <v>32</v>
      </c>
      <c r="E42" s="17">
        <v>35.203239514337703</v>
      </c>
      <c r="F42" s="17" t="s">
        <v>73</v>
      </c>
      <c r="G42" s="19" t="s">
        <v>22</v>
      </c>
      <c r="H42" s="17">
        <v>146</v>
      </c>
      <c r="I42" s="17" t="e">
        <f t="shared" ref="I42:J43" si="48">I41</f>
        <v>#DIV/0!</v>
      </c>
      <c r="J42" s="17" t="e">
        <f t="shared" si="48"/>
        <v>#DIV/0!</v>
      </c>
      <c r="K42" s="17">
        <f>I2</f>
        <v>31.413881999341349</v>
      </c>
      <c r="L42" s="17">
        <f>I14</f>
        <v>16.021941509135768</v>
      </c>
      <c r="M42" s="17" t="e">
        <f t="shared" si="0"/>
        <v>#DIV/0!</v>
      </c>
      <c r="N42" s="17" t="e">
        <f t="shared" si="1"/>
        <v>#DIV/0!</v>
      </c>
    </row>
    <row r="43" spans="1:14" s="17" customFormat="1" x14ac:dyDescent="0.2">
      <c r="A43" s="17" t="s">
        <v>74</v>
      </c>
      <c r="B43" s="17" t="s">
        <v>129</v>
      </c>
      <c r="C43" s="17" t="s">
        <v>32</v>
      </c>
      <c r="E43" s="17">
        <v>32.162912979490002</v>
      </c>
      <c r="F43" s="17" t="s">
        <v>74</v>
      </c>
      <c r="G43" s="19" t="s">
        <v>22</v>
      </c>
      <c r="H43" s="17">
        <v>146</v>
      </c>
      <c r="I43" s="17" t="e">
        <f t="shared" si="48"/>
        <v>#DIV/0!</v>
      </c>
      <c r="J43" s="17" t="e">
        <f t="shared" ref="J43" si="49">J41</f>
        <v>#DIV/0!</v>
      </c>
      <c r="K43" s="17">
        <f>I2</f>
        <v>31.413881999341349</v>
      </c>
      <c r="L43" s="17">
        <f>I14</f>
        <v>16.021941509135768</v>
      </c>
      <c r="M43" s="17" t="e">
        <f t="shared" si="0"/>
        <v>#DIV/0!</v>
      </c>
      <c r="N43" s="17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E44">
        <v>30.554491438710699</v>
      </c>
      <c r="F44" t="s">
        <v>75</v>
      </c>
      <c r="G44" s="4" t="s">
        <v>15</v>
      </c>
      <c r="H44">
        <v>149</v>
      </c>
      <c r="I44">
        <f t="shared" ref="I44" si="50">AVERAGE(D44:D46)</f>
        <v>31.158537877282701</v>
      </c>
      <c r="J44">
        <f t="shared" ref="J44" si="51">STDEV(D44:D46)</f>
        <v>7.0436538555639213E-3</v>
      </c>
      <c r="K44">
        <f>I8</f>
        <v>31.159664644382499</v>
      </c>
      <c r="L44">
        <f>I20</f>
        <v>17.6039737779174</v>
      </c>
      <c r="M44">
        <f t="shared" si="0"/>
        <v>-1.1267670997980872E-3</v>
      </c>
      <c r="N44">
        <f t="shared" si="1"/>
        <v>13.554564099365301</v>
      </c>
    </row>
    <row r="45" spans="1:14" x14ac:dyDescent="0.2">
      <c r="A45" t="s">
        <v>76</v>
      </c>
      <c r="B45" t="s">
        <v>129</v>
      </c>
      <c r="C45" t="s">
        <v>32</v>
      </c>
      <c r="D45">
        <v>31.153557261877101</v>
      </c>
      <c r="E45">
        <v>31.153557261877101</v>
      </c>
      <c r="F45" t="s">
        <v>76</v>
      </c>
      <c r="G45" s="4" t="s">
        <v>15</v>
      </c>
      <c r="H45">
        <v>149</v>
      </c>
      <c r="I45">
        <f t="shared" ref="I45:J45" si="52">I44</f>
        <v>31.158537877282701</v>
      </c>
      <c r="J45">
        <f t="shared" si="52"/>
        <v>7.0436538555639213E-3</v>
      </c>
      <c r="K45">
        <f>I8</f>
        <v>31.159664644382499</v>
      </c>
      <c r="L45">
        <f>I20</f>
        <v>17.6039737779174</v>
      </c>
      <c r="M45">
        <f t="shared" si="0"/>
        <v>-1.1267670997980872E-3</v>
      </c>
      <c r="N45">
        <f t="shared" si="1"/>
        <v>13.554564099365301</v>
      </c>
    </row>
    <row r="46" spans="1:14" x14ac:dyDescent="0.2">
      <c r="A46" t="s">
        <v>77</v>
      </c>
      <c r="B46" t="s">
        <v>129</v>
      </c>
      <c r="C46" t="s">
        <v>32</v>
      </c>
      <c r="D46">
        <v>31.163518492688301</v>
      </c>
      <c r="E46">
        <v>31.163518492688301</v>
      </c>
      <c r="F46" t="s">
        <v>77</v>
      </c>
      <c r="G46" s="4" t="s">
        <v>15</v>
      </c>
      <c r="H46">
        <v>149</v>
      </c>
      <c r="I46">
        <f t="shared" ref="I46:J46" si="53">I44</f>
        <v>31.158537877282701</v>
      </c>
      <c r="J46">
        <f t="shared" si="53"/>
        <v>7.0436538555639213E-3</v>
      </c>
      <c r="K46">
        <f>I8</f>
        <v>31.159664644382499</v>
      </c>
      <c r="L46">
        <f>I20</f>
        <v>17.6039737779174</v>
      </c>
      <c r="M46">
        <f t="shared" si="0"/>
        <v>-1.1267670997980872E-3</v>
      </c>
      <c r="N46">
        <f t="shared" si="1"/>
        <v>13.554564099365301</v>
      </c>
    </row>
    <row r="47" spans="1:14" x14ac:dyDescent="0.2">
      <c r="A47" t="s">
        <v>78</v>
      </c>
      <c r="B47" t="s">
        <v>129</v>
      </c>
      <c r="C47" t="s">
        <v>32</v>
      </c>
      <c r="D47">
        <v>31.6320237175138</v>
      </c>
      <c r="E47">
        <v>31.6320237175138</v>
      </c>
      <c r="F47" t="s">
        <v>78</v>
      </c>
      <c r="G47" s="1" t="s">
        <v>22</v>
      </c>
      <c r="H47">
        <v>149</v>
      </c>
      <c r="I47">
        <f t="shared" ref="I47" si="54">AVERAGE(D47:D49)</f>
        <v>31.8189921780559</v>
      </c>
      <c r="J47">
        <f t="shared" ref="J47" si="55">STDEV(D47:D49)</f>
        <v>0.26441333263465516</v>
      </c>
      <c r="K47">
        <f>I8</f>
        <v>31.159664644382499</v>
      </c>
      <c r="L47">
        <f>I20</f>
        <v>17.6039737779174</v>
      </c>
      <c r="M47">
        <f t="shared" si="0"/>
        <v>0.65932753367340169</v>
      </c>
      <c r="N47">
        <f t="shared" si="1"/>
        <v>14.215018400138501</v>
      </c>
    </row>
    <row r="48" spans="1:14" x14ac:dyDescent="0.2">
      <c r="A48" t="s">
        <v>79</v>
      </c>
      <c r="B48" t="s">
        <v>129</v>
      </c>
      <c r="C48" t="s">
        <v>32</v>
      </c>
      <c r="D48">
        <v>32.005960638597998</v>
      </c>
      <c r="E48">
        <v>32.005960638597998</v>
      </c>
      <c r="F48" t="s">
        <v>79</v>
      </c>
      <c r="G48" s="1" t="s">
        <v>22</v>
      </c>
      <c r="H48">
        <v>149</v>
      </c>
      <c r="I48">
        <f t="shared" ref="I48:J49" si="56">I47</f>
        <v>31.8189921780559</v>
      </c>
      <c r="J48">
        <f t="shared" si="56"/>
        <v>0.26441333263465516</v>
      </c>
      <c r="K48">
        <f>I8</f>
        <v>31.159664644382499</v>
      </c>
      <c r="L48">
        <f>I20</f>
        <v>17.6039737779174</v>
      </c>
      <c r="M48">
        <f t="shared" si="0"/>
        <v>0.65932753367340169</v>
      </c>
      <c r="N48">
        <f t="shared" si="1"/>
        <v>14.215018400138501</v>
      </c>
    </row>
    <row r="49" spans="1:14" x14ac:dyDescent="0.2">
      <c r="A49" t="s">
        <v>80</v>
      </c>
      <c r="B49" t="s">
        <v>129</v>
      </c>
      <c r="C49" t="s">
        <v>32</v>
      </c>
      <c r="E49">
        <v>37.624641129100503</v>
      </c>
      <c r="F49" t="s">
        <v>80</v>
      </c>
      <c r="G49" s="1" t="s">
        <v>22</v>
      </c>
      <c r="H49">
        <v>149</v>
      </c>
      <c r="I49">
        <f t="shared" si="56"/>
        <v>31.8189921780559</v>
      </c>
      <c r="J49">
        <f t="shared" ref="J49" si="57">J47</f>
        <v>0.26441333263465516</v>
      </c>
      <c r="K49">
        <f>I8</f>
        <v>31.159664644382499</v>
      </c>
      <c r="L49">
        <f>I20</f>
        <v>17.6039737779174</v>
      </c>
      <c r="M49">
        <f t="shared" si="0"/>
        <v>0.65932753367340169</v>
      </c>
      <c r="N49">
        <f t="shared" si="1"/>
        <v>14.215018400138501</v>
      </c>
    </row>
    <row r="50" spans="1:14" x14ac:dyDescent="0.2">
      <c r="A50" t="s">
        <v>81</v>
      </c>
      <c r="B50" t="s">
        <v>129</v>
      </c>
      <c r="C50" t="s">
        <v>32</v>
      </c>
      <c r="D50">
        <v>32.358513422048901</v>
      </c>
      <c r="E50">
        <v>32.358513422048901</v>
      </c>
      <c r="F50" t="s">
        <v>81</v>
      </c>
      <c r="G50" s="4" t="s">
        <v>16</v>
      </c>
      <c r="H50">
        <v>146</v>
      </c>
      <c r="I50">
        <f t="shared" ref="I50" si="58">AVERAGE(D50:D52)</f>
        <v>32.316346314447955</v>
      </c>
      <c r="J50">
        <f t="shared" ref="J50" si="59">STDEV(D50:D52)</f>
        <v>5.9633295455308474E-2</v>
      </c>
      <c r="K50">
        <f>I2</f>
        <v>31.413881999341349</v>
      </c>
      <c r="L50">
        <f>I14</f>
        <v>16.021941509135768</v>
      </c>
      <c r="M50">
        <f t="shared" si="0"/>
        <v>0.90246431510660585</v>
      </c>
      <c r="N50">
        <f t="shared" si="1"/>
        <v>16.294404805312187</v>
      </c>
    </row>
    <row r="51" spans="1:14" x14ac:dyDescent="0.2">
      <c r="A51" t="s">
        <v>82</v>
      </c>
      <c r="B51" t="s">
        <v>129</v>
      </c>
      <c r="C51" t="s">
        <v>32</v>
      </c>
      <c r="D51">
        <v>32.274179206847002</v>
      </c>
      <c r="E51">
        <v>32.274179206847002</v>
      </c>
      <c r="F51" t="s">
        <v>82</v>
      </c>
      <c r="G51" s="4" t="s">
        <v>16</v>
      </c>
      <c r="H51">
        <v>146</v>
      </c>
      <c r="I51">
        <f t="shared" ref="I51:J51" si="60">I50</f>
        <v>32.316346314447955</v>
      </c>
      <c r="J51">
        <f t="shared" si="60"/>
        <v>5.9633295455308474E-2</v>
      </c>
      <c r="K51">
        <f>I2</f>
        <v>31.413881999341349</v>
      </c>
      <c r="L51">
        <f>I14</f>
        <v>16.021941509135768</v>
      </c>
      <c r="M51">
        <f t="shared" si="0"/>
        <v>0.90246431510660585</v>
      </c>
      <c r="N51">
        <f t="shared" si="1"/>
        <v>16.294404805312187</v>
      </c>
    </row>
    <row r="52" spans="1:14" x14ac:dyDescent="0.2">
      <c r="A52" t="s">
        <v>83</v>
      </c>
      <c r="B52" t="s">
        <v>129</v>
      </c>
      <c r="C52" t="s">
        <v>32</v>
      </c>
      <c r="E52">
        <v>31.5427702135398</v>
      </c>
      <c r="F52" t="s">
        <v>83</v>
      </c>
      <c r="G52" s="4" t="s">
        <v>16</v>
      </c>
      <c r="H52">
        <v>146</v>
      </c>
      <c r="I52">
        <f t="shared" ref="I52:J52" si="61">I50</f>
        <v>32.316346314447955</v>
      </c>
      <c r="J52">
        <f t="shared" si="61"/>
        <v>5.9633295455308474E-2</v>
      </c>
      <c r="K52">
        <f>I2</f>
        <v>31.413881999341349</v>
      </c>
      <c r="L52">
        <f>I14</f>
        <v>16.021941509135768</v>
      </c>
      <c r="M52">
        <f t="shared" si="0"/>
        <v>0.90246431510660585</v>
      </c>
      <c r="N52">
        <f t="shared" si="1"/>
        <v>16.294404805312187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31.986940728808801</v>
      </c>
      <c r="F53" s="17" t="s">
        <v>84</v>
      </c>
      <c r="G53" s="19" t="s">
        <v>24</v>
      </c>
      <c r="H53" s="17">
        <v>146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31.413881999341349</v>
      </c>
      <c r="L53" s="17">
        <f>I14</f>
        <v>16.021941509135768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>
        <v>34.303630786652903</v>
      </c>
      <c r="F54" s="17" t="s">
        <v>85</v>
      </c>
      <c r="G54" s="19" t="s">
        <v>24</v>
      </c>
      <c r="H54" s="17">
        <v>146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31.413881999341349</v>
      </c>
      <c r="L54" s="17">
        <f>I14</f>
        <v>16.021941509135768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 t="s">
        <v>33</v>
      </c>
      <c r="F55" s="17" t="s">
        <v>86</v>
      </c>
      <c r="G55" s="19" t="s">
        <v>24</v>
      </c>
      <c r="H55" s="17">
        <v>146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31.413881999341349</v>
      </c>
      <c r="L55" s="17">
        <f>I14</f>
        <v>16.021941509135768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30.9864043659184</v>
      </c>
      <c r="E56">
        <v>30.9864043659184</v>
      </c>
      <c r="F56" t="s">
        <v>87</v>
      </c>
      <c r="G56" s="4" t="s">
        <v>16</v>
      </c>
      <c r="H56">
        <v>149</v>
      </c>
      <c r="I56">
        <f t="shared" ref="I56" si="66">AVERAGE(D56:D58)</f>
        <v>30.747588711012099</v>
      </c>
      <c r="J56">
        <f t="shared" ref="J56" si="67">STDEV(D56:D58)</f>
        <v>0.30315919309968525</v>
      </c>
      <c r="K56">
        <f>I8</f>
        <v>31.159664644382499</v>
      </c>
      <c r="L56">
        <f>I20</f>
        <v>17.6039737779174</v>
      </c>
      <c r="M56">
        <f t="shared" si="0"/>
        <v>-0.41207593337039938</v>
      </c>
      <c r="N56">
        <f t="shared" si="1"/>
        <v>13.1436149330947</v>
      </c>
    </row>
    <row r="57" spans="1:14" x14ac:dyDescent="0.2">
      <c r="A57" t="s">
        <v>88</v>
      </c>
      <c r="B57" t="s">
        <v>129</v>
      </c>
      <c r="C57" t="s">
        <v>32</v>
      </c>
      <c r="D57">
        <v>30.849835589328102</v>
      </c>
      <c r="E57">
        <v>30.849835589328102</v>
      </c>
      <c r="F57" t="s">
        <v>88</v>
      </c>
      <c r="G57" s="4" t="s">
        <v>16</v>
      </c>
      <c r="H57">
        <v>149</v>
      </c>
      <c r="I57">
        <f t="shared" ref="I57:J57" si="68">I56</f>
        <v>30.747588711012099</v>
      </c>
      <c r="J57">
        <f t="shared" si="68"/>
        <v>0.30315919309968525</v>
      </c>
      <c r="K57">
        <f>I8</f>
        <v>31.159664644382499</v>
      </c>
      <c r="L57">
        <f>I20</f>
        <v>17.6039737779174</v>
      </c>
      <c r="M57">
        <f t="shared" si="0"/>
        <v>-0.41207593337039938</v>
      </c>
      <c r="N57">
        <f t="shared" si="1"/>
        <v>13.1436149330947</v>
      </c>
    </row>
    <row r="58" spans="1:14" x14ac:dyDescent="0.2">
      <c r="A58" t="s">
        <v>89</v>
      </c>
      <c r="B58" t="s">
        <v>129</v>
      </c>
      <c r="C58" t="s">
        <v>32</v>
      </c>
      <c r="D58">
        <v>30.4065261777898</v>
      </c>
      <c r="E58">
        <v>30.4065261777898</v>
      </c>
      <c r="F58" t="s">
        <v>89</v>
      </c>
      <c r="G58" s="4" t="s">
        <v>16</v>
      </c>
      <c r="H58">
        <v>149</v>
      </c>
      <c r="I58">
        <f t="shared" ref="I58:J58" si="69">I56</f>
        <v>30.747588711012099</v>
      </c>
      <c r="J58">
        <f t="shared" si="69"/>
        <v>0.30315919309968525</v>
      </c>
      <c r="K58">
        <f>I8</f>
        <v>31.159664644382499</v>
      </c>
      <c r="L58">
        <f>I20</f>
        <v>17.6039737779174</v>
      </c>
      <c r="M58">
        <f t="shared" si="0"/>
        <v>-0.41207593337039938</v>
      </c>
      <c r="N58">
        <f t="shared" si="1"/>
        <v>13.1436149330947</v>
      </c>
    </row>
    <row r="59" spans="1:14" x14ac:dyDescent="0.2">
      <c r="A59" t="s">
        <v>90</v>
      </c>
      <c r="B59" t="s">
        <v>129</v>
      </c>
      <c r="C59" t="s">
        <v>32</v>
      </c>
      <c r="D59">
        <v>31.982530790103802</v>
      </c>
      <c r="E59">
        <v>31.982530790103802</v>
      </c>
      <c r="F59" t="s">
        <v>90</v>
      </c>
      <c r="G59" s="1" t="s">
        <v>24</v>
      </c>
      <c r="H59">
        <v>149</v>
      </c>
      <c r="I59">
        <f t="shared" ref="I59" si="70">AVERAGE(D59:D61)</f>
        <v>32.097728500889502</v>
      </c>
      <c r="J59">
        <f t="shared" ref="J59" si="71">STDEV(D59:D61)</f>
        <v>0.16291416494747135</v>
      </c>
      <c r="K59">
        <f>I8</f>
        <v>31.159664644382499</v>
      </c>
      <c r="L59">
        <f>I20</f>
        <v>17.6039737779174</v>
      </c>
      <c r="M59">
        <f t="shared" si="0"/>
        <v>0.93806385650700363</v>
      </c>
      <c r="N59">
        <f t="shared" si="1"/>
        <v>14.493754722972103</v>
      </c>
    </row>
    <row r="60" spans="1:14" x14ac:dyDescent="0.2">
      <c r="A60" t="s">
        <v>91</v>
      </c>
      <c r="B60" t="s">
        <v>129</v>
      </c>
      <c r="C60" t="s">
        <v>32</v>
      </c>
      <c r="D60">
        <v>32.212926211675203</v>
      </c>
      <c r="E60">
        <v>32.212926211675203</v>
      </c>
      <c r="F60" t="s">
        <v>91</v>
      </c>
      <c r="G60" s="1" t="s">
        <v>24</v>
      </c>
      <c r="H60">
        <v>149</v>
      </c>
      <c r="I60">
        <f t="shared" ref="I60:J61" si="72">I59</f>
        <v>32.097728500889502</v>
      </c>
      <c r="J60">
        <f t="shared" si="72"/>
        <v>0.16291416494747135</v>
      </c>
      <c r="K60">
        <f>I8</f>
        <v>31.159664644382499</v>
      </c>
      <c r="L60">
        <f>I20</f>
        <v>17.6039737779174</v>
      </c>
      <c r="M60">
        <f t="shared" si="0"/>
        <v>0.93806385650700363</v>
      </c>
      <c r="N60">
        <f t="shared" si="1"/>
        <v>14.493754722972103</v>
      </c>
    </row>
    <row r="61" spans="1:14" x14ac:dyDescent="0.2">
      <c r="A61" t="s">
        <v>92</v>
      </c>
      <c r="B61" t="s">
        <v>129</v>
      </c>
      <c r="C61" t="s">
        <v>32</v>
      </c>
      <c r="E61">
        <v>33.763151035670802</v>
      </c>
      <c r="F61" t="s">
        <v>92</v>
      </c>
      <c r="G61" s="1" t="s">
        <v>24</v>
      </c>
      <c r="H61">
        <v>149</v>
      </c>
      <c r="I61">
        <f t="shared" si="72"/>
        <v>32.097728500889502</v>
      </c>
      <c r="J61">
        <f t="shared" ref="J61" si="73">J59</f>
        <v>0.16291416494747135</v>
      </c>
      <c r="K61">
        <f>I8</f>
        <v>31.159664644382499</v>
      </c>
      <c r="L61">
        <f>I20</f>
        <v>17.6039737779174</v>
      </c>
      <c r="M61">
        <f t="shared" si="0"/>
        <v>0.93806385650700363</v>
      </c>
      <c r="N61">
        <f t="shared" si="1"/>
        <v>14.493754722972103</v>
      </c>
    </row>
    <row r="62" spans="1:14" x14ac:dyDescent="0.2">
      <c r="A62" t="s">
        <v>93</v>
      </c>
      <c r="B62" t="s">
        <v>129</v>
      </c>
      <c r="C62" t="s">
        <v>32</v>
      </c>
      <c r="D62">
        <v>30.624328518966198</v>
      </c>
      <c r="E62">
        <v>30.624328518966198</v>
      </c>
      <c r="F62" t="s">
        <v>93</v>
      </c>
      <c r="G62" s="4" t="s">
        <v>17</v>
      </c>
      <c r="H62">
        <v>146</v>
      </c>
      <c r="I62">
        <f t="shared" ref="I62" si="74">AVERAGE(D62:D64)</f>
        <v>30.474693004213833</v>
      </c>
      <c r="J62">
        <f t="shared" ref="J62" si="75">STDEV(D62:D64)</f>
        <v>0.23311607322649675</v>
      </c>
      <c r="K62">
        <f>I2</f>
        <v>31.413881999341349</v>
      </c>
      <c r="L62">
        <f>I14</f>
        <v>16.021941509135768</v>
      </c>
      <c r="M62">
        <f t="shared" si="0"/>
        <v>-0.93918899512751608</v>
      </c>
      <c r="N62">
        <f t="shared" si="1"/>
        <v>14.452751495078065</v>
      </c>
    </row>
    <row r="63" spans="1:14" x14ac:dyDescent="0.2">
      <c r="A63" t="s">
        <v>94</v>
      </c>
      <c r="B63" t="s">
        <v>129</v>
      </c>
      <c r="C63" t="s">
        <v>32</v>
      </c>
      <c r="D63">
        <v>30.206096989181798</v>
      </c>
      <c r="E63">
        <v>30.206096989181798</v>
      </c>
      <c r="F63" t="s">
        <v>94</v>
      </c>
      <c r="G63" s="4" t="s">
        <v>17</v>
      </c>
      <c r="H63">
        <v>146</v>
      </c>
      <c r="I63">
        <f t="shared" ref="I63:J63" si="76">I62</f>
        <v>30.474693004213833</v>
      </c>
      <c r="J63">
        <f t="shared" si="76"/>
        <v>0.23311607322649675</v>
      </c>
      <c r="K63">
        <f>I2</f>
        <v>31.413881999341349</v>
      </c>
      <c r="L63">
        <f>I14</f>
        <v>16.021941509135768</v>
      </c>
      <c r="M63">
        <f t="shared" si="0"/>
        <v>-0.93918899512751608</v>
      </c>
      <c r="N63">
        <f t="shared" si="1"/>
        <v>14.452751495078065</v>
      </c>
    </row>
    <row r="64" spans="1:14" x14ac:dyDescent="0.2">
      <c r="A64" t="s">
        <v>95</v>
      </c>
      <c r="B64" t="s">
        <v>129</v>
      </c>
      <c r="C64" t="s">
        <v>32</v>
      </c>
      <c r="D64">
        <v>30.593653504493499</v>
      </c>
      <c r="E64">
        <v>30.593653504493499</v>
      </c>
      <c r="F64" t="s">
        <v>95</v>
      </c>
      <c r="G64" s="4" t="s">
        <v>17</v>
      </c>
      <c r="H64">
        <v>146</v>
      </c>
      <c r="I64">
        <f t="shared" ref="I64:J64" si="77">I62</f>
        <v>30.474693004213833</v>
      </c>
      <c r="J64">
        <f t="shared" si="77"/>
        <v>0.23311607322649675</v>
      </c>
      <c r="K64">
        <f>I2</f>
        <v>31.413881999341349</v>
      </c>
      <c r="L64">
        <f>I14</f>
        <v>16.021941509135768</v>
      </c>
      <c r="M64">
        <f t="shared" si="0"/>
        <v>-0.93918899512751608</v>
      </c>
      <c r="N64">
        <f t="shared" si="1"/>
        <v>14.452751495078065</v>
      </c>
    </row>
    <row r="65" spans="1:14" x14ac:dyDescent="0.2">
      <c r="A65" t="s">
        <v>96</v>
      </c>
      <c r="B65" t="s">
        <v>129</v>
      </c>
      <c r="C65" t="s">
        <v>32</v>
      </c>
      <c r="E65">
        <v>32.251085926206798</v>
      </c>
      <c r="F65" t="s">
        <v>96</v>
      </c>
      <c r="G65" s="1" t="s">
        <v>25</v>
      </c>
      <c r="H65">
        <v>146</v>
      </c>
      <c r="I65">
        <f t="shared" ref="I65" si="78">AVERAGE(D65:D67)</f>
        <v>31.499695915780698</v>
      </c>
      <c r="J65">
        <f t="shared" ref="J65" si="79">STDEV(D65:D67)</f>
        <v>0.32874382654757078</v>
      </c>
      <c r="K65">
        <f>I2</f>
        <v>31.413881999341349</v>
      </c>
      <c r="L65">
        <f>I14</f>
        <v>16.021941509135768</v>
      </c>
      <c r="M65">
        <f t="shared" si="0"/>
        <v>8.5813916439349214E-2</v>
      </c>
      <c r="N65">
        <f t="shared" si="1"/>
        <v>15.47775440664493</v>
      </c>
    </row>
    <row r="66" spans="1:14" x14ac:dyDescent="0.2">
      <c r="A66" t="s">
        <v>97</v>
      </c>
      <c r="B66" t="s">
        <v>129</v>
      </c>
      <c r="C66" t="s">
        <v>32</v>
      </c>
      <c r="D66">
        <v>31.267238926755699</v>
      </c>
      <c r="E66">
        <v>31.267238926755699</v>
      </c>
      <c r="F66" t="s">
        <v>97</v>
      </c>
      <c r="G66" s="1" t="s">
        <v>25</v>
      </c>
      <c r="H66">
        <v>146</v>
      </c>
      <c r="I66">
        <f t="shared" ref="I66:J67" si="80">I65</f>
        <v>31.499695915780698</v>
      </c>
      <c r="J66">
        <f t="shared" si="80"/>
        <v>0.32874382654757078</v>
      </c>
      <c r="K66">
        <f>I2</f>
        <v>31.413881999341349</v>
      </c>
      <c r="L66">
        <f>I14</f>
        <v>16.021941509135768</v>
      </c>
      <c r="M66">
        <f t="shared" si="0"/>
        <v>8.5813916439349214E-2</v>
      </c>
      <c r="N66">
        <f t="shared" si="1"/>
        <v>15.47775440664493</v>
      </c>
    </row>
    <row r="67" spans="1:14" x14ac:dyDescent="0.2">
      <c r="A67" t="s">
        <v>98</v>
      </c>
      <c r="B67" t="s">
        <v>129</v>
      </c>
      <c r="C67" t="s">
        <v>32</v>
      </c>
      <c r="D67">
        <v>31.732152904805702</v>
      </c>
      <c r="E67">
        <v>31.732152904805702</v>
      </c>
      <c r="F67" t="s">
        <v>98</v>
      </c>
      <c r="G67" s="1" t="s">
        <v>25</v>
      </c>
      <c r="H67">
        <v>146</v>
      </c>
      <c r="I67">
        <f t="shared" si="80"/>
        <v>31.499695915780698</v>
      </c>
      <c r="J67">
        <f t="shared" ref="J67" si="81">J65</f>
        <v>0.32874382654757078</v>
      </c>
      <c r="K67">
        <f>I2</f>
        <v>31.413881999341349</v>
      </c>
      <c r="L67">
        <f>I14</f>
        <v>16.021941509135768</v>
      </c>
      <c r="M67">
        <f t="shared" ref="M67:M97" si="82">I67-K67</f>
        <v>8.5813916439349214E-2</v>
      </c>
      <c r="N67">
        <f t="shared" ref="N67:N97" si="83">I67-L67</f>
        <v>15.47775440664493</v>
      </c>
    </row>
    <row r="68" spans="1:14" x14ac:dyDescent="0.2">
      <c r="A68" t="s">
        <v>99</v>
      </c>
      <c r="B68" t="s">
        <v>129</v>
      </c>
      <c r="C68" t="s">
        <v>32</v>
      </c>
      <c r="D68">
        <v>29.637667675469299</v>
      </c>
      <c r="E68">
        <v>29.637667675469299</v>
      </c>
      <c r="F68" t="s">
        <v>99</v>
      </c>
      <c r="G68" s="4" t="s">
        <v>17</v>
      </c>
      <c r="H68">
        <v>149</v>
      </c>
      <c r="I68">
        <f t="shared" ref="I68" si="84">AVERAGE(D68:D70)</f>
        <v>29.737053881280634</v>
      </c>
      <c r="J68">
        <f t="shared" ref="J68" si="85">STDEV(D68:D70)</f>
        <v>0.32820404324692726</v>
      </c>
      <c r="K68">
        <f>I8</f>
        <v>31.159664644382499</v>
      </c>
      <c r="L68">
        <f>I20</f>
        <v>17.6039737779174</v>
      </c>
      <c r="M68">
        <f t="shared" si="82"/>
        <v>-1.422610763101865</v>
      </c>
      <c r="N68">
        <f t="shared" si="83"/>
        <v>12.133080103363234</v>
      </c>
    </row>
    <row r="69" spans="1:14" x14ac:dyDescent="0.2">
      <c r="A69" t="s">
        <v>100</v>
      </c>
      <c r="B69" t="s">
        <v>129</v>
      </c>
      <c r="C69" t="s">
        <v>32</v>
      </c>
      <c r="D69">
        <v>29.470029948688602</v>
      </c>
      <c r="E69">
        <v>29.470029948688602</v>
      </c>
      <c r="F69" t="s">
        <v>100</v>
      </c>
      <c r="G69" s="4" t="s">
        <v>17</v>
      </c>
      <c r="H69">
        <v>149</v>
      </c>
      <c r="I69">
        <f t="shared" ref="I69:J69" si="86">I68</f>
        <v>29.737053881280634</v>
      </c>
      <c r="J69">
        <f t="shared" si="86"/>
        <v>0.32820404324692726</v>
      </c>
      <c r="K69">
        <f>I8</f>
        <v>31.159664644382499</v>
      </c>
      <c r="L69">
        <f>I20</f>
        <v>17.6039737779174</v>
      </c>
      <c r="M69">
        <f t="shared" si="82"/>
        <v>-1.422610763101865</v>
      </c>
      <c r="N69">
        <f t="shared" si="83"/>
        <v>12.133080103363234</v>
      </c>
    </row>
    <row r="70" spans="1:14" x14ac:dyDescent="0.2">
      <c r="A70" t="s">
        <v>101</v>
      </c>
      <c r="B70" t="s">
        <v>129</v>
      </c>
      <c r="C70" t="s">
        <v>32</v>
      </c>
      <c r="D70">
        <v>30.103464019684001</v>
      </c>
      <c r="E70">
        <v>30.103464019684001</v>
      </c>
      <c r="F70" t="s">
        <v>101</v>
      </c>
      <c r="G70" s="4" t="s">
        <v>17</v>
      </c>
      <c r="H70">
        <v>149</v>
      </c>
      <c r="I70">
        <f t="shared" ref="I70:J70" si="87">I68</f>
        <v>29.737053881280634</v>
      </c>
      <c r="J70">
        <f t="shared" si="87"/>
        <v>0.32820404324692726</v>
      </c>
      <c r="K70">
        <f>I8</f>
        <v>31.159664644382499</v>
      </c>
      <c r="L70">
        <f>I20</f>
        <v>17.6039737779174</v>
      </c>
      <c r="M70">
        <f t="shared" si="82"/>
        <v>-1.422610763101865</v>
      </c>
      <c r="N70">
        <f t="shared" si="83"/>
        <v>12.133080103363234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30.345831608436399</v>
      </c>
      <c r="F71" s="17" t="s">
        <v>102</v>
      </c>
      <c r="G71" s="19" t="s">
        <v>25</v>
      </c>
      <c r="H71" s="17">
        <v>149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>
        <f>I8</f>
        <v>31.159664644382499</v>
      </c>
      <c r="L71" s="17">
        <f>I20</f>
        <v>17.6039737779174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32.175571212969402</v>
      </c>
      <c r="F72" s="17" t="s">
        <v>103</v>
      </c>
      <c r="G72" s="19" t="s">
        <v>25</v>
      </c>
      <c r="H72" s="17">
        <v>149</v>
      </c>
      <c r="I72" s="17" t="e">
        <f t="shared" ref="I72:J73" si="90">I71</f>
        <v>#DIV/0!</v>
      </c>
      <c r="J72" s="17" t="e">
        <f t="shared" si="90"/>
        <v>#DIV/0!</v>
      </c>
      <c r="K72" s="17">
        <f>I8</f>
        <v>31.159664644382499</v>
      </c>
      <c r="L72" s="17">
        <f>I20</f>
        <v>17.6039737779174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 t="s">
        <v>33</v>
      </c>
      <c r="F73" s="17" t="s">
        <v>104</v>
      </c>
      <c r="G73" s="19" t="s">
        <v>25</v>
      </c>
      <c r="H73" s="17">
        <v>149</v>
      </c>
      <c r="I73" s="17" t="e">
        <f t="shared" si="90"/>
        <v>#DIV/0!</v>
      </c>
      <c r="J73" s="17" t="e">
        <f t="shared" ref="J73" si="91">J71</f>
        <v>#DIV/0!</v>
      </c>
      <c r="K73" s="17">
        <f>I8</f>
        <v>31.159664644382499</v>
      </c>
      <c r="L73" s="17">
        <f>I20</f>
        <v>17.6039737779174</v>
      </c>
      <c r="M73" s="17" t="e">
        <f t="shared" si="82"/>
        <v>#DIV/0!</v>
      </c>
      <c r="N73" s="17" t="e">
        <f t="shared" si="83"/>
        <v>#DIV/0!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37.245016953080103</v>
      </c>
      <c r="F74" s="17" t="s">
        <v>105</v>
      </c>
      <c r="G74" s="20" t="s">
        <v>18</v>
      </c>
      <c r="H74" s="17">
        <v>146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31.413881999341349</v>
      </c>
      <c r="L74" s="17">
        <f>I14</f>
        <v>16.021941509135768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34.7238441859867</v>
      </c>
      <c r="F75" s="17" t="s">
        <v>106</v>
      </c>
      <c r="G75" s="20" t="s">
        <v>18</v>
      </c>
      <c r="H75" s="17">
        <v>146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31.413881999341349</v>
      </c>
      <c r="L75" s="17">
        <f>I14</f>
        <v>16.021941509135768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36.279793008032598</v>
      </c>
      <c r="F76" s="17" t="s">
        <v>107</v>
      </c>
      <c r="G76" s="20" t="s">
        <v>18</v>
      </c>
      <c r="H76" s="17">
        <v>146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31.413881999341349</v>
      </c>
      <c r="L76" s="17">
        <f>I14</f>
        <v>16.021941509135768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>
        <f t="shared" ref="I77" si="95">AVERAGE(D77:D79)</f>
        <v>20.299550139690801</v>
      </c>
      <c r="J77" t="e">
        <f t="shared" ref="J77" si="96">STDEV(D77:D79)</f>
        <v>#DIV/0!</v>
      </c>
      <c r="K77">
        <f>I2</f>
        <v>31.413881999341349</v>
      </c>
      <c r="L77">
        <f>I14</f>
        <v>16.021941509135768</v>
      </c>
      <c r="M77">
        <f t="shared" si="82"/>
        <v>-11.114331859650548</v>
      </c>
      <c r="N77">
        <f t="shared" si="83"/>
        <v>4.2776086305550329</v>
      </c>
    </row>
    <row r="78" spans="1:14" x14ac:dyDescent="0.2">
      <c r="A78" t="s">
        <v>109</v>
      </c>
      <c r="B78" t="s">
        <v>129</v>
      </c>
      <c r="C78" t="s">
        <v>32</v>
      </c>
      <c r="D78">
        <v>20.299550139690801</v>
      </c>
      <c r="E78">
        <v>20.299550139690801</v>
      </c>
      <c r="F78" t="s">
        <v>109</v>
      </c>
      <c r="I78">
        <f t="shared" ref="I78:J79" si="97">I77</f>
        <v>20.299550139690801</v>
      </c>
      <c r="J78" t="e">
        <f t="shared" si="97"/>
        <v>#DIV/0!</v>
      </c>
      <c r="K78">
        <f>I2</f>
        <v>31.413881999341349</v>
      </c>
      <c r="L78">
        <f>I14</f>
        <v>16.021941509135768</v>
      </c>
      <c r="M78">
        <f t="shared" si="82"/>
        <v>-11.114331859650548</v>
      </c>
      <c r="N78">
        <f t="shared" si="83"/>
        <v>4.2776086305550329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>
        <f t="shared" si="97"/>
        <v>20.299550139690801</v>
      </c>
      <c r="J79" t="e">
        <f t="shared" ref="J79" si="98">J77</f>
        <v>#DIV/0!</v>
      </c>
      <c r="K79">
        <f>I2</f>
        <v>31.413881999341349</v>
      </c>
      <c r="L79">
        <f>I14</f>
        <v>16.021941509135768</v>
      </c>
      <c r="M79">
        <f t="shared" si="82"/>
        <v>-11.114331859650548</v>
      </c>
      <c r="N79">
        <f t="shared" si="83"/>
        <v>4.2776086305550329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29.990101556005399</v>
      </c>
      <c r="F80" s="17" t="s">
        <v>111</v>
      </c>
      <c r="G80" s="20" t="s">
        <v>18</v>
      </c>
      <c r="H80" s="17">
        <v>149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31.159664644382499</v>
      </c>
      <c r="L80" s="17">
        <f>I20</f>
        <v>17.6039737779174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31.941947734532199</v>
      </c>
      <c r="F81" s="17" t="s">
        <v>112</v>
      </c>
      <c r="G81" s="20" t="s">
        <v>18</v>
      </c>
      <c r="H81" s="17">
        <v>149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31.159664644382499</v>
      </c>
      <c r="L81" s="17">
        <f>I20</f>
        <v>17.6039737779174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35.231481228171504</v>
      </c>
      <c r="F82" s="17" t="s">
        <v>113</v>
      </c>
      <c r="G82" s="20" t="s">
        <v>18</v>
      </c>
      <c r="H82" s="17">
        <v>149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31.159664644382499</v>
      </c>
      <c r="L82" s="17">
        <f>I20</f>
        <v>17.6039737779174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31.159664644382499</v>
      </c>
      <c r="L83">
        <f>I20</f>
        <v>17.6039737779174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31.159664644382499</v>
      </c>
      <c r="L84">
        <f>I20</f>
        <v>17.6039737779174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31.159664644382499</v>
      </c>
      <c r="L85">
        <f>I20</f>
        <v>17.6039737779174</v>
      </c>
      <c r="M85" t="e">
        <f t="shared" si="82"/>
        <v>#DIV/0!</v>
      </c>
      <c r="N85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>
        <v>146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31.413881999341349</v>
      </c>
      <c r="L86" s="17">
        <f>I14</f>
        <v>16.021941509135768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36.096393607833399</v>
      </c>
      <c r="F87" s="17" t="s">
        <v>118</v>
      </c>
      <c r="G87" s="21" t="s">
        <v>19</v>
      </c>
      <c r="H87" s="17">
        <v>146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31.413881999341349</v>
      </c>
      <c r="L87" s="17">
        <f>I14</f>
        <v>16.021941509135768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36.819878099454201</v>
      </c>
      <c r="F88" s="17" t="s">
        <v>119</v>
      </c>
      <c r="G88" s="21" t="s">
        <v>19</v>
      </c>
      <c r="H88" s="17">
        <v>146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31.413881999341349</v>
      </c>
      <c r="L88" s="17">
        <f>I14</f>
        <v>16.021941509135768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31.413881999341349</v>
      </c>
      <c r="L89">
        <f>I14</f>
        <v>16.021941509135768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31.413881999341349</v>
      </c>
      <c r="L90">
        <f>I14</f>
        <v>16.021941509135768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31.413881999341349</v>
      </c>
      <c r="L91">
        <f>I14</f>
        <v>16.021941509135768</v>
      </c>
      <c r="M91" t="e">
        <f t="shared" si="82"/>
        <v>#DIV/0!</v>
      </c>
      <c r="N91" t="e">
        <f t="shared" si="8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31.1287911157441</v>
      </c>
      <c r="E92">
        <v>31.1287911157441</v>
      </c>
      <c r="F92" t="s">
        <v>123</v>
      </c>
      <c r="G92" s="6" t="s">
        <v>19</v>
      </c>
      <c r="H92">
        <v>149</v>
      </c>
      <c r="I92">
        <f t="shared" ref="I92" si="115">AVERAGE(D92:D94)</f>
        <v>30.706324021020333</v>
      </c>
      <c r="J92">
        <f t="shared" ref="J92" si="116">STDEV(D92:D94)</f>
        <v>0.3660195945596536</v>
      </c>
      <c r="K92">
        <f>I8</f>
        <v>31.159664644382499</v>
      </c>
      <c r="L92">
        <f>I20</f>
        <v>17.6039737779174</v>
      </c>
      <c r="M92">
        <f t="shared" si="82"/>
        <v>-0.45334062336216618</v>
      </c>
      <c r="N92">
        <f t="shared" si="83"/>
        <v>13.102350243102933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30.484530691067999</v>
      </c>
      <c r="E93">
        <v>30.484530691067999</v>
      </c>
      <c r="F93" t="s">
        <v>124</v>
      </c>
      <c r="G93" s="6" t="s">
        <v>19</v>
      </c>
      <c r="H93">
        <v>149</v>
      </c>
      <c r="I93">
        <f t="shared" ref="I93:J93" si="117">I92</f>
        <v>30.706324021020333</v>
      </c>
      <c r="J93">
        <f t="shared" si="117"/>
        <v>0.3660195945596536</v>
      </c>
      <c r="K93">
        <f>I8</f>
        <v>31.159664644382499</v>
      </c>
      <c r="L93">
        <f>I20</f>
        <v>17.6039737779174</v>
      </c>
      <c r="M93">
        <f t="shared" si="82"/>
        <v>-0.45334062336216618</v>
      </c>
      <c r="N93">
        <f t="shared" si="83"/>
        <v>13.102350243102933</v>
      </c>
    </row>
    <row r="94" spans="1:14" ht="17" thickBot="1" x14ac:dyDescent="0.25">
      <c r="A94" t="s">
        <v>125</v>
      </c>
      <c r="B94" t="s">
        <v>129</v>
      </c>
      <c r="C94" t="s">
        <v>32</v>
      </c>
      <c r="D94">
        <v>30.505650256248899</v>
      </c>
      <c r="E94">
        <v>30.505650256248899</v>
      </c>
      <c r="F94" t="s">
        <v>125</v>
      </c>
      <c r="G94" s="6" t="s">
        <v>19</v>
      </c>
      <c r="H94">
        <v>149</v>
      </c>
      <c r="I94">
        <f t="shared" ref="I94:J94" si="118">I92</f>
        <v>30.706324021020333</v>
      </c>
      <c r="J94">
        <f t="shared" si="118"/>
        <v>0.3660195945596536</v>
      </c>
      <c r="K94">
        <f>I8</f>
        <v>31.159664644382499</v>
      </c>
      <c r="L94">
        <f>I20</f>
        <v>17.6039737779174</v>
      </c>
      <c r="M94">
        <f t="shared" si="82"/>
        <v>-0.45334062336216618</v>
      </c>
      <c r="N94">
        <f t="shared" si="83"/>
        <v>13.102350243102933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31.159664644382499</v>
      </c>
      <c r="L95">
        <f>I20</f>
        <v>17.6039737779174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31.159664644382499</v>
      </c>
      <c r="L96">
        <f>I20</f>
        <v>17.6039737779174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31.159664644382499</v>
      </c>
      <c r="L97">
        <f>I20</f>
        <v>17.6039737779174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3" priority="1" operator="greaterThan">
      <formula>0.3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C885-1C77-BF4A-8D29-644ACD3CB27D}">
  <dimension ref="A1:N97"/>
  <sheetViews>
    <sheetView topLeftCell="A42" workbookViewId="0">
      <selection activeCell="A71" sqref="A71:XFD73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31.313349813752701</v>
      </c>
      <c r="E2">
        <v>31.313349813752701</v>
      </c>
      <c r="F2" t="s">
        <v>31</v>
      </c>
      <c r="G2" s="9" t="s">
        <v>9</v>
      </c>
      <c r="H2">
        <v>152</v>
      </c>
      <c r="I2">
        <f>AVERAGE(D2:D4)</f>
        <v>31.457180626877303</v>
      </c>
      <c r="J2">
        <f>STDEV(D2:D4)</f>
        <v>0.20340748660795949</v>
      </c>
      <c r="K2">
        <f>I2</f>
        <v>31.457180626877303</v>
      </c>
      <c r="L2">
        <f>I14</f>
        <v>15.752472219011901</v>
      </c>
      <c r="M2">
        <f>I2-K2</f>
        <v>0</v>
      </c>
      <c r="N2">
        <f>I2-L2</f>
        <v>15.704708407865402</v>
      </c>
    </row>
    <row r="3" spans="1:14" ht="17" thickBot="1" x14ac:dyDescent="0.25">
      <c r="A3" t="s">
        <v>34</v>
      </c>
      <c r="B3" t="s">
        <v>129</v>
      </c>
      <c r="C3" t="s">
        <v>32</v>
      </c>
      <c r="E3">
        <v>30.438588487119699</v>
      </c>
      <c r="F3" t="s">
        <v>34</v>
      </c>
      <c r="G3" s="9" t="s">
        <v>9</v>
      </c>
      <c r="H3">
        <v>152</v>
      </c>
      <c r="I3">
        <f>I2</f>
        <v>31.457180626877303</v>
      </c>
      <c r="J3">
        <f>J2</f>
        <v>0.20340748660795949</v>
      </c>
      <c r="K3">
        <f>I2</f>
        <v>31.457180626877303</v>
      </c>
      <c r="L3">
        <f>I14</f>
        <v>15.752472219011901</v>
      </c>
      <c r="M3">
        <f t="shared" ref="M3:M66" si="0">I3-K3</f>
        <v>0</v>
      </c>
      <c r="N3">
        <f t="shared" ref="N3:N66" si="1">I3-L3</f>
        <v>15.704708407865402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31.601011440001901</v>
      </c>
      <c r="E4">
        <v>31.601011440001901</v>
      </c>
      <c r="F4" t="s">
        <v>35</v>
      </c>
      <c r="G4" s="9" t="s">
        <v>9</v>
      </c>
      <c r="H4">
        <v>152</v>
      </c>
      <c r="I4">
        <f>I2</f>
        <v>31.457180626877303</v>
      </c>
      <c r="J4">
        <f>J2</f>
        <v>0.20340748660795949</v>
      </c>
      <c r="K4">
        <f>I2</f>
        <v>31.457180626877303</v>
      </c>
      <c r="L4">
        <f>I14</f>
        <v>15.752472219011901</v>
      </c>
      <c r="M4">
        <f t="shared" si="0"/>
        <v>0</v>
      </c>
      <c r="N4">
        <f t="shared" si="1"/>
        <v>15.704708407865402</v>
      </c>
    </row>
    <row r="5" spans="1:14" ht="17" thickBot="1" x14ac:dyDescent="0.25">
      <c r="A5" t="s">
        <v>36</v>
      </c>
      <c r="B5" t="s">
        <v>129</v>
      </c>
      <c r="C5" t="s">
        <v>32</v>
      </c>
      <c r="E5">
        <v>29.744981672022401</v>
      </c>
      <c r="F5" t="s">
        <v>36</v>
      </c>
      <c r="G5" s="2" t="s">
        <v>20</v>
      </c>
      <c r="H5">
        <v>152</v>
      </c>
      <c r="I5">
        <f>AVERAGE(D5:D7)</f>
        <v>31.932492268298851</v>
      </c>
      <c r="J5">
        <f>STDEV(D5:D7)</f>
        <v>0.44794467415082811</v>
      </c>
      <c r="K5">
        <f>I2</f>
        <v>31.457180626877303</v>
      </c>
      <c r="L5">
        <f>I14</f>
        <v>15.752472219011901</v>
      </c>
      <c r="M5">
        <f t="shared" si="0"/>
        <v>0.47531164142154836</v>
      </c>
      <c r="N5">
        <f t="shared" si="1"/>
        <v>16.180020049286952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32.249236984987299</v>
      </c>
      <c r="E6">
        <v>32.249236984987299</v>
      </c>
      <c r="F6" t="s">
        <v>37</v>
      </c>
      <c r="G6" s="2" t="s">
        <v>20</v>
      </c>
      <c r="H6">
        <v>152</v>
      </c>
      <c r="I6">
        <f>I5</f>
        <v>31.932492268298851</v>
      </c>
      <c r="J6">
        <f>J5</f>
        <v>0.44794467415082811</v>
      </c>
      <c r="K6">
        <f>I2</f>
        <v>31.457180626877303</v>
      </c>
      <c r="L6">
        <f>I14</f>
        <v>15.752472219011901</v>
      </c>
      <c r="M6">
        <f t="shared" si="0"/>
        <v>0.47531164142154836</v>
      </c>
      <c r="N6">
        <f t="shared" si="1"/>
        <v>16.180020049286952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31.615747551610401</v>
      </c>
      <c r="E7">
        <v>31.615747551610401</v>
      </c>
      <c r="F7" t="s">
        <v>38</v>
      </c>
      <c r="G7" s="2" t="s">
        <v>20</v>
      </c>
      <c r="H7">
        <v>152</v>
      </c>
      <c r="I7">
        <f>I6</f>
        <v>31.932492268298851</v>
      </c>
      <c r="J7">
        <f>J5</f>
        <v>0.44794467415082811</v>
      </c>
      <c r="K7">
        <f>I2</f>
        <v>31.457180626877303</v>
      </c>
      <c r="L7">
        <f>I14</f>
        <v>15.752472219011901</v>
      </c>
      <c r="M7">
        <f t="shared" si="0"/>
        <v>0.47531164142154836</v>
      </c>
      <c r="N7">
        <f t="shared" si="1"/>
        <v>16.180020049286952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30.554121573213202</v>
      </c>
      <c r="E8">
        <v>30.554121573213202</v>
      </c>
      <c r="F8" t="s">
        <v>39</v>
      </c>
      <c r="G8" s="9" t="s">
        <v>9</v>
      </c>
      <c r="H8">
        <v>153</v>
      </c>
      <c r="I8">
        <f t="shared" ref="I8" si="2">AVERAGE(D8:D10)</f>
        <v>30.519736584875403</v>
      </c>
      <c r="J8">
        <f t="shared" ref="J8" si="3">STDEV(D8:D10)</f>
        <v>4.8627716849357808E-2</v>
      </c>
      <c r="K8">
        <f>I8</f>
        <v>30.519736584875403</v>
      </c>
      <c r="L8">
        <f>I20</f>
        <v>17.1057291061623</v>
      </c>
      <c r="M8">
        <f t="shared" si="0"/>
        <v>0</v>
      </c>
      <c r="N8">
        <f t="shared" si="1"/>
        <v>13.414007478713103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30.485351596537601</v>
      </c>
      <c r="E9">
        <v>30.485351596537601</v>
      </c>
      <c r="F9" t="s">
        <v>40</v>
      </c>
      <c r="G9" s="9" t="s">
        <v>9</v>
      </c>
      <c r="H9">
        <v>153</v>
      </c>
      <c r="I9">
        <f t="shared" ref="I9:J9" si="4">I8</f>
        <v>30.519736584875403</v>
      </c>
      <c r="J9">
        <f t="shared" si="4"/>
        <v>4.8627716849357808E-2</v>
      </c>
      <c r="K9">
        <f>I8</f>
        <v>30.519736584875403</v>
      </c>
      <c r="L9">
        <f>I20</f>
        <v>17.1057291061623</v>
      </c>
      <c r="M9">
        <f t="shared" si="0"/>
        <v>0</v>
      </c>
      <c r="N9">
        <f t="shared" si="1"/>
        <v>13.414007478713103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31.165056819132499</v>
      </c>
      <c r="F10" t="s">
        <v>41</v>
      </c>
      <c r="G10" s="9" t="s">
        <v>9</v>
      </c>
      <c r="H10">
        <v>153</v>
      </c>
      <c r="I10">
        <f t="shared" ref="I10:J10" si="5">I8</f>
        <v>30.519736584875403</v>
      </c>
      <c r="J10">
        <f t="shared" si="5"/>
        <v>4.8627716849357808E-2</v>
      </c>
      <c r="K10">
        <f>I8</f>
        <v>30.519736584875403</v>
      </c>
      <c r="L10">
        <f>I20</f>
        <v>17.1057291061623</v>
      </c>
      <c r="M10">
        <f t="shared" si="0"/>
        <v>0</v>
      </c>
      <c r="N10">
        <f t="shared" si="1"/>
        <v>13.414007478713103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31.242481973638199</v>
      </c>
      <c r="F11" s="17" t="s">
        <v>42</v>
      </c>
      <c r="G11" s="18" t="s">
        <v>20</v>
      </c>
      <c r="H11" s="17">
        <v>153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30.519736584875403</v>
      </c>
      <c r="L11" s="17">
        <f>I20</f>
        <v>17.1057291061623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153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30.519736584875403</v>
      </c>
      <c r="L12" s="17">
        <f>I20</f>
        <v>17.1057291061623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17.040398274866899</v>
      </c>
      <c r="F13" s="17" t="s">
        <v>44</v>
      </c>
      <c r="G13" s="18" t="s">
        <v>20</v>
      </c>
      <c r="H13" s="17">
        <v>153</v>
      </c>
      <c r="I13" s="17" t="e">
        <f t="shared" si="8"/>
        <v>#DIV/0!</v>
      </c>
      <c r="J13" s="17" t="e">
        <f t="shared" ref="J13" si="9">J11</f>
        <v>#DIV/0!</v>
      </c>
      <c r="K13" s="17">
        <f>I8</f>
        <v>30.519736584875403</v>
      </c>
      <c r="L13" s="17">
        <f>I20</f>
        <v>17.1057291061623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15.9122373210992</v>
      </c>
      <c r="E14">
        <v>15.9122373210992</v>
      </c>
      <c r="F14" t="s">
        <v>45</v>
      </c>
      <c r="G14" s="11" t="s">
        <v>8</v>
      </c>
      <c r="H14">
        <v>152</v>
      </c>
      <c r="I14">
        <f t="shared" ref="I14" si="10">AVERAGE(D14:D16)</f>
        <v>15.752472219011901</v>
      </c>
      <c r="J14">
        <f t="shared" ref="J14" si="11">STDEV(D14:D16)</f>
        <v>0.15125707876514993</v>
      </c>
      <c r="K14">
        <f>I2</f>
        <v>31.457180626877303</v>
      </c>
      <c r="L14">
        <f>I14</f>
        <v>15.752472219011901</v>
      </c>
      <c r="M14">
        <f t="shared" si="0"/>
        <v>-15.704708407865402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15.7337046251624</v>
      </c>
      <c r="E15">
        <v>15.7337046251624</v>
      </c>
      <c r="F15" t="s">
        <v>46</v>
      </c>
      <c r="G15" s="11" t="s">
        <v>8</v>
      </c>
      <c r="H15">
        <v>152</v>
      </c>
      <c r="I15">
        <f t="shared" ref="I15:J15" si="12">I14</f>
        <v>15.752472219011901</v>
      </c>
      <c r="J15">
        <f t="shared" si="12"/>
        <v>0.15125707876514993</v>
      </c>
      <c r="K15">
        <f>I2</f>
        <v>31.457180626877303</v>
      </c>
      <c r="L15">
        <f>I14</f>
        <v>15.752472219011901</v>
      </c>
      <c r="M15">
        <f t="shared" si="0"/>
        <v>-15.704708407865402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15.6114747107741</v>
      </c>
      <c r="E16">
        <v>15.6114747107741</v>
      </c>
      <c r="F16" t="s">
        <v>47</v>
      </c>
      <c r="G16" s="11" t="s">
        <v>8</v>
      </c>
      <c r="H16">
        <v>152</v>
      </c>
      <c r="I16">
        <f t="shared" ref="I16:J16" si="13">I14</f>
        <v>15.752472219011901</v>
      </c>
      <c r="J16">
        <f t="shared" si="13"/>
        <v>0.15125707876514993</v>
      </c>
      <c r="K16">
        <f>I2</f>
        <v>31.457180626877303</v>
      </c>
      <c r="L16">
        <f>I14</f>
        <v>15.752472219011901</v>
      </c>
      <c r="M16">
        <f t="shared" si="0"/>
        <v>-15.704708407865402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E17">
        <v>33.305586879217898</v>
      </c>
      <c r="F17" t="s">
        <v>48</v>
      </c>
      <c r="G17" s="1" t="s">
        <v>21</v>
      </c>
      <c r="H17">
        <v>152</v>
      </c>
      <c r="I17">
        <f t="shared" ref="I17" si="14">AVERAGE(D17:D19)</f>
        <v>33.846475291488446</v>
      </c>
      <c r="J17">
        <f t="shared" ref="J17" si="15">STDEV(D17:D19)</f>
        <v>0.1325240399684775</v>
      </c>
      <c r="K17">
        <f>I2</f>
        <v>31.457180626877303</v>
      </c>
      <c r="L17">
        <f>I14</f>
        <v>15.752472219011901</v>
      </c>
      <c r="M17">
        <f t="shared" si="0"/>
        <v>2.3892946646111426</v>
      </c>
      <c r="N17">
        <f t="shared" si="1"/>
        <v>18.094003072476546</v>
      </c>
    </row>
    <row r="18" spans="1:14" x14ac:dyDescent="0.2">
      <c r="A18" t="s">
        <v>49</v>
      </c>
      <c r="B18" t="s">
        <v>129</v>
      </c>
      <c r="C18" t="s">
        <v>32</v>
      </c>
      <c r="D18">
        <v>33.752766644156502</v>
      </c>
      <c r="E18">
        <v>33.752766644156502</v>
      </c>
      <c r="F18" t="s">
        <v>49</v>
      </c>
      <c r="G18" s="1" t="s">
        <v>21</v>
      </c>
      <c r="H18">
        <v>152</v>
      </c>
      <c r="I18">
        <f t="shared" ref="I18:J19" si="16">I17</f>
        <v>33.846475291488446</v>
      </c>
      <c r="J18">
        <f t="shared" si="16"/>
        <v>0.1325240399684775</v>
      </c>
      <c r="K18">
        <f>I2</f>
        <v>31.457180626877303</v>
      </c>
      <c r="L18">
        <f>I14</f>
        <v>15.752472219011901</v>
      </c>
      <c r="M18">
        <f t="shared" si="0"/>
        <v>2.3892946646111426</v>
      </c>
      <c r="N18">
        <f t="shared" si="1"/>
        <v>18.094003072476546</v>
      </c>
    </row>
    <row r="19" spans="1:14" x14ac:dyDescent="0.2">
      <c r="A19" t="s">
        <v>50</v>
      </c>
      <c r="B19" t="s">
        <v>129</v>
      </c>
      <c r="C19" t="s">
        <v>32</v>
      </c>
      <c r="D19">
        <v>33.940183938820397</v>
      </c>
      <c r="E19">
        <v>33.940183938820397</v>
      </c>
      <c r="F19" t="s">
        <v>50</v>
      </c>
      <c r="G19" s="1" t="s">
        <v>21</v>
      </c>
      <c r="H19">
        <v>152</v>
      </c>
      <c r="I19">
        <f t="shared" si="16"/>
        <v>33.846475291488446</v>
      </c>
      <c r="J19">
        <f t="shared" ref="J19" si="17">J17</f>
        <v>0.1325240399684775</v>
      </c>
      <c r="K19">
        <f>I2</f>
        <v>31.457180626877303</v>
      </c>
      <c r="L19">
        <f>I14</f>
        <v>15.752472219011901</v>
      </c>
      <c r="M19">
        <f t="shared" si="0"/>
        <v>2.3892946646111426</v>
      </c>
      <c r="N19">
        <f t="shared" si="1"/>
        <v>18.094003072476546</v>
      </c>
    </row>
    <row r="20" spans="1:14" x14ac:dyDescent="0.2">
      <c r="A20" t="s">
        <v>51</v>
      </c>
      <c r="B20" t="s">
        <v>129</v>
      </c>
      <c r="C20" t="s">
        <v>32</v>
      </c>
      <c r="D20">
        <v>17.147240237243299</v>
      </c>
      <c r="E20">
        <v>17.147240237243299</v>
      </c>
      <c r="F20" t="s">
        <v>51</v>
      </c>
      <c r="G20" s="11" t="s">
        <v>8</v>
      </c>
      <c r="H20">
        <v>153</v>
      </c>
      <c r="I20">
        <f t="shared" ref="I20" si="18">AVERAGE(D20:D22)</f>
        <v>17.1057291061623</v>
      </c>
      <c r="J20">
        <f t="shared" ref="J20" si="19">STDEV(D20:D22)</f>
        <v>8.4256347310474738E-2</v>
      </c>
      <c r="K20">
        <f>I8</f>
        <v>30.519736584875403</v>
      </c>
      <c r="L20">
        <f>I20</f>
        <v>17.1057291061623</v>
      </c>
      <c r="M20">
        <f t="shared" si="0"/>
        <v>-13.414007478713103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17.008771496296301</v>
      </c>
      <c r="E21">
        <v>17.008771496296301</v>
      </c>
      <c r="F21" t="s">
        <v>52</v>
      </c>
      <c r="G21" s="11" t="s">
        <v>8</v>
      </c>
      <c r="H21">
        <v>153</v>
      </c>
      <c r="I21">
        <f t="shared" ref="I21:J21" si="20">I20</f>
        <v>17.1057291061623</v>
      </c>
      <c r="J21">
        <f t="shared" si="20"/>
        <v>8.4256347310474738E-2</v>
      </c>
      <c r="K21">
        <f>I8</f>
        <v>30.519736584875403</v>
      </c>
      <c r="L21">
        <f>I20</f>
        <v>17.1057291061623</v>
      </c>
      <c r="M21">
        <f t="shared" si="0"/>
        <v>-13.414007478713103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17.161175584947301</v>
      </c>
      <c r="E22">
        <v>17.161175584947301</v>
      </c>
      <c r="F22" t="s">
        <v>53</v>
      </c>
      <c r="G22" s="11" t="s">
        <v>8</v>
      </c>
      <c r="H22">
        <v>153</v>
      </c>
      <c r="I22">
        <f t="shared" ref="I22:J22" si="21">I20</f>
        <v>17.1057291061623</v>
      </c>
      <c r="J22">
        <f t="shared" si="21"/>
        <v>8.4256347310474738E-2</v>
      </c>
      <c r="K22">
        <f>I8</f>
        <v>30.519736584875403</v>
      </c>
      <c r="L22">
        <f>I20</f>
        <v>17.1057291061623</v>
      </c>
      <c r="M22">
        <f t="shared" si="0"/>
        <v>-13.414007478713103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33.287139369929697</v>
      </c>
      <c r="F23" s="17" t="s">
        <v>54</v>
      </c>
      <c r="G23" s="19" t="s">
        <v>21</v>
      </c>
      <c r="H23" s="17">
        <v>153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30.519736584875403</v>
      </c>
      <c r="L23" s="17">
        <f>I20</f>
        <v>17.1057291061623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 t="s">
        <v>33</v>
      </c>
      <c r="F24" s="17" t="s">
        <v>55</v>
      </c>
      <c r="G24" s="19" t="s">
        <v>21</v>
      </c>
      <c r="H24" s="17">
        <v>153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30.519736584875403</v>
      </c>
      <c r="L24" s="17">
        <f>I20</f>
        <v>17.1057291061623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 t="s">
        <v>33</v>
      </c>
      <c r="F25" s="17" t="s">
        <v>56</v>
      </c>
      <c r="G25" s="19" t="s">
        <v>21</v>
      </c>
      <c r="H25" s="17">
        <v>153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30.519736584875403</v>
      </c>
      <c r="L25" s="17">
        <f>I20</f>
        <v>17.1057291061623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D26">
        <v>31.632673754333702</v>
      </c>
      <c r="E26">
        <v>31.632673754333702</v>
      </c>
      <c r="F26" t="s">
        <v>57</v>
      </c>
      <c r="G26" s="4" t="s">
        <v>14</v>
      </c>
      <c r="H26">
        <v>152</v>
      </c>
      <c r="I26">
        <f t="shared" ref="I26" si="26">AVERAGE(D26:D28)</f>
        <v>31.459608594438002</v>
      </c>
      <c r="J26">
        <f t="shared" ref="J26" si="27">STDEV(D26:D28)</f>
        <v>0.24475109629876915</v>
      </c>
      <c r="K26">
        <f>I2</f>
        <v>31.457180626877303</v>
      </c>
      <c r="L26">
        <f>I14</f>
        <v>15.752472219011901</v>
      </c>
      <c r="M26">
        <f t="shared" si="0"/>
        <v>2.4279675606990736E-3</v>
      </c>
      <c r="N26">
        <f t="shared" si="1"/>
        <v>15.707136375426101</v>
      </c>
    </row>
    <row r="27" spans="1:14" x14ac:dyDescent="0.2">
      <c r="A27" t="s">
        <v>58</v>
      </c>
      <c r="B27" t="s">
        <v>129</v>
      </c>
      <c r="C27" t="s">
        <v>32</v>
      </c>
      <c r="E27">
        <v>33.376845553575997</v>
      </c>
      <c r="F27" t="s">
        <v>58</v>
      </c>
      <c r="G27" s="4" t="s">
        <v>14</v>
      </c>
      <c r="H27">
        <v>152</v>
      </c>
      <c r="I27">
        <f t="shared" ref="I27:J27" si="28">I26</f>
        <v>31.459608594438002</v>
      </c>
      <c r="J27">
        <f t="shared" si="28"/>
        <v>0.24475109629876915</v>
      </c>
      <c r="K27">
        <f>I2</f>
        <v>31.457180626877303</v>
      </c>
      <c r="L27">
        <f>I14</f>
        <v>15.752472219011901</v>
      </c>
      <c r="M27">
        <f t="shared" si="0"/>
        <v>2.4279675606990736E-3</v>
      </c>
      <c r="N27">
        <f t="shared" si="1"/>
        <v>15.707136375426101</v>
      </c>
    </row>
    <row r="28" spans="1:14" x14ac:dyDescent="0.2">
      <c r="A28" t="s">
        <v>59</v>
      </c>
      <c r="B28" t="s">
        <v>129</v>
      </c>
      <c r="C28" t="s">
        <v>32</v>
      </c>
      <c r="D28">
        <v>31.286543434542299</v>
      </c>
      <c r="E28">
        <v>31.286543434542299</v>
      </c>
      <c r="F28" t="s">
        <v>59</v>
      </c>
      <c r="G28" s="4" t="s">
        <v>14</v>
      </c>
      <c r="H28">
        <v>152</v>
      </c>
      <c r="I28">
        <f t="shared" ref="I28:J28" si="29">I26</f>
        <v>31.459608594438002</v>
      </c>
      <c r="J28">
        <f t="shared" si="29"/>
        <v>0.24475109629876915</v>
      </c>
      <c r="K28">
        <f>I2</f>
        <v>31.457180626877303</v>
      </c>
      <c r="L28">
        <f>I14</f>
        <v>15.752472219011901</v>
      </c>
      <c r="M28">
        <f t="shared" si="0"/>
        <v>2.4279675606990736E-3</v>
      </c>
      <c r="N28">
        <f t="shared" si="1"/>
        <v>15.707136375426101</v>
      </c>
    </row>
    <row r="29" spans="1:14" x14ac:dyDescent="0.2">
      <c r="A29" t="s">
        <v>60</v>
      </c>
      <c r="B29" t="s">
        <v>129</v>
      </c>
      <c r="C29" t="s">
        <v>32</v>
      </c>
      <c r="D29">
        <v>32.2042339033746</v>
      </c>
      <c r="E29">
        <v>32.2042339033746</v>
      </c>
      <c r="F29" t="s">
        <v>60</v>
      </c>
      <c r="G29" s="1" t="s">
        <v>23</v>
      </c>
      <c r="H29">
        <v>152</v>
      </c>
      <c r="I29">
        <f t="shared" ref="I29" si="30">AVERAGE(D29:D31)</f>
        <v>32.096803829618949</v>
      </c>
      <c r="J29">
        <f t="shared" ref="J29" si="31">STDEV(D29:D31)</f>
        <v>0.15192906731198144</v>
      </c>
      <c r="K29">
        <f>I2</f>
        <v>31.457180626877303</v>
      </c>
      <c r="L29">
        <f>I14</f>
        <v>15.752472219011901</v>
      </c>
      <c r="M29">
        <f t="shared" si="0"/>
        <v>0.63962320274164597</v>
      </c>
      <c r="N29">
        <f t="shared" si="1"/>
        <v>16.34433161060705</v>
      </c>
    </row>
    <row r="30" spans="1:14" x14ac:dyDescent="0.2">
      <c r="A30" t="s">
        <v>61</v>
      </c>
      <c r="B30" t="s">
        <v>129</v>
      </c>
      <c r="C30" t="s">
        <v>32</v>
      </c>
      <c r="E30">
        <v>31.410680070992498</v>
      </c>
      <c r="F30" t="s">
        <v>61</v>
      </c>
      <c r="G30" s="1" t="s">
        <v>23</v>
      </c>
      <c r="H30">
        <v>152</v>
      </c>
      <c r="I30">
        <f t="shared" ref="I30:J31" si="32">I29</f>
        <v>32.096803829618949</v>
      </c>
      <c r="J30">
        <f t="shared" si="32"/>
        <v>0.15192906731198144</v>
      </c>
      <c r="K30">
        <f>I2</f>
        <v>31.457180626877303</v>
      </c>
      <c r="L30">
        <f>I14</f>
        <v>15.752472219011901</v>
      </c>
      <c r="M30">
        <f t="shared" si="0"/>
        <v>0.63962320274164597</v>
      </c>
      <c r="N30">
        <f t="shared" si="1"/>
        <v>16.34433161060705</v>
      </c>
    </row>
    <row r="31" spans="1:14" x14ac:dyDescent="0.2">
      <c r="A31" t="s">
        <v>62</v>
      </c>
      <c r="B31" t="s">
        <v>129</v>
      </c>
      <c r="C31" t="s">
        <v>32</v>
      </c>
      <c r="D31">
        <v>31.989373755863301</v>
      </c>
      <c r="E31">
        <v>31.989373755863301</v>
      </c>
      <c r="F31" t="s">
        <v>62</v>
      </c>
      <c r="G31" s="1" t="s">
        <v>23</v>
      </c>
      <c r="H31">
        <v>152</v>
      </c>
      <c r="I31">
        <f t="shared" si="32"/>
        <v>32.096803829618949</v>
      </c>
      <c r="J31">
        <f t="shared" ref="J31" si="33">J29</f>
        <v>0.15192906731198144</v>
      </c>
      <c r="K31">
        <f>I2</f>
        <v>31.457180626877303</v>
      </c>
      <c r="L31">
        <f>I14</f>
        <v>15.752472219011901</v>
      </c>
      <c r="M31">
        <f t="shared" si="0"/>
        <v>0.63962320274164597</v>
      </c>
      <c r="N31">
        <f t="shared" si="1"/>
        <v>16.34433161060705</v>
      </c>
    </row>
    <row r="32" spans="1:14" x14ac:dyDescent="0.2">
      <c r="A32" t="s">
        <v>63</v>
      </c>
      <c r="B32" t="s">
        <v>129</v>
      </c>
      <c r="C32" t="s">
        <v>32</v>
      </c>
      <c r="E32">
        <v>30.221905558304101</v>
      </c>
      <c r="F32" t="s">
        <v>63</v>
      </c>
      <c r="G32" s="4" t="s">
        <v>14</v>
      </c>
      <c r="H32">
        <v>153</v>
      </c>
      <c r="I32">
        <f t="shared" ref="I32" si="34">AVERAGE(D32:D34)</f>
        <v>32.908281417683853</v>
      </c>
      <c r="J32">
        <f t="shared" ref="J32" si="35">STDEV(D32:D34)</f>
        <v>0.23388781706057482</v>
      </c>
      <c r="K32">
        <f>I8</f>
        <v>30.519736584875403</v>
      </c>
      <c r="L32">
        <f>I20</f>
        <v>17.1057291061623</v>
      </c>
      <c r="M32">
        <f t="shared" si="0"/>
        <v>2.3885448328084493</v>
      </c>
      <c r="N32">
        <f t="shared" si="1"/>
        <v>15.802552311521552</v>
      </c>
    </row>
    <row r="33" spans="1:14" x14ac:dyDescent="0.2">
      <c r="A33" t="s">
        <v>64</v>
      </c>
      <c r="B33" t="s">
        <v>129</v>
      </c>
      <c r="C33" t="s">
        <v>32</v>
      </c>
      <c r="D33">
        <v>33.0736650791643</v>
      </c>
      <c r="E33">
        <v>33.0736650791643</v>
      </c>
      <c r="F33" t="s">
        <v>64</v>
      </c>
      <c r="G33" s="4" t="s">
        <v>14</v>
      </c>
      <c r="H33">
        <v>153</v>
      </c>
      <c r="I33">
        <f t="shared" ref="I33:J33" si="36">I32</f>
        <v>32.908281417683853</v>
      </c>
      <c r="J33">
        <f t="shared" si="36"/>
        <v>0.23388781706057482</v>
      </c>
      <c r="K33">
        <f>I8</f>
        <v>30.519736584875403</v>
      </c>
      <c r="L33">
        <f>I20</f>
        <v>17.1057291061623</v>
      </c>
      <c r="M33">
        <f t="shared" si="0"/>
        <v>2.3885448328084493</v>
      </c>
      <c r="N33">
        <f t="shared" si="1"/>
        <v>15.802552311521552</v>
      </c>
    </row>
    <row r="34" spans="1:14" x14ac:dyDescent="0.2">
      <c r="A34" t="s">
        <v>65</v>
      </c>
      <c r="B34" t="s">
        <v>129</v>
      </c>
      <c r="C34" t="s">
        <v>32</v>
      </c>
      <c r="D34">
        <v>32.742897756203398</v>
      </c>
      <c r="E34">
        <v>32.742897756203398</v>
      </c>
      <c r="F34" t="s">
        <v>65</v>
      </c>
      <c r="G34" s="4" t="s">
        <v>14</v>
      </c>
      <c r="H34">
        <v>153</v>
      </c>
      <c r="I34">
        <f t="shared" ref="I34:J34" si="37">I32</f>
        <v>32.908281417683853</v>
      </c>
      <c r="J34">
        <f t="shared" si="37"/>
        <v>0.23388781706057482</v>
      </c>
      <c r="K34">
        <f>I8</f>
        <v>30.519736584875403</v>
      </c>
      <c r="L34">
        <f>I20</f>
        <v>17.1057291061623</v>
      </c>
      <c r="M34">
        <f t="shared" si="0"/>
        <v>2.3885448328084493</v>
      </c>
      <c r="N34">
        <f t="shared" si="1"/>
        <v>15.802552311521552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32.547875625894299</v>
      </c>
      <c r="F35" s="17" t="s">
        <v>66</v>
      </c>
      <c r="G35" s="19" t="s">
        <v>23</v>
      </c>
      <c r="H35" s="17">
        <v>153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>
        <f>I8</f>
        <v>30.519736584875403</v>
      </c>
      <c r="L35" s="17">
        <f>I20</f>
        <v>17.1057291061623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34.363338817710499</v>
      </c>
      <c r="F36" s="17" t="s">
        <v>67</v>
      </c>
      <c r="G36" s="19" t="s">
        <v>23</v>
      </c>
      <c r="H36" s="17">
        <v>153</v>
      </c>
      <c r="I36" s="17" t="e">
        <f t="shared" ref="I36:J37" si="40">I35</f>
        <v>#DIV/0!</v>
      </c>
      <c r="J36" s="17" t="e">
        <f t="shared" si="40"/>
        <v>#DIV/0!</v>
      </c>
      <c r="K36" s="17">
        <f>I8</f>
        <v>30.519736584875403</v>
      </c>
      <c r="L36" s="17">
        <f>I20</f>
        <v>17.1057291061623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>
        <v>2.8175493091739101</v>
      </c>
      <c r="F37" s="17" t="s">
        <v>68</v>
      </c>
      <c r="G37" s="19" t="s">
        <v>23</v>
      </c>
      <c r="H37" s="17">
        <v>153</v>
      </c>
      <c r="I37" s="17" t="e">
        <f t="shared" si="40"/>
        <v>#DIV/0!</v>
      </c>
      <c r="J37" s="17" t="e">
        <f t="shared" ref="J37" si="41">J35</f>
        <v>#DIV/0!</v>
      </c>
      <c r="K37" s="17">
        <f>I8</f>
        <v>30.519736584875403</v>
      </c>
      <c r="L37" s="17">
        <f>I20</f>
        <v>17.1057291061623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E38">
        <v>33.564540418918803</v>
      </c>
      <c r="F38" t="s">
        <v>69</v>
      </c>
      <c r="G38" s="4" t="s">
        <v>15</v>
      </c>
      <c r="H38">
        <v>152</v>
      </c>
      <c r="I38">
        <f t="shared" ref="I38" si="42">AVERAGE(D38:D40)</f>
        <v>32.355176676109949</v>
      </c>
      <c r="J38">
        <f t="shared" ref="J38" si="43">STDEV(D38:D40)</f>
        <v>0.33457266320111506</v>
      </c>
      <c r="K38">
        <f>I2</f>
        <v>31.457180626877303</v>
      </c>
      <c r="L38">
        <f>I14</f>
        <v>15.752472219011901</v>
      </c>
      <c r="M38">
        <f t="shared" si="0"/>
        <v>0.89799604923264553</v>
      </c>
      <c r="N38">
        <f t="shared" si="1"/>
        <v>16.602704457098049</v>
      </c>
    </row>
    <row r="39" spans="1:14" x14ac:dyDescent="0.2">
      <c r="A39" t="s">
        <v>70</v>
      </c>
      <c r="B39" t="s">
        <v>129</v>
      </c>
      <c r="C39" t="s">
        <v>32</v>
      </c>
      <c r="D39">
        <v>32.118598077160797</v>
      </c>
      <c r="E39">
        <v>32.118598077160797</v>
      </c>
      <c r="F39" t="s">
        <v>70</v>
      </c>
      <c r="G39" s="4" t="s">
        <v>15</v>
      </c>
      <c r="H39">
        <v>152</v>
      </c>
      <c r="I39">
        <f t="shared" ref="I39:J39" si="44">I38</f>
        <v>32.355176676109949</v>
      </c>
      <c r="J39">
        <f t="shared" si="44"/>
        <v>0.33457266320111506</v>
      </c>
      <c r="K39">
        <f>I2</f>
        <v>31.457180626877303</v>
      </c>
      <c r="L39">
        <f>I14</f>
        <v>15.752472219011901</v>
      </c>
      <c r="M39">
        <f t="shared" si="0"/>
        <v>0.89799604923264553</v>
      </c>
      <c r="N39">
        <f t="shared" si="1"/>
        <v>16.602704457098049</v>
      </c>
    </row>
    <row r="40" spans="1:14" x14ac:dyDescent="0.2">
      <c r="A40" t="s">
        <v>71</v>
      </c>
      <c r="B40" t="s">
        <v>129</v>
      </c>
      <c r="C40" t="s">
        <v>32</v>
      </c>
      <c r="D40">
        <v>32.5917552750591</v>
      </c>
      <c r="E40">
        <v>32.5917552750591</v>
      </c>
      <c r="F40" t="s">
        <v>71</v>
      </c>
      <c r="G40" s="4" t="s">
        <v>15</v>
      </c>
      <c r="H40">
        <v>152</v>
      </c>
      <c r="I40">
        <f t="shared" ref="I40:J40" si="45">I38</f>
        <v>32.355176676109949</v>
      </c>
      <c r="J40">
        <f t="shared" si="45"/>
        <v>0.33457266320111506</v>
      </c>
      <c r="K40">
        <f>I2</f>
        <v>31.457180626877303</v>
      </c>
      <c r="L40">
        <f>I14</f>
        <v>15.752472219011901</v>
      </c>
      <c r="M40">
        <f t="shared" si="0"/>
        <v>0.89799604923264553</v>
      </c>
      <c r="N40">
        <f t="shared" si="1"/>
        <v>16.602704457098049</v>
      </c>
    </row>
    <row r="41" spans="1:14" x14ac:dyDescent="0.2">
      <c r="A41" t="s">
        <v>72</v>
      </c>
      <c r="B41" t="s">
        <v>129</v>
      </c>
      <c r="C41" t="s">
        <v>32</v>
      </c>
      <c r="D41">
        <v>34.317577884990598</v>
      </c>
      <c r="E41">
        <v>34.317577884990598</v>
      </c>
      <c r="F41" t="s">
        <v>72</v>
      </c>
      <c r="G41" s="1" t="s">
        <v>22</v>
      </c>
      <c r="H41">
        <v>152</v>
      </c>
      <c r="I41">
        <f t="shared" ref="I41" si="46">AVERAGE(D41:D43)</f>
        <v>34.118530095924797</v>
      </c>
      <c r="J41">
        <f t="shared" ref="J41" si="47">STDEV(D41:D43)</f>
        <v>0.28149608285723027</v>
      </c>
      <c r="K41">
        <f>I2</f>
        <v>31.457180626877303</v>
      </c>
      <c r="L41">
        <f>I14</f>
        <v>15.752472219011901</v>
      </c>
      <c r="M41">
        <f t="shared" si="0"/>
        <v>2.6613494690474937</v>
      </c>
      <c r="N41">
        <f t="shared" si="1"/>
        <v>18.366057876912897</v>
      </c>
    </row>
    <row r="42" spans="1:14" x14ac:dyDescent="0.2">
      <c r="A42" t="s">
        <v>73</v>
      </c>
      <c r="B42" t="s">
        <v>129</v>
      </c>
      <c r="C42" t="s">
        <v>32</v>
      </c>
      <c r="E42">
        <v>39.385375916315397</v>
      </c>
      <c r="F42" t="s">
        <v>73</v>
      </c>
      <c r="G42" s="1" t="s">
        <v>22</v>
      </c>
      <c r="H42">
        <v>152</v>
      </c>
      <c r="I42">
        <f t="shared" ref="I42:J43" si="48">I41</f>
        <v>34.118530095924797</v>
      </c>
      <c r="J42">
        <f t="shared" si="48"/>
        <v>0.28149608285723027</v>
      </c>
      <c r="K42">
        <f>I2</f>
        <v>31.457180626877303</v>
      </c>
      <c r="L42">
        <f>I14</f>
        <v>15.752472219011901</v>
      </c>
      <c r="M42">
        <f t="shared" si="0"/>
        <v>2.6613494690474937</v>
      </c>
      <c r="N42">
        <f t="shared" si="1"/>
        <v>18.366057876912897</v>
      </c>
    </row>
    <row r="43" spans="1:14" x14ac:dyDescent="0.2">
      <c r="A43" t="s">
        <v>74</v>
      </c>
      <c r="B43" t="s">
        <v>129</v>
      </c>
      <c r="C43" t="s">
        <v>32</v>
      </c>
      <c r="D43">
        <v>33.919482306859003</v>
      </c>
      <c r="E43">
        <v>33.919482306859003</v>
      </c>
      <c r="F43" t="s">
        <v>74</v>
      </c>
      <c r="G43" s="1" t="s">
        <v>22</v>
      </c>
      <c r="H43">
        <v>152</v>
      </c>
      <c r="I43">
        <f t="shared" si="48"/>
        <v>34.118530095924797</v>
      </c>
      <c r="J43">
        <f t="shared" ref="J43" si="49">J41</f>
        <v>0.28149608285723027</v>
      </c>
      <c r="K43">
        <f>I2</f>
        <v>31.457180626877303</v>
      </c>
      <c r="L43">
        <f>I14</f>
        <v>15.752472219011901</v>
      </c>
      <c r="M43">
        <f t="shared" si="0"/>
        <v>2.6613494690474937</v>
      </c>
      <c r="N43">
        <f t="shared" si="1"/>
        <v>18.366057876912897</v>
      </c>
    </row>
    <row r="44" spans="1:14" x14ac:dyDescent="0.2">
      <c r="A44" t="s">
        <v>75</v>
      </c>
      <c r="B44" t="s">
        <v>129</v>
      </c>
      <c r="C44" t="s">
        <v>32</v>
      </c>
      <c r="D44">
        <v>32.528310872034702</v>
      </c>
      <c r="E44">
        <v>32.528310872034702</v>
      </c>
      <c r="F44" t="s">
        <v>75</v>
      </c>
      <c r="G44" s="4" t="s">
        <v>15</v>
      </c>
      <c r="H44">
        <v>153</v>
      </c>
      <c r="I44">
        <f t="shared" ref="I44" si="50">AVERAGE(D44:D46)</f>
        <v>32.773759192883439</v>
      </c>
      <c r="J44">
        <f t="shared" ref="J44" si="51">STDEV(D44:D46)</f>
        <v>0.21816680171613448</v>
      </c>
      <c r="K44">
        <f>I8</f>
        <v>30.519736584875403</v>
      </c>
      <c r="L44">
        <f>I20</f>
        <v>17.1057291061623</v>
      </c>
      <c r="M44">
        <f t="shared" si="0"/>
        <v>2.2540226080080359</v>
      </c>
      <c r="N44">
        <f t="shared" si="1"/>
        <v>15.668030086721139</v>
      </c>
    </row>
    <row r="45" spans="1:14" x14ac:dyDescent="0.2">
      <c r="A45" t="s">
        <v>76</v>
      </c>
      <c r="B45" t="s">
        <v>129</v>
      </c>
      <c r="C45" t="s">
        <v>32</v>
      </c>
      <c r="D45">
        <v>32.945606613739599</v>
      </c>
      <c r="E45">
        <v>32.945606613739599</v>
      </c>
      <c r="F45" t="s">
        <v>76</v>
      </c>
      <c r="G45" s="4" t="s">
        <v>15</v>
      </c>
      <c r="H45">
        <v>153</v>
      </c>
      <c r="I45">
        <f t="shared" ref="I45:J45" si="52">I44</f>
        <v>32.773759192883439</v>
      </c>
      <c r="J45">
        <f t="shared" si="52"/>
        <v>0.21816680171613448</v>
      </c>
      <c r="K45">
        <f>I8</f>
        <v>30.519736584875403</v>
      </c>
      <c r="L45">
        <f>I20</f>
        <v>17.1057291061623</v>
      </c>
      <c r="M45">
        <f t="shared" si="0"/>
        <v>2.2540226080080359</v>
      </c>
      <c r="N45">
        <f t="shared" si="1"/>
        <v>15.668030086721139</v>
      </c>
    </row>
    <row r="46" spans="1:14" x14ac:dyDescent="0.2">
      <c r="A46" t="s">
        <v>77</v>
      </c>
      <c r="B46" t="s">
        <v>129</v>
      </c>
      <c r="C46" t="s">
        <v>32</v>
      </c>
      <c r="D46">
        <v>32.847360092876002</v>
      </c>
      <c r="E46">
        <v>32.847360092876002</v>
      </c>
      <c r="F46" t="s">
        <v>77</v>
      </c>
      <c r="G46" s="4" t="s">
        <v>15</v>
      </c>
      <c r="H46">
        <v>153</v>
      </c>
      <c r="I46">
        <f t="shared" ref="I46:J46" si="53">I44</f>
        <v>32.773759192883439</v>
      </c>
      <c r="J46">
        <f t="shared" si="53"/>
        <v>0.21816680171613448</v>
      </c>
      <c r="K46">
        <f>I8</f>
        <v>30.519736584875403</v>
      </c>
      <c r="L46">
        <f>I20</f>
        <v>17.1057291061623</v>
      </c>
      <c r="M46">
        <f t="shared" si="0"/>
        <v>2.2540226080080359</v>
      </c>
      <c r="N46">
        <f t="shared" si="1"/>
        <v>15.668030086721139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32.773371149495503</v>
      </c>
      <c r="F47" s="17" t="s">
        <v>78</v>
      </c>
      <c r="G47" s="19" t="s">
        <v>22</v>
      </c>
      <c r="H47" s="17">
        <v>153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30.519736584875403</v>
      </c>
      <c r="L47" s="17">
        <f>I20</f>
        <v>17.1057291061623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34.495749917162101</v>
      </c>
      <c r="F48" s="17" t="s">
        <v>79</v>
      </c>
      <c r="G48" s="19" t="s">
        <v>22</v>
      </c>
      <c r="H48" s="17">
        <v>153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30.519736584875403</v>
      </c>
      <c r="L48" s="17">
        <f>I20</f>
        <v>17.1057291061623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>
        <v>21.040496566001998</v>
      </c>
      <c r="F49" s="17" t="s">
        <v>80</v>
      </c>
      <c r="G49" s="19" t="s">
        <v>22</v>
      </c>
      <c r="H49" s="17">
        <v>153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30.519736584875403</v>
      </c>
      <c r="L49" s="17">
        <f>I20</f>
        <v>17.1057291061623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E50">
        <v>32.407113318343498</v>
      </c>
      <c r="F50" t="s">
        <v>81</v>
      </c>
      <c r="G50" s="4" t="s">
        <v>16</v>
      </c>
      <c r="H50">
        <v>152</v>
      </c>
      <c r="I50">
        <f t="shared" ref="I50" si="58">AVERAGE(D50:D52)</f>
        <v>31.671521179255599</v>
      </c>
      <c r="J50">
        <f t="shared" ref="J50" si="59">STDEV(D50:D52)</f>
        <v>1.2238539408826028E-2</v>
      </c>
      <c r="K50">
        <f>I2</f>
        <v>31.457180626877303</v>
      </c>
      <c r="L50">
        <f>I14</f>
        <v>15.752472219011901</v>
      </c>
      <c r="M50">
        <f t="shared" si="0"/>
        <v>0.21434055237829597</v>
      </c>
      <c r="N50">
        <f t="shared" si="1"/>
        <v>15.919048960243698</v>
      </c>
    </row>
    <row r="51" spans="1:14" x14ac:dyDescent="0.2">
      <c r="A51" t="s">
        <v>82</v>
      </c>
      <c r="B51" t="s">
        <v>129</v>
      </c>
      <c r="C51" t="s">
        <v>32</v>
      </c>
      <c r="D51">
        <v>31.680175133463401</v>
      </c>
      <c r="E51">
        <v>31.680175133463401</v>
      </c>
      <c r="F51" t="s">
        <v>82</v>
      </c>
      <c r="G51" s="4" t="s">
        <v>16</v>
      </c>
      <c r="H51">
        <v>152</v>
      </c>
      <c r="I51">
        <f t="shared" ref="I51:J51" si="60">I50</f>
        <v>31.671521179255599</v>
      </c>
      <c r="J51">
        <f t="shared" si="60"/>
        <v>1.2238539408826028E-2</v>
      </c>
      <c r="K51">
        <f>I2</f>
        <v>31.457180626877303</v>
      </c>
      <c r="L51">
        <f>I14</f>
        <v>15.752472219011901</v>
      </c>
      <c r="M51">
        <f t="shared" si="0"/>
        <v>0.21434055237829597</v>
      </c>
      <c r="N51">
        <f t="shared" si="1"/>
        <v>15.919048960243698</v>
      </c>
    </row>
    <row r="52" spans="1:14" x14ac:dyDescent="0.2">
      <c r="A52" t="s">
        <v>83</v>
      </c>
      <c r="B52" t="s">
        <v>129</v>
      </c>
      <c r="C52" t="s">
        <v>32</v>
      </c>
      <c r="D52">
        <v>31.662867225047801</v>
      </c>
      <c r="E52">
        <v>31.662867225047801</v>
      </c>
      <c r="F52" t="s">
        <v>83</v>
      </c>
      <c r="G52" s="4" t="s">
        <v>16</v>
      </c>
      <c r="H52">
        <v>152</v>
      </c>
      <c r="I52">
        <f t="shared" ref="I52:J52" si="61">I50</f>
        <v>31.671521179255599</v>
      </c>
      <c r="J52">
        <f t="shared" si="61"/>
        <v>1.2238539408826028E-2</v>
      </c>
      <c r="K52">
        <f>I2</f>
        <v>31.457180626877303</v>
      </c>
      <c r="L52">
        <f>I14</f>
        <v>15.752472219011901</v>
      </c>
      <c r="M52">
        <f t="shared" si="0"/>
        <v>0.21434055237829597</v>
      </c>
      <c r="N52">
        <f t="shared" si="1"/>
        <v>15.919048960243698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32.483504397802399</v>
      </c>
      <c r="F53" s="17" t="s">
        <v>84</v>
      </c>
      <c r="G53" s="19" t="s">
        <v>24</v>
      </c>
      <c r="H53" s="17">
        <v>152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31.457180626877303</v>
      </c>
      <c r="L53" s="17">
        <f>I14</f>
        <v>15.752472219011901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>
        <v>33.346437457333202</v>
      </c>
      <c r="F54" s="17" t="s">
        <v>85</v>
      </c>
      <c r="G54" s="19" t="s">
        <v>24</v>
      </c>
      <c r="H54" s="17">
        <v>152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31.457180626877303</v>
      </c>
      <c r="L54" s="17">
        <f>I14</f>
        <v>15.752472219011901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36.6892222514007</v>
      </c>
      <c r="F55" s="17" t="s">
        <v>86</v>
      </c>
      <c r="G55" s="19" t="s">
        <v>24</v>
      </c>
      <c r="H55" s="17">
        <v>152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31.457180626877303</v>
      </c>
      <c r="L55" s="17">
        <f>I14</f>
        <v>15.752472219011901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E56">
        <v>31.011440723016101</v>
      </c>
      <c r="F56" t="s">
        <v>87</v>
      </c>
      <c r="G56" s="4" t="s">
        <v>16</v>
      </c>
      <c r="H56">
        <v>153</v>
      </c>
      <c r="I56">
        <f t="shared" ref="I56" si="66">AVERAGE(D56:D58)</f>
        <v>31.768992628735099</v>
      </c>
      <c r="J56">
        <f t="shared" ref="J56" si="67">STDEV(D56:D58)</f>
        <v>0.17714167424757671</v>
      </c>
      <c r="K56">
        <f>I8</f>
        <v>30.519736584875403</v>
      </c>
      <c r="L56">
        <f>I20</f>
        <v>17.1057291061623</v>
      </c>
      <c r="M56">
        <f t="shared" si="0"/>
        <v>1.2492560438596954</v>
      </c>
      <c r="N56">
        <f t="shared" si="1"/>
        <v>14.663263522572798</v>
      </c>
    </row>
    <row r="57" spans="1:14" x14ac:dyDescent="0.2">
      <c r="A57" t="s">
        <v>88</v>
      </c>
      <c r="B57" t="s">
        <v>129</v>
      </c>
      <c r="C57" t="s">
        <v>32</v>
      </c>
      <c r="D57">
        <v>31.643734549643899</v>
      </c>
      <c r="E57">
        <v>31.643734549643899</v>
      </c>
      <c r="F57" t="s">
        <v>88</v>
      </c>
      <c r="G57" s="4" t="s">
        <v>16</v>
      </c>
      <c r="H57">
        <v>153</v>
      </c>
      <c r="I57">
        <f t="shared" ref="I57:J57" si="68">I56</f>
        <v>31.768992628735099</v>
      </c>
      <c r="J57">
        <f t="shared" si="68"/>
        <v>0.17714167424757671</v>
      </c>
      <c r="K57">
        <f>I8</f>
        <v>30.519736584875403</v>
      </c>
      <c r="L57">
        <f>I20</f>
        <v>17.1057291061623</v>
      </c>
      <c r="M57">
        <f t="shared" si="0"/>
        <v>1.2492560438596954</v>
      </c>
      <c r="N57">
        <f t="shared" si="1"/>
        <v>14.663263522572798</v>
      </c>
    </row>
    <row r="58" spans="1:14" x14ac:dyDescent="0.2">
      <c r="A58" t="s">
        <v>89</v>
      </c>
      <c r="B58" t="s">
        <v>129</v>
      </c>
      <c r="C58" t="s">
        <v>32</v>
      </c>
      <c r="D58">
        <v>31.894250707826298</v>
      </c>
      <c r="E58">
        <v>31.894250707826298</v>
      </c>
      <c r="F58" t="s">
        <v>89</v>
      </c>
      <c r="G58" s="4" t="s">
        <v>16</v>
      </c>
      <c r="H58">
        <v>153</v>
      </c>
      <c r="I58">
        <f t="shared" ref="I58:J58" si="69">I56</f>
        <v>31.768992628735099</v>
      </c>
      <c r="J58">
        <f t="shared" si="69"/>
        <v>0.17714167424757671</v>
      </c>
      <c r="K58">
        <f>I8</f>
        <v>30.519736584875403</v>
      </c>
      <c r="L58">
        <f>I20</f>
        <v>17.1057291061623</v>
      </c>
      <c r="M58">
        <f t="shared" si="0"/>
        <v>1.2492560438596954</v>
      </c>
      <c r="N58">
        <f t="shared" si="1"/>
        <v>14.663263522572798</v>
      </c>
    </row>
    <row r="59" spans="1:14" x14ac:dyDescent="0.2">
      <c r="A59" t="s">
        <v>90</v>
      </c>
      <c r="B59" t="s">
        <v>129</v>
      </c>
      <c r="C59" t="s">
        <v>32</v>
      </c>
      <c r="D59">
        <v>33.793351727534699</v>
      </c>
      <c r="E59">
        <v>33.793351727534699</v>
      </c>
      <c r="F59" t="s">
        <v>90</v>
      </c>
      <c r="G59" s="1" t="s">
        <v>24</v>
      </c>
      <c r="H59">
        <v>153</v>
      </c>
      <c r="I59">
        <f t="shared" ref="I59" si="70">AVERAGE(D59:D61)</f>
        <v>33.592709135385647</v>
      </c>
      <c r="J59">
        <f t="shared" ref="J59" si="71">STDEV(D59:D61)</f>
        <v>0.28375147500687753</v>
      </c>
      <c r="K59">
        <f>I8</f>
        <v>30.519736584875403</v>
      </c>
      <c r="L59">
        <f>I20</f>
        <v>17.1057291061623</v>
      </c>
      <c r="M59">
        <f t="shared" si="0"/>
        <v>3.0729725505102437</v>
      </c>
      <c r="N59">
        <f t="shared" si="1"/>
        <v>16.486980029223346</v>
      </c>
    </row>
    <row r="60" spans="1:14" x14ac:dyDescent="0.2">
      <c r="A60" t="s">
        <v>91</v>
      </c>
      <c r="B60" t="s">
        <v>129</v>
      </c>
      <c r="C60" t="s">
        <v>32</v>
      </c>
      <c r="D60">
        <v>33.392066543236602</v>
      </c>
      <c r="E60">
        <v>33.392066543236602</v>
      </c>
      <c r="F60" t="s">
        <v>91</v>
      </c>
      <c r="G60" s="1" t="s">
        <v>24</v>
      </c>
      <c r="H60">
        <v>153</v>
      </c>
      <c r="I60">
        <f t="shared" ref="I60:J61" si="72">I59</f>
        <v>33.592709135385647</v>
      </c>
      <c r="J60">
        <f t="shared" si="72"/>
        <v>0.28375147500687753</v>
      </c>
      <c r="K60">
        <f>I8</f>
        <v>30.519736584875403</v>
      </c>
      <c r="L60">
        <f>I20</f>
        <v>17.1057291061623</v>
      </c>
      <c r="M60">
        <f t="shared" si="0"/>
        <v>3.0729725505102437</v>
      </c>
      <c r="N60">
        <f t="shared" si="1"/>
        <v>16.486980029223346</v>
      </c>
    </row>
    <row r="61" spans="1:14" x14ac:dyDescent="0.2">
      <c r="A61" t="s">
        <v>92</v>
      </c>
      <c r="B61" t="s">
        <v>129</v>
      </c>
      <c r="C61" t="s">
        <v>32</v>
      </c>
      <c r="D61" t="s">
        <v>33</v>
      </c>
      <c r="E61" t="s">
        <v>33</v>
      </c>
      <c r="F61" t="s">
        <v>92</v>
      </c>
      <c r="G61" s="1" t="s">
        <v>24</v>
      </c>
      <c r="H61">
        <v>153</v>
      </c>
      <c r="I61">
        <f t="shared" si="72"/>
        <v>33.592709135385647</v>
      </c>
      <c r="J61">
        <f t="shared" ref="J61" si="73">J59</f>
        <v>0.28375147500687753</v>
      </c>
      <c r="K61">
        <f>I8</f>
        <v>30.519736584875403</v>
      </c>
      <c r="L61">
        <f>I20</f>
        <v>17.1057291061623</v>
      </c>
      <c r="M61">
        <f t="shared" si="0"/>
        <v>3.0729725505102437</v>
      </c>
      <c r="N61">
        <f t="shared" si="1"/>
        <v>16.486980029223346</v>
      </c>
    </row>
    <row r="62" spans="1:14" x14ac:dyDescent="0.2">
      <c r="A62" t="s">
        <v>93</v>
      </c>
      <c r="B62" t="s">
        <v>129</v>
      </c>
      <c r="C62" t="s">
        <v>32</v>
      </c>
      <c r="D62">
        <v>29.946697793572898</v>
      </c>
      <c r="E62">
        <v>29.946697793572898</v>
      </c>
      <c r="F62" t="s">
        <v>93</v>
      </c>
      <c r="G62" s="4" t="s">
        <v>17</v>
      </c>
      <c r="H62">
        <v>152</v>
      </c>
      <c r="I62">
        <f t="shared" ref="I62" si="74">AVERAGE(D62:D64)</f>
        <v>29.831287963119703</v>
      </c>
      <c r="J62">
        <f t="shared" ref="J62" si="75">STDEV(D62:D64)</f>
        <v>0.32135873700893758</v>
      </c>
      <c r="K62">
        <f>I2</f>
        <v>31.457180626877303</v>
      </c>
      <c r="L62">
        <f>I14</f>
        <v>15.752472219011901</v>
      </c>
      <c r="M62">
        <f t="shared" si="0"/>
        <v>-1.6258926637576003</v>
      </c>
      <c r="N62">
        <f t="shared" si="1"/>
        <v>14.078815744107802</v>
      </c>
    </row>
    <row r="63" spans="1:14" x14ac:dyDescent="0.2">
      <c r="A63" t="s">
        <v>94</v>
      </c>
      <c r="B63" t="s">
        <v>129</v>
      </c>
      <c r="C63" t="s">
        <v>32</v>
      </c>
      <c r="D63">
        <v>29.468162246165299</v>
      </c>
      <c r="E63">
        <v>29.468162246165299</v>
      </c>
      <c r="F63" t="s">
        <v>94</v>
      </c>
      <c r="G63" s="4" t="s">
        <v>17</v>
      </c>
      <c r="H63">
        <v>152</v>
      </c>
      <c r="I63">
        <f t="shared" ref="I63:J63" si="76">I62</f>
        <v>29.831287963119703</v>
      </c>
      <c r="J63">
        <f t="shared" si="76"/>
        <v>0.32135873700893758</v>
      </c>
      <c r="K63">
        <f>I2</f>
        <v>31.457180626877303</v>
      </c>
      <c r="L63">
        <f>I14</f>
        <v>15.752472219011901</v>
      </c>
      <c r="M63">
        <f t="shared" si="0"/>
        <v>-1.6258926637576003</v>
      </c>
      <c r="N63">
        <f t="shared" si="1"/>
        <v>14.078815744107802</v>
      </c>
    </row>
    <row r="64" spans="1:14" x14ac:dyDescent="0.2">
      <c r="A64" t="s">
        <v>95</v>
      </c>
      <c r="B64" t="s">
        <v>129</v>
      </c>
      <c r="C64" t="s">
        <v>32</v>
      </c>
      <c r="D64">
        <v>30.0790038496209</v>
      </c>
      <c r="E64">
        <v>30.0790038496209</v>
      </c>
      <c r="F64" t="s">
        <v>95</v>
      </c>
      <c r="G64" s="4" t="s">
        <v>17</v>
      </c>
      <c r="H64">
        <v>152</v>
      </c>
      <c r="I64">
        <f t="shared" ref="I64:J64" si="77">I62</f>
        <v>29.831287963119703</v>
      </c>
      <c r="J64">
        <f t="shared" si="77"/>
        <v>0.32135873700893758</v>
      </c>
      <c r="K64">
        <f>I2</f>
        <v>31.457180626877303</v>
      </c>
      <c r="L64">
        <f>I14</f>
        <v>15.752472219011901</v>
      </c>
      <c r="M64">
        <f t="shared" si="0"/>
        <v>-1.6258926637576003</v>
      </c>
      <c r="N64">
        <f t="shared" si="1"/>
        <v>14.078815744107802</v>
      </c>
    </row>
    <row r="65" spans="1:14" x14ac:dyDescent="0.2">
      <c r="A65" t="s">
        <v>96</v>
      </c>
      <c r="B65" t="s">
        <v>129</v>
      </c>
      <c r="C65" t="s">
        <v>32</v>
      </c>
      <c r="D65">
        <v>32.168921731212102</v>
      </c>
      <c r="E65">
        <v>32.168921731212102</v>
      </c>
      <c r="F65" t="s">
        <v>96</v>
      </c>
      <c r="G65" s="1" t="s">
        <v>25</v>
      </c>
      <c r="H65">
        <v>152</v>
      </c>
      <c r="I65">
        <f t="shared" ref="I65" si="78">AVERAGE(D65:D67)</f>
        <v>32.119996935737049</v>
      </c>
      <c r="J65">
        <f t="shared" ref="J65" si="79">STDEV(D65:D67)</f>
        <v>6.9190109297149027E-2</v>
      </c>
      <c r="K65">
        <f>I2</f>
        <v>31.457180626877303</v>
      </c>
      <c r="L65">
        <f>I14</f>
        <v>15.752472219011901</v>
      </c>
      <c r="M65">
        <f t="shared" si="0"/>
        <v>0.66281630885974607</v>
      </c>
      <c r="N65">
        <f t="shared" si="1"/>
        <v>16.36752471672515</v>
      </c>
    </row>
    <row r="66" spans="1:14" x14ac:dyDescent="0.2">
      <c r="A66" t="s">
        <v>97</v>
      </c>
      <c r="B66" t="s">
        <v>129</v>
      </c>
      <c r="C66" t="s">
        <v>32</v>
      </c>
      <c r="D66">
        <v>32.071072140261997</v>
      </c>
      <c r="E66">
        <v>32.071072140261997</v>
      </c>
      <c r="F66" t="s">
        <v>97</v>
      </c>
      <c r="G66" s="1" t="s">
        <v>25</v>
      </c>
      <c r="H66">
        <v>152</v>
      </c>
      <c r="I66">
        <f t="shared" ref="I66:J67" si="80">I65</f>
        <v>32.119996935737049</v>
      </c>
      <c r="J66">
        <f t="shared" si="80"/>
        <v>6.9190109297149027E-2</v>
      </c>
      <c r="K66">
        <f>I2</f>
        <v>31.457180626877303</v>
      </c>
      <c r="L66">
        <f>I14</f>
        <v>15.752472219011901</v>
      </c>
      <c r="M66">
        <f t="shared" si="0"/>
        <v>0.66281630885974607</v>
      </c>
      <c r="N66">
        <f t="shared" si="1"/>
        <v>16.36752471672515</v>
      </c>
    </row>
    <row r="67" spans="1:14" x14ac:dyDescent="0.2">
      <c r="A67" t="s">
        <v>98</v>
      </c>
      <c r="B67" t="s">
        <v>129</v>
      </c>
      <c r="C67" t="s">
        <v>32</v>
      </c>
      <c r="E67">
        <v>31.550382686635601</v>
      </c>
      <c r="F67" t="s">
        <v>98</v>
      </c>
      <c r="G67" s="1" t="s">
        <v>25</v>
      </c>
      <c r="H67">
        <v>152</v>
      </c>
      <c r="I67">
        <f t="shared" si="80"/>
        <v>32.119996935737049</v>
      </c>
      <c r="J67">
        <f t="shared" ref="J67" si="81">J65</f>
        <v>6.9190109297149027E-2</v>
      </c>
      <c r="K67">
        <f>I2</f>
        <v>31.457180626877303</v>
      </c>
      <c r="L67">
        <f>I14</f>
        <v>15.752472219011901</v>
      </c>
      <c r="M67">
        <f t="shared" ref="M67:M97" si="82">I67-K67</f>
        <v>0.66281630885974607</v>
      </c>
      <c r="N67">
        <f t="shared" ref="N67:N97" si="83">I67-L67</f>
        <v>16.36752471672515</v>
      </c>
    </row>
    <row r="68" spans="1:14" x14ac:dyDescent="0.2">
      <c r="A68" t="s">
        <v>99</v>
      </c>
      <c r="B68" t="s">
        <v>129</v>
      </c>
      <c r="C68" t="s">
        <v>32</v>
      </c>
      <c r="E68">
        <v>28.141338087451199</v>
      </c>
      <c r="F68" t="s">
        <v>99</v>
      </c>
      <c r="G68" s="4" t="s">
        <v>17</v>
      </c>
      <c r="H68">
        <v>153</v>
      </c>
      <c r="I68">
        <f t="shared" ref="I68" si="84">AVERAGE(D68:D70)</f>
        <v>31.234706510850401</v>
      </c>
      <c r="J68">
        <f t="shared" ref="J68" si="85">STDEV(D68:D70)</f>
        <v>5.2408384516712883E-2</v>
      </c>
      <c r="K68">
        <f>I8</f>
        <v>30.519736584875403</v>
      </c>
      <c r="L68">
        <f>I20</f>
        <v>17.1057291061623</v>
      </c>
      <c r="M68">
        <f t="shared" si="82"/>
        <v>0.71496992597499798</v>
      </c>
      <c r="N68">
        <f t="shared" si="83"/>
        <v>14.128977404688101</v>
      </c>
    </row>
    <row r="69" spans="1:14" x14ac:dyDescent="0.2">
      <c r="A69" t="s">
        <v>100</v>
      </c>
      <c r="B69" t="s">
        <v>129</v>
      </c>
      <c r="C69" t="s">
        <v>32</v>
      </c>
      <c r="D69">
        <v>31.271764834933201</v>
      </c>
      <c r="E69">
        <v>31.271764834933201</v>
      </c>
      <c r="F69" t="s">
        <v>100</v>
      </c>
      <c r="G69" s="4" t="s">
        <v>17</v>
      </c>
      <c r="H69">
        <v>153</v>
      </c>
      <c r="I69">
        <f t="shared" ref="I69:J69" si="86">I68</f>
        <v>31.234706510850401</v>
      </c>
      <c r="J69">
        <f t="shared" si="86"/>
        <v>5.2408384516712883E-2</v>
      </c>
      <c r="K69">
        <f>I8</f>
        <v>30.519736584875403</v>
      </c>
      <c r="L69">
        <f>I20</f>
        <v>17.1057291061623</v>
      </c>
      <c r="M69">
        <f t="shared" si="82"/>
        <v>0.71496992597499798</v>
      </c>
      <c r="N69">
        <f t="shared" si="83"/>
        <v>14.128977404688101</v>
      </c>
    </row>
    <row r="70" spans="1:14" x14ac:dyDescent="0.2">
      <c r="A70" t="s">
        <v>101</v>
      </c>
      <c r="B70" t="s">
        <v>129</v>
      </c>
      <c r="C70" t="s">
        <v>32</v>
      </c>
      <c r="D70">
        <v>31.197648186767601</v>
      </c>
      <c r="E70">
        <v>31.197648186767601</v>
      </c>
      <c r="F70" t="s">
        <v>101</v>
      </c>
      <c r="G70" s="4" t="s">
        <v>17</v>
      </c>
      <c r="H70">
        <v>153</v>
      </c>
      <c r="I70">
        <f t="shared" ref="I70:J70" si="87">I68</f>
        <v>31.234706510850401</v>
      </c>
      <c r="J70">
        <f t="shared" si="87"/>
        <v>5.2408384516712883E-2</v>
      </c>
      <c r="K70">
        <f>I8</f>
        <v>30.519736584875403</v>
      </c>
      <c r="L70">
        <f>I20</f>
        <v>17.1057291061623</v>
      </c>
      <c r="M70">
        <f t="shared" si="82"/>
        <v>0.71496992597499798</v>
      </c>
      <c r="N70">
        <f t="shared" si="83"/>
        <v>14.128977404688101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30.9873389579136</v>
      </c>
      <c r="F71" s="17" t="s">
        <v>102</v>
      </c>
      <c r="G71" s="19" t="s">
        <v>25</v>
      </c>
      <c r="H71" s="17">
        <v>153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>
        <f>I8</f>
        <v>30.519736584875403</v>
      </c>
      <c r="L71" s="17">
        <f>I20</f>
        <v>17.1057291061623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32.113056043196799</v>
      </c>
      <c r="F72" s="17" t="s">
        <v>103</v>
      </c>
      <c r="G72" s="19" t="s">
        <v>25</v>
      </c>
      <c r="H72" s="17">
        <v>153</v>
      </c>
      <c r="I72" s="17" t="e">
        <f t="shared" ref="I72:J73" si="90">I71</f>
        <v>#DIV/0!</v>
      </c>
      <c r="J72" s="17" t="e">
        <f t="shared" si="90"/>
        <v>#DIV/0!</v>
      </c>
      <c r="K72" s="17">
        <f>I8</f>
        <v>30.519736584875403</v>
      </c>
      <c r="L72" s="17">
        <f>I20</f>
        <v>17.1057291061623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>
        <v>11.2528039898502</v>
      </c>
      <c r="F73" s="17" t="s">
        <v>104</v>
      </c>
      <c r="G73" s="19" t="s">
        <v>25</v>
      </c>
      <c r="H73" s="17">
        <v>153</v>
      </c>
      <c r="I73" s="17" t="e">
        <f t="shared" si="90"/>
        <v>#DIV/0!</v>
      </c>
      <c r="J73" s="17" t="e">
        <f t="shared" ref="J73" si="91">J71</f>
        <v>#DIV/0!</v>
      </c>
      <c r="K73" s="17">
        <f>I8</f>
        <v>30.519736584875403</v>
      </c>
      <c r="L73" s="17">
        <f>I20</f>
        <v>17.1057291061623</v>
      </c>
      <c r="M73" s="17" t="e">
        <f t="shared" si="82"/>
        <v>#DIV/0!</v>
      </c>
      <c r="N73" s="17" t="e">
        <f t="shared" si="83"/>
        <v>#DIV/0!</v>
      </c>
    </row>
    <row r="74" spans="1:14" x14ac:dyDescent="0.2">
      <c r="A74" t="s">
        <v>105</v>
      </c>
      <c r="B74" t="s">
        <v>129</v>
      </c>
      <c r="C74" t="s">
        <v>32</v>
      </c>
      <c r="D74">
        <v>36.028147185095001</v>
      </c>
      <c r="E74">
        <v>36.028147185095001</v>
      </c>
      <c r="F74" t="s">
        <v>105</v>
      </c>
      <c r="G74" s="4" t="s">
        <v>18</v>
      </c>
      <c r="H74">
        <v>152</v>
      </c>
      <c r="I74">
        <f t="shared" ref="I74" si="92">AVERAGE(D74:D76)</f>
        <v>35.968844475028</v>
      </c>
      <c r="J74">
        <f>STDEV(D74:D76)</f>
        <v>8.3866696862232831E-2</v>
      </c>
      <c r="K74">
        <f>I2</f>
        <v>31.457180626877303</v>
      </c>
      <c r="L74">
        <f>I14</f>
        <v>15.752472219011901</v>
      </c>
      <c r="M74">
        <f t="shared" si="82"/>
        <v>4.5116638481506968</v>
      </c>
      <c r="N74">
        <f t="shared" si="83"/>
        <v>20.216372256016101</v>
      </c>
    </row>
    <row r="75" spans="1:14" x14ac:dyDescent="0.2">
      <c r="A75" t="s">
        <v>106</v>
      </c>
      <c r="B75" t="s">
        <v>129</v>
      </c>
      <c r="C75" t="s">
        <v>32</v>
      </c>
      <c r="D75">
        <v>35.909541764960998</v>
      </c>
      <c r="E75">
        <v>35.909541764960998</v>
      </c>
      <c r="F75" t="s">
        <v>106</v>
      </c>
      <c r="G75" s="4" t="s">
        <v>18</v>
      </c>
      <c r="H75">
        <v>152</v>
      </c>
      <c r="I75">
        <f t="shared" ref="I75:J75" si="93">I74</f>
        <v>35.968844475028</v>
      </c>
      <c r="J75">
        <f t="shared" si="93"/>
        <v>8.3866696862232831E-2</v>
      </c>
      <c r="K75">
        <f>I2</f>
        <v>31.457180626877303</v>
      </c>
      <c r="L75">
        <f>I14</f>
        <v>15.752472219011901</v>
      </c>
      <c r="M75">
        <f t="shared" si="82"/>
        <v>4.5116638481506968</v>
      </c>
      <c r="N75">
        <f t="shared" si="83"/>
        <v>20.216372256016101</v>
      </c>
    </row>
    <row r="76" spans="1:14" x14ac:dyDescent="0.2">
      <c r="A76" t="s">
        <v>107</v>
      </c>
      <c r="B76" t="s">
        <v>129</v>
      </c>
      <c r="C76" t="s">
        <v>32</v>
      </c>
      <c r="E76">
        <v>32.966172011298099</v>
      </c>
      <c r="F76" t="s">
        <v>107</v>
      </c>
      <c r="G76" s="4" t="s">
        <v>18</v>
      </c>
      <c r="H76">
        <v>152</v>
      </c>
      <c r="I76">
        <f t="shared" ref="I76:J76" si="94">I74</f>
        <v>35.968844475028</v>
      </c>
      <c r="J76">
        <f t="shared" si="94"/>
        <v>8.3866696862232831E-2</v>
      </c>
      <c r="K76">
        <f>I2</f>
        <v>31.457180626877303</v>
      </c>
      <c r="L76">
        <f>I14</f>
        <v>15.752472219011901</v>
      </c>
      <c r="M76">
        <f t="shared" si="82"/>
        <v>4.5116638481506968</v>
      </c>
      <c r="N76">
        <f t="shared" si="83"/>
        <v>20.216372256016101</v>
      </c>
    </row>
    <row r="77" spans="1:14" x14ac:dyDescent="0.2">
      <c r="A77" t="s">
        <v>108</v>
      </c>
      <c r="B77" t="s">
        <v>129</v>
      </c>
      <c r="C77" t="s">
        <v>32</v>
      </c>
      <c r="D77" t="s">
        <v>33</v>
      </c>
      <c r="E77" t="s">
        <v>33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31.457180626877303</v>
      </c>
      <c r="L77">
        <f>I14</f>
        <v>15.752472219011901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31.457180626877303</v>
      </c>
      <c r="L78">
        <f>I14</f>
        <v>15.752472219011901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31.457180626877303</v>
      </c>
      <c r="L79">
        <f>I14</f>
        <v>15.752472219011901</v>
      </c>
      <c r="M79" t="e">
        <f t="shared" si="82"/>
        <v>#DIV/0!</v>
      </c>
      <c r="N79" t="e">
        <f t="shared" si="83"/>
        <v>#DIV/0!</v>
      </c>
    </row>
    <row r="80" spans="1:14" x14ac:dyDescent="0.2">
      <c r="A80" t="s">
        <v>111</v>
      </c>
      <c r="B80" t="s">
        <v>129</v>
      </c>
      <c r="C80" t="s">
        <v>32</v>
      </c>
      <c r="E80">
        <v>35.458489917581403</v>
      </c>
      <c r="F80" t="s">
        <v>111</v>
      </c>
      <c r="G80" s="4" t="s">
        <v>18</v>
      </c>
      <c r="H80">
        <v>153</v>
      </c>
      <c r="I80">
        <f t="shared" ref="I80" si="99">AVERAGE(D80:D82)</f>
        <v>32.245100730861253</v>
      </c>
      <c r="J80">
        <f t="shared" ref="J80" si="100">STDEV(D80:D82)</f>
        <v>0.18586129022000739</v>
      </c>
      <c r="K80">
        <f>I8</f>
        <v>30.519736584875403</v>
      </c>
      <c r="L80">
        <f>I20</f>
        <v>17.1057291061623</v>
      </c>
      <c r="M80">
        <f t="shared" si="82"/>
        <v>1.72536414598585</v>
      </c>
      <c r="N80">
        <f t="shared" si="83"/>
        <v>15.139371624698953</v>
      </c>
    </row>
    <row r="81" spans="1:14" x14ac:dyDescent="0.2">
      <c r="A81" t="s">
        <v>112</v>
      </c>
      <c r="B81" t="s">
        <v>129</v>
      </c>
      <c r="C81" t="s">
        <v>32</v>
      </c>
      <c r="D81">
        <v>32.376524509535898</v>
      </c>
      <c r="E81">
        <v>32.376524509535898</v>
      </c>
      <c r="F81" t="s">
        <v>112</v>
      </c>
      <c r="G81" s="4" t="s">
        <v>18</v>
      </c>
      <c r="H81">
        <v>153</v>
      </c>
      <c r="I81">
        <f t="shared" ref="I81:J81" si="101">I80</f>
        <v>32.245100730861253</v>
      </c>
      <c r="J81">
        <f t="shared" si="101"/>
        <v>0.18586129022000739</v>
      </c>
      <c r="K81">
        <f>I8</f>
        <v>30.519736584875403</v>
      </c>
      <c r="L81">
        <f>I20</f>
        <v>17.1057291061623</v>
      </c>
      <c r="M81">
        <f t="shared" si="82"/>
        <v>1.72536414598585</v>
      </c>
      <c r="N81">
        <f t="shared" si="83"/>
        <v>15.139371624698953</v>
      </c>
    </row>
    <row r="82" spans="1:14" x14ac:dyDescent="0.2">
      <c r="A82" t="s">
        <v>113</v>
      </c>
      <c r="B82" t="s">
        <v>129</v>
      </c>
      <c r="C82" t="s">
        <v>32</v>
      </c>
      <c r="D82">
        <v>32.113676952186601</v>
      </c>
      <c r="E82">
        <v>32.113676952186601</v>
      </c>
      <c r="F82" t="s">
        <v>113</v>
      </c>
      <c r="G82" s="4" t="s">
        <v>18</v>
      </c>
      <c r="H82">
        <v>153</v>
      </c>
      <c r="I82">
        <f t="shared" ref="I82:J82" si="102">I80</f>
        <v>32.245100730861253</v>
      </c>
      <c r="J82">
        <f t="shared" si="102"/>
        <v>0.18586129022000739</v>
      </c>
      <c r="K82">
        <f>I8</f>
        <v>30.519736584875403</v>
      </c>
      <c r="L82">
        <f>I20</f>
        <v>17.1057291061623</v>
      </c>
      <c r="M82">
        <f t="shared" si="82"/>
        <v>1.72536414598585</v>
      </c>
      <c r="N82">
        <f t="shared" si="83"/>
        <v>15.139371624698953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30.519736584875403</v>
      </c>
      <c r="L83">
        <f>I20</f>
        <v>17.1057291061623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30.519736584875403</v>
      </c>
      <c r="L84">
        <f>I20</f>
        <v>17.1057291061623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30.519736584875403</v>
      </c>
      <c r="L85">
        <f>I20</f>
        <v>17.1057291061623</v>
      </c>
      <c r="M85" t="e">
        <f t="shared" si="82"/>
        <v>#DIV/0!</v>
      </c>
      <c r="N85" t="e">
        <f t="shared" si="83"/>
        <v>#DIV/0!</v>
      </c>
    </row>
    <row r="86" spans="1:14" ht="17" thickBot="1" x14ac:dyDescent="0.25">
      <c r="A86" t="s">
        <v>117</v>
      </c>
      <c r="B86" t="s">
        <v>129</v>
      </c>
      <c r="C86" t="s">
        <v>32</v>
      </c>
      <c r="D86" t="s">
        <v>33</v>
      </c>
      <c r="E86" t="s">
        <v>33</v>
      </c>
      <c r="F86" t="s">
        <v>117</v>
      </c>
      <c r="G86" s="6" t="s">
        <v>19</v>
      </c>
      <c r="H86">
        <v>152</v>
      </c>
      <c r="I86">
        <f t="shared" ref="I86" si="107">AVERAGE(D86:D88)</f>
        <v>34.703469407705356</v>
      </c>
      <c r="J86">
        <f t="shared" ref="J86" si="108">STDEV(D86:D88)</f>
        <v>0.11417179849283716</v>
      </c>
      <c r="K86">
        <f>I2</f>
        <v>31.457180626877303</v>
      </c>
      <c r="L86">
        <f>I14</f>
        <v>15.752472219011901</v>
      </c>
      <c r="M86">
        <f t="shared" si="82"/>
        <v>3.2462887808280527</v>
      </c>
      <c r="N86">
        <f t="shared" si="83"/>
        <v>18.950997188693457</v>
      </c>
    </row>
    <row r="87" spans="1:14" ht="17" thickBot="1" x14ac:dyDescent="0.25">
      <c r="A87" t="s">
        <v>118</v>
      </c>
      <c r="B87" t="s">
        <v>129</v>
      </c>
      <c r="C87" t="s">
        <v>32</v>
      </c>
      <c r="D87">
        <v>34.784201060639901</v>
      </c>
      <c r="E87">
        <v>34.784201060639901</v>
      </c>
      <c r="F87" t="s">
        <v>118</v>
      </c>
      <c r="G87" s="6" t="s">
        <v>19</v>
      </c>
      <c r="H87">
        <v>152</v>
      </c>
      <c r="I87">
        <f t="shared" ref="I87:J87" si="109">I86</f>
        <v>34.703469407705356</v>
      </c>
      <c r="J87">
        <f t="shared" si="109"/>
        <v>0.11417179849283716</v>
      </c>
      <c r="K87">
        <f>I2</f>
        <v>31.457180626877303</v>
      </c>
      <c r="L87">
        <f>I14</f>
        <v>15.752472219011901</v>
      </c>
      <c r="M87">
        <f t="shared" si="82"/>
        <v>3.2462887808280527</v>
      </c>
      <c r="N87">
        <f t="shared" si="83"/>
        <v>18.950997188693457</v>
      </c>
    </row>
    <row r="88" spans="1:14" ht="17" thickBot="1" x14ac:dyDescent="0.25">
      <c r="A88" t="s">
        <v>119</v>
      </c>
      <c r="B88" t="s">
        <v>129</v>
      </c>
      <c r="C88" t="s">
        <v>32</v>
      </c>
      <c r="D88">
        <v>34.622737754770803</v>
      </c>
      <c r="E88">
        <v>34.622737754770803</v>
      </c>
      <c r="F88" t="s">
        <v>119</v>
      </c>
      <c r="G88" s="6" t="s">
        <v>19</v>
      </c>
      <c r="H88">
        <v>152</v>
      </c>
      <c r="I88">
        <f t="shared" ref="I88:J88" si="110">I86</f>
        <v>34.703469407705356</v>
      </c>
      <c r="J88">
        <f t="shared" si="110"/>
        <v>0.11417179849283716</v>
      </c>
      <c r="K88">
        <f>I2</f>
        <v>31.457180626877303</v>
      </c>
      <c r="L88">
        <f>I14</f>
        <v>15.752472219011901</v>
      </c>
      <c r="M88">
        <f t="shared" si="82"/>
        <v>3.2462887808280527</v>
      </c>
      <c r="N88">
        <f t="shared" si="83"/>
        <v>18.950997188693457</v>
      </c>
    </row>
    <row r="89" spans="1:14" x14ac:dyDescent="0.2">
      <c r="A89" t="s">
        <v>120</v>
      </c>
      <c r="B89" t="s">
        <v>129</v>
      </c>
      <c r="C89" t="s">
        <v>32</v>
      </c>
      <c r="D89" t="s">
        <v>33</v>
      </c>
      <c r="E89" t="s">
        <v>33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31.457180626877303</v>
      </c>
      <c r="L89">
        <f>I14</f>
        <v>15.752472219011901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31.457180626877303</v>
      </c>
      <c r="L90">
        <f>I14</f>
        <v>15.752472219011901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31.457180626877303</v>
      </c>
      <c r="L91">
        <f>I14</f>
        <v>15.752472219011901</v>
      </c>
      <c r="M91" t="e">
        <f t="shared" si="82"/>
        <v>#DIV/0!</v>
      </c>
      <c r="N91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>
        <v>33.225651444363002</v>
      </c>
      <c r="F92" s="17" t="s">
        <v>123</v>
      </c>
      <c r="G92" s="21" t="s">
        <v>19</v>
      </c>
      <c r="H92" s="17">
        <v>153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30.519736584875403</v>
      </c>
      <c r="L92" s="17">
        <f>I20</f>
        <v>17.1057291061623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 t="s">
        <v>33</v>
      </c>
      <c r="F93" s="17" t="s">
        <v>124</v>
      </c>
      <c r="G93" s="21" t="s">
        <v>19</v>
      </c>
      <c r="H93" s="17">
        <v>153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30.519736584875403</v>
      </c>
      <c r="L93" s="17">
        <f>I20</f>
        <v>17.1057291061623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 t="s">
        <v>33</v>
      </c>
      <c r="F94" s="17" t="s">
        <v>125</v>
      </c>
      <c r="G94" s="21" t="s">
        <v>19</v>
      </c>
      <c r="H94" s="17">
        <v>153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30.519736584875403</v>
      </c>
      <c r="L94" s="17">
        <f>I20</f>
        <v>17.1057291061623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>
        <v>25.207299587459399</v>
      </c>
      <c r="E95">
        <v>25.207299587459399</v>
      </c>
      <c r="F95" t="s">
        <v>126</v>
      </c>
      <c r="I95">
        <f t="shared" ref="I95" si="119">AVERAGE(D95:D97)</f>
        <v>25.207299587459399</v>
      </c>
      <c r="J95" t="e">
        <f t="shared" ref="J95" si="120">STDEV(D95:D97)</f>
        <v>#DIV/0!</v>
      </c>
      <c r="K95">
        <f>I8</f>
        <v>30.519736584875403</v>
      </c>
      <c r="L95">
        <f>I20</f>
        <v>17.1057291061623</v>
      </c>
      <c r="M95">
        <f t="shared" si="82"/>
        <v>-5.3124369974160039</v>
      </c>
      <c r="N95">
        <f t="shared" si="83"/>
        <v>8.1015704812970988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>
        <f t="shared" ref="I96:J97" si="121">I95</f>
        <v>25.207299587459399</v>
      </c>
      <c r="J96" t="e">
        <f t="shared" si="121"/>
        <v>#DIV/0!</v>
      </c>
      <c r="K96">
        <f>I8</f>
        <v>30.519736584875403</v>
      </c>
      <c r="L96">
        <f>I20</f>
        <v>17.1057291061623</v>
      </c>
      <c r="M96">
        <f t="shared" si="82"/>
        <v>-5.3124369974160039</v>
      </c>
      <c r="N96">
        <f t="shared" si="83"/>
        <v>8.1015704812970988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>
        <f t="shared" si="121"/>
        <v>25.207299587459399</v>
      </c>
      <c r="J97" t="e">
        <f t="shared" ref="J97" si="122">J95</f>
        <v>#DIV/0!</v>
      </c>
      <c r="K97">
        <f>I8</f>
        <v>30.519736584875403</v>
      </c>
      <c r="L97">
        <f>I20</f>
        <v>17.1057291061623</v>
      </c>
      <c r="M97">
        <f t="shared" si="82"/>
        <v>-5.3124369974160039</v>
      </c>
      <c r="N97">
        <f t="shared" si="83"/>
        <v>8.1015704812970988</v>
      </c>
    </row>
  </sheetData>
  <conditionalFormatting sqref="J2:J97">
    <cfRule type="cellIs" dxfId="12" priority="1" operator="greaterThan">
      <formula>0.3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C549-32E2-6D41-B868-128824FAE43B}">
  <dimension ref="A1:N97"/>
  <sheetViews>
    <sheetView topLeftCell="D33" workbookViewId="0">
      <selection activeCell="A71" sqref="A71:XFD91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30.835324968476801</v>
      </c>
      <c r="E2">
        <v>30.835324968476801</v>
      </c>
      <c r="F2" t="s">
        <v>31</v>
      </c>
      <c r="G2" s="9" t="s">
        <v>9</v>
      </c>
      <c r="H2">
        <v>154</v>
      </c>
      <c r="I2">
        <f>AVERAGE(D2:D4)</f>
        <v>30.560921107096533</v>
      </c>
      <c r="J2">
        <f>STDEV(D2:D4)</f>
        <v>0.23817039297039402</v>
      </c>
      <c r="K2">
        <f>I2</f>
        <v>30.560921107096533</v>
      </c>
      <c r="L2">
        <f>I14</f>
        <v>16.436879155117769</v>
      </c>
      <c r="M2">
        <f>I2-K2</f>
        <v>0</v>
      </c>
      <c r="N2">
        <f>I2-L2</f>
        <v>14.124041951978764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30.407843826571799</v>
      </c>
      <c r="E3">
        <v>30.407843826571799</v>
      </c>
      <c r="F3" t="s">
        <v>34</v>
      </c>
      <c r="G3" s="9" t="s">
        <v>9</v>
      </c>
      <c r="H3">
        <v>154</v>
      </c>
      <c r="I3">
        <f>I2</f>
        <v>30.560921107096533</v>
      </c>
      <c r="J3">
        <f>J2</f>
        <v>0.23817039297039402</v>
      </c>
      <c r="K3">
        <f>I2</f>
        <v>30.560921107096533</v>
      </c>
      <c r="L3">
        <f>I14</f>
        <v>16.436879155117769</v>
      </c>
      <c r="M3">
        <f t="shared" ref="M3:M66" si="0">I3-K3</f>
        <v>0</v>
      </c>
      <c r="N3">
        <f t="shared" ref="N3:N66" si="1">I3-L3</f>
        <v>14.124041951978764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30.439594526240999</v>
      </c>
      <c r="E4">
        <v>30.439594526240999</v>
      </c>
      <c r="F4" t="s">
        <v>35</v>
      </c>
      <c r="G4" s="9" t="s">
        <v>9</v>
      </c>
      <c r="H4">
        <v>154</v>
      </c>
      <c r="I4">
        <f>I2</f>
        <v>30.560921107096533</v>
      </c>
      <c r="J4">
        <f>J2</f>
        <v>0.23817039297039402</v>
      </c>
      <c r="K4">
        <f>I2</f>
        <v>30.560921107096533</v>
      </c>
      <c r="L4">
        <f>I14</f>
        <v>16.436879155117769</v>
      </c>
      <c r="M4">
        <f t="shared" si="0"/>
        <v>0</v>
      </c>
      <c r="N4">
        <f t="shared" si="1"/>
        <v>14.124041951978764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31.143297301817999</v>
      </c>
      <c r="E5">
        <v>31.143297301817999</v>
      </c>
      <c r="F5" t="s">
        <v>36</v>
      </c>
      <c r="G5" s="2" t="s">
        <v>20</v>
      </c>
      <c r="H5">
        <v>154</v>
      </c>
      <c r="I5">
        <f>AVERAGE(D5:D7)</f>
        <v>31.177307539623399</v>
      </c>
      <c r="J5">
        <f>STDEV(D5:D7)</f>
        <v>4.8097739563931666E-2</v>
      </c>
      <c r="K5">
        <f>I2</f>
        <v>30.560921107096533</v>
      </c>
      <c r="L5">
        <f>I14</f>
        <v>16.436879155117769</v>
      </c>
      <c r="M5">
        <f t="shared" si="0"/>
        <v>0.6163864325268662</v>
      </c>
      <c r="N5">
        <f t="shared" si="1"/>
        <v>14.740428384505631</v>
      </c>
    </row>
    <row r="6" spans="1:14" ht="17" thickBot="1" x14ac:dyDescent="0.25">
      <c r="A6" t="s">
        <v>37</v>
      </c>
      <c r="B6" t="s">
        <v>129</v>
      </c>
      <c r="C6" t="s">
        <v>32</v>
      </c>
      <c r="E6">
        <v>32.792481616546297</v>
      </c>
      <c r="F6" t="s">
        <v>37</v>
      </c>
      <c r="G6" s="2" t="s">
        <v>20</v>
      </c>
      <c r="H6">
        <v>154</v>
      </c>
      <c r="I6">
        <f>I5</f>
        <v>31.177307539623399</v>
      </c>
      <c r="J6">
        <f>J5</f>
        <v>4.8097739563931666E-2</v>
      </c>
      <c r="K6">
        <f>I2</f>
        <v>30.560921107096533</v>
      </c>
      <c r="L6">
        <f>I14</f>
        <v>16.436879155117769</v>
      </c>
      <c r="M6">
        <f t="shared" si="0"/>
        <v>0.6163864325268662</v>
      </c>
      <c r="N6">
        <f t="shared" si="1"/>
        <v>14.740428384505631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31.2113177774288</v>
      </c>
      <c r="E7">
        <v>31.2113177774288</v>
      </c>
      <c r="F7" t="s">
        <v>38</v>
      </c>
      <c r="G7" s="2" t="s">
        <v>20</v>
      </c>
      <c r="H7">
        <v>154</v>
      </c>
      <c r="I7">
        <f>I6</f>
        <v>31.177307539623399</v>
      </c>
      <c r="J7">
        <f>J5</f>
        <v>4.8097739563931666E-2</v>
      </c>
      <c r="K7">
        <f>I2</f>
        <v>30.560921107096533</v>
      </c>
      <c r="L7">
        <f>I14</f>
        <v>16.436879155117769</v>
      </c>
      <c r="M7">
        <f t="shared" si="0"/>
        <v>0.6163864325268662</v>
      </c>
      <c r="N7">
        <f t="shared" si="1"/>
        <v>14.740428384505631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33.1283805317983</v>
      </c>
      <c r="E8">
        <v>33.1283805317983</v>
      </c>
      <c r="F8" t="s">
        <v>39</v>
      </c>
      <c r="G8" s="9" t="s">
        <v>9</v>
      </c>
      <c r="H8">
        <v>156</v>
      </c>
      <c r="I8">
        <f t="shared" ref="I8" si="2">AVERAGE(D8:D10)</f>
        <v>33.093466388041101</v>
      </c>
      <c r="J8">
        <f t="shared" ref="J8" si="3">STDEV(D8:D10)</f>
        <v>4.9376055620074334E-2</v>
      </c>
      <c r="K8">
        <f>I8</f>
        <v>33.093466388041101</v>
      </c>
      <c r="L8">
        <f>I20</f>
        <v>16.1016038499445</v>
      </c>
      <c r="M8">
        <f t="shared" si="0"/>
        <v>0</v>
      </c>
      <c r="N8">
        <f t="shared" si="1"/>
        <v>16.991862538096601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31.999177268307601</v>
      </c>
      <c r="F9" t="s">
        <v>40</v>
      </c>
      <c r="G9" s="9" t="s">
        <v>9</v>
      </c>
      <c r="H9">
        <v>156</v>
      </c>
      <c r="I9">
        <f t="shared" ref="I9:J9" si="4">I8</f>
        <v>33.093466388041101</v>
      </c>
      <c r="J9">
        <f t="shared" si="4"/>
        <v>4.9376055620074334E-2</v>
      </c>
      <c r="K9">
        <f>I8</f>
        <v>33.093466388041101</v>
      </c>
      <c r="L9">
        <f>I20</f>
        <v>16.1016038499445</v>
      </c>
      <c r="M9">
        <f t="shared" si="0"/>
        <v>0</v>
      </c>
      <c r="N9">
        <f t="shared" si="1"/>
        <v>16.991862538096601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33.058552244283902</v>
      </c>
      <c r="E10">
        <v>33.058552244283902</v>
      </c>
      <c r="F10" t="s">
        <v>41</v>
      </c>
      <c r="G10" s="9" t="s">
        <v>9</v>
      </c>
      <c r="H10">
        <v>156</v>
      </c>
      <c r="I10">
        <f t="shared" ref="I10:J10" si="5">I8</f>
        <v>33.093466388041101</v>
      </c>
      <c r="J10">
        <f t="shared" si="5"/>
        <v>4.9376055620074334E-2</v>
      </c>
      <c r="K10">
        <f>I8</f>
        <v>33.093466388041101</v>
      </c>
      <c r="L10">
        <f>I20</f>
        <v>16.1016038499445</v>
      </c>
      <c r="M10">
        <f t="shared" si="0"/>
        <v>0</v>
      </c>
      <c r="N10">
        <f t="shared" si="1"/>
        <v>16.991862538096601</v>
      </c>
    </row>
    <row r="11" spans="1:14" ht="17" thickBot="1" x14ac:dyDescent="0.25">
      <c r="A11" t="s">
        <v>42</v>
      </c>
      <c r="B11" t="s">
        <v>129</v>
      </c>
      <c r="C11" t="s">
        <v>32</v>
      </c>
      <c r="D11">
        <v>31.752058935734901</v>
      </c>
      <c r="E11">
        <v>31.752058935734901</v>
      </c>
      <c r="F11" t="s">
        <v>42</v>
      </c>
      <c r="G11" s="2" t="s">
        <v>20</v>
      </c>
      <c r="H11">
        <v>156</v>
      </c>
      <c r="I11">
        <f t="shared" ref="I11" si="6">AVERAGE(D11:D13)</f>
        <v>32.034107017994202</v>
      </c>
      <c r="J11">
        <f t="shared" ref="J11" si="7">STDEV(D11:D13)</f>
        <v>0.3988762231724261</v>
      </c>
      <c r="K11">
        <f>I8</f>
        <v>33.093466388041101</v>
      </c>
      <c r="L11">
        <f>I20</f>
        <v>16.1016038499445</v>
      </c>
      <c r="M11">
        <f t="shared" si="0"/>
        <v>-1.0593593700468986</v>
      </c>
      <c r="N11">
        <f t="shared" si="1"/>
        <v>15.932503168049703</v>
      </c>
    </row>
    <row r="12" spans="1:14" ht="17" thickBot="1" x14ac:dyDescent="0.25">
      <c r="A12" t="s">
        <v>43</v>
      </c>
      <c r="B12" t="s">
        <v>129</v>
      </c>
      <c r="C12" t="s">
        <v>32</v>
      </c>
      <c r="E12">
        <v>21.971923925386498</v>
      </c>
      <c r="F12" t="s">
        <v>43</v>
      </c>
      <c r="G12" s="2" t="s">
        <v>20</v>
      </c>
      <c r="H12">
        <v>156</v>
      </c>
      <c r="I12">
        <f t="shared" ref="I12:J13" si="8">I11</f>
        <v>32.034107017994202</v>
      </c>
      <c r="J12">
        <f t="shared" si="8"/>
        <v>0.3988762231724261</v>
      </c>
      <c r="K12">
        <f>I8</f>
        <v>33.093466388041101</v>
      </c>
      <c r="L12">
        <f>I20</f>
        <v>16.1016038499445</v>
      </c>
      <c r="M12">
        <f t="shared" si="0"/>
        <v>-1.0593593700468986</v>
      </c>
      <c r="N12">
        <f t="shared" si="1"/>
        <v>15.932503168049703</v>
      </c>
    </row>
    <row r="13" spans="1:14" x14ac:dyDescent="0.2">
      <c r="A13" t="s">
        <v>44</v>
      </c>
      <c r="B13" t="s">
        <v>129</v>
      </c>
      <c r="C13" t="s">
        <v>32</v>
      </c>
      <c r="D13">
        <v>32.316155100253503</v>
      </c>
      <c r="E13">
        <v>32.316155100253503</v>
      </c>
      <c r="F13" t="s">
        <v>44</v>
      </c>
      <c r="G13" s="2" t="s">
        <v>20</v>
      </c>
      <c r="H13">
        <v>156</v>
      </c>
      <c r="I13">
        <f t="shared" si="8"/>
        <v>32.034107017994202</v>
      </c>
      <c r="J13">
        <f t="shared" ref="J13" si="9">J11</f>
        <v>0.3988762231724261</v>
      </c>
      <c r="K13">
        <f>I8</f>
        <v>33.093466388041101</v>
      </c>
      <c r="L13">
        <f>I20</f>
        <v>16.1016038499445</v>
      </c>
      <c r="M13">
        <f t="shared" si="0"/>
        <v>-1.0593593700468986</v>
      </c>
      <c r="N13">
        <f t="shared" si="1"/>
        <v>15.932503168049703</v>
      </c>
    </row>
    <row r="14" spans="1:14" x14ac:dyDescent="0.2">
      <c r="A14" t="s">
        <v>45</v>
      </c>
      <c r="B14" t="s">
        <v>129</v>
      </c>
      <c r="C14" t="s">
        <v>32</v>
      </c>
      <c r="D14">
        <v>16.585185209125498</v>
      </c>
      <c r="E14">
        <v>16.585185209125498</v>
      </c>
      <c r="F14" t="s">
        <v>45</v>
      </c>
      <c r="G14" s="11" t="s">
        <v>8</v>
      </c>
      <c r="H14">
        <v>154</v>
      </c>
      <c r="I14">
        <f t="shared" ref="I14" si="10">AVERAGE(D14:D16)</f>
        <v>16.436879155117769</v>
      </c>
      <c r="J14">
        <f t="shared" ref="J14" si="11">STDEV(D14:D16)</f>
        <v>0.17058071461898339</v>
      </c>
      <c r="K14">
        <f>I2</f>
        <v>30.560921107096533</v>
      </c>
      <c r="L14">
        <f>I14</f>
        <v>16.436879155117769</v>
      </c>
      <c r="M14">
        <f t="shared" si="0"/>
        <v>-14.124041951978764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16.2504685405823</v>
      </c>
      <c r="E15">
        <v>16.2504685405823</v>
      </c>
      <c r="F15" t="s">
        <v>46</v>
      </c>
      <c r="G15" s="11" t="s">
        <v>8</v>
      </c>
      <c r="H15">
        <v>154</v>
      </c>
      <c r="I15">
        <f t="shared" ref="I15:J15" si="12">I14</f>
        <v>16.436879155117769</v>
      </c>
      <c r="J15">
        <f t="shared" si="12"/>
        <v>0.17058071461898339</v>
      </c>
      <c r="K15">
        <f>I2</f>
        <v>30.560921107096533</v>
      </c>
      <c r="L15">
        <f>I14</f>
        <v>16.436879155117769</v>
      </c>
      <c r="M15">
        <f t="shared" si="0"/>
        <v>-14.124041951978764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16.4749837156455</v>
      </c>
      <c r="E16">
        <v>16.4749837156455</v>
      </c>
      <c r="F16" t="s">
        <v>47</v>
      </c>
      <c r="G16" s="11" t="s">
        <v>8</v>
      </c>
      <c r="H16">
        <v>154</v>
      </c>
      <c r="I16">
        <f t="shared" ref="I16:J16" si="13">I14</f>
        <v>16.436879155117769</v>
      </c>
      <c r="J16">
        <f t="shared" si="13"/>
        <v>0.17058071461898339</v>
      </c>
      <c r="K16">
        <f>I2</f>
        <v>30.560921107096533</v>
      </c>
      <c r="L16">
        <f>I14</f>
        <v>16.436879155117769</v>
      </c>
      <c r="M16">
        <f t="shared" si="0"/>
        <v>-14.124041951978764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34.323222035049099</v>
      </c>
      <c r="E17">
        <v>34.323222035049099</v>
      </c>
      <c r="F17" t="s">
        <v>48</v>
      </c>
      <c r="G17" s="1" t="s">
        <v>21</v>
      </c>
      <c r="H17">
        <v>154</v>
      </c>
      <c r="I17">
        <f t="shared" ref="I17" si="14">AVERAGE(D17:D19)</f>
        <v>33.780628082826397</v>
      </c>
      <c r="J17">
        <f t="shared" ref="J17" si="15">STDEV(D17:D19)</f>
        <v>0.76734372609496015</v>
      </c>
      <c r="K17">
        <f>I2</f>
        <v>30.560921107096533</v>
      </c>
      <c r="L17">
        <f>I14</f>
        <v>16.436879155117769</v>
      </c>
      <c r="M17">
        <f t="shared" si="0"/>
        <v>3.2197069757298635</v>
      </c>
      <c r="N17">
        <f t="shared" si="1"/>
        <v>17.343748927708628</v>
      </c>
    </row>
    <row r="18" spans="1:14" x14ac:dyDescent="0.2">
      <c r="A18" t="s">
        <v>49</v>
      </c>
      <c r="B18" t="s">
        <v>129</v>
      </c>
      <c r="C18" t="s">
        <v>32</v>
      </c>
      <c r="E18">
        <v>32.040625776970202</v>
      </c>
      <c r="F18" t="s">
        <v>49</v>
      </c>
      <c r="G18" s="1" t="s">
        <v>21</v>
      </c>
      <c r="H18">
        <v>154</v>
      </c>
      <c r="I18">
        <f t="shared" ref="I18:J19" si="16">I17</f>
        <v>33.780628082826397</v>
      </c>
      <c r="J18">
        <f t="shared" si="16"/>
        <v>0.76734372609496015</v>
      </c>
      <c r="K18">
        <f>I2</f>
        <v>30.560921107096533</v>
      </c>
      <c r="L18">
        <f>I14</f>
        <v>16.436879155117769</v>
      </c>
      <c r="M18">
        <f t="shared" si="0"/>
        <v>3.2197069757298635</v>
      </c>
      <c r="N18">
        <f t="shared" si="1"/>
        <v>17.343748927708628</v>
      </c>
    </row>
    <row r="19" spans="1:14" x14ac:dyDescent="0.2">
      <c r="A19" t="s">
        <v>50</v>
      </c>
      <c r="B19" t="s">
        <v>129</v>
      </c>
      <c r="C19" t="s">
        <v>32</v>
      </c>
      <c r="D19">
        <v>33.238034130603701</v>
      </c>
      <c r="E19">
        <v>33.238034130603701</v>
      </c>
      <c r="F19" t="s">
        <v>50</v>
      </c>
      <c r="G19" s="1" t="s">
        <v>21</v>
      </c>
      <c r="H19">
        <v>154</v>
      </c>
      <c r="I19">
        <f t="shared" si="16"/>
        <v>33.780628082826397</v>
      </c>
      <c r="J19">
        <f t="shared" ref="J19" si="17">J17</f>
        <v>0.76734372609496015</v>
      </c>
      <c r="K19">
        <f>I2</f>
        <v>30.560921107096533</v>
      </c>
      <c r="L19">
        <f>I14</f>
        <v>16.436879155117769</v>
      </c>
      <c r="M19">
        <f t="shared" si="0"/>
        <v>3.2197069757298635</v>
      </c>
      <c r="N19">
        <f t="shared" si="1"/>
        <v>17.343748927708628</v>
      </c>
    </row>
    <row r="20" spans="1:14" x14ac:dyDescent="0.2">
      <c r="A20" t="s">
        <v>51</v>
      </c>
      <c r="B20" t="s">
        <v>129</v>
      </c>
      <c r="C20" t="s">
        <v>32</v>
      </c>
      <c r="D20">
        <v>16.1426336164436</v>
      </c>
      <c r="E20">
        <v>16.1426336164436</v>
      </c>
      <c r="F20" t="s">
        <v>51</v>
      </c>
      <c r="G20" s="11" t="s">
        <v>8</v>
      </c>
      <c r="H20">
        <v>156</v>
      </c>
      <c r="I20">
        <f t="shared" ref="I20" si="18">AVERAGE(D20:D22)</f>
        <v>16.1016038499445</v>
      </c>
      <c r="J20">
        <f t="shared" ref="J20" si="19">STDEV(D20:D22)</f>
        <v>4.9907469386925217E-2</v>
      </c>
      <c r="K20">
        <f>I8</f>
        <v>33.093466388041101</v>
      </c>
      <c r="L20">
        <f>I20</f>
        <v>16.1016038499445</v>
      </c>
      <c r="M20">
        <f t="shared" si="0"/>
        <v>-16.991862538096601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16.0460436503691</v>
      </c>
      <c r="E21">
        <v>16.0460436503691</v>
      </c>
      <c r="F21" t="s">
        <v>52</v>
      </c>
      <c r="G21" s="11" t="s">
        <v>8</v>
      </c>
      <c r="H21">
        <v>156</v>
      </c>
      <c r="I21">
        <f t="shared" ref="I21:J21" si="20">I20</f>
        <v>16.1016038499445</v>
      </c>
      <c r="J21">
        <f t="shared" si="20"/>
        <v>4.9907469386925217E-2</v>
      </c>
      <c r="K21">
        <f>I8</f>
        <v>33.093466388041101</v>
      </c>
      <c r="L21">
        <f>I20</f>
        <v>16.1016038499445</v>
      </c>
      <c r="M21">
        <f t="shared" si="0"/>
        <v>-16.991862538096601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16.116134283020799</v>
      </c>
      <c r="E22">
        <v>16.116134283020799</v>
      </c>
      <c r="F22" t="s">
        <v>53</v>
      </c>
      <c r="G22" s="11" t="s">
        <v>8</v>
      </c>
      <c r="H22">
        <v>156</v>
      </c>
      <c r="I22">
        <f t="shared" ref="I22:J22" si="21">I20</f>
        <v>16.1016038499445</v>
      </c>
      <c r="J22">
        <f t="shared" si="21"/>
        <v>4.9907469386925217E-2</v>
      </c>
      <c r="K22">
        <f>I8</f>
        <v>33.093466388041101</v>
      </c>
      <c r="L22">
        <f>I20</f>
        <v>16.1016038499445</v>
      </c>
      <c r="M22">
        <f t="shared" si="0"/>
        <v>-16.991862538096601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32.131126050552503</v>
      </c>
      <c r="E23">
        <v>32.131126050552503</v>
      </c>
      <c r="F23" t="s">
        <v>54</v>
      </c>
      <c r="G23" s="1" t="s">
        <v>21</v>
      </c>
      <c r="H23">
        <v>156</v>
      </c>
      <c r="I23">
        <f t="shared" ref="I23" si="22">AVERAGE(D23:D25)</f>
        <v>32.394894044308352</v>
      </c>
      <c r="J23">
        <f t="shared" ref="J23" si="23">STDEV(D23:D25)</f>
        <v>0.37302427408946326</v>
      </c>
      <c r="K23">
        <f>I8</f>
        <v>33.093466388041101</v>
      </c>
      <c r="L23">
        <f>I20</f>
        <v>16.1016038499445</v>
      </c>
      <c r="M23">
        <f t="shared" si="0"/>
        <v>-0.69857234373274935</v>
      </c>
      <c r="N23">
        <f t="shared" si="1"/>
        <v>16.293290194363852</v>
      </c>
    </row>
    <row r="24" spans="1:14" x14ac:dyDescent="0.2">
      <c r="A24" t="s">
        <v>55</v>
      </c>
      <c r="B24" t="s">
        <v>129</v>
      </c>
      <c r="C24" t="s">
        <v>32</v>
      </c>
      <c r="E24">
        <v>22.523332032846199</v>
      </c>
      <c r="F24" t="s">
        <v>55</v>
      </c>
      <c r="G24" s="1" t="s">
        <v>21</v>
      </c>
      <c r="H24">
        <v>156</v>
      </c>
      <c r="I24">
        <f t="shared" ref="I24:J25" si="24">I23</f>
        <v>32.394894044308352</v>
      </c>
      <c r="J24">
        <f t="shared" si="24"/>
        <v>0.37302427408946326</v>
      </c>
      <c r="K24">
        <f>I8</f>
        <v>33.093466388041101</v>
      </c>
      <c r="L24">
        <f>I20</f>
        <v>16.1016038499445</v>
      </c>
      <c r="M24">
        <f t="shared" si="0"/>
        <v>-0.69857234373274935</v>
      </c>
      <c r="N24">
        <f t="shared" si="1"/>
        <v>16.293290194363852</v>
      </c>
    </row>
    <row r="25" spans="1:14" x14ac:dyDescent="0.2">
      <c r="A25" t="s">
        <v>56</v>
      </c>
      <c r="B25" t="s">
        <v>129</v>
      </c>
      <c r="C25" t="s">
        <v>32</v>
      </c>
      <c r="D25">
        <v>32.6586620380642</v>
      </c>
      <c r="E25">
        <v>32.6586620380642</v>
      </c>
      <c r="F25" t="s">
        <v>56</v>
      </c>
      <c r="G25" s="1" t="s">
        <v>21</v>
      </c>
      <c r="H25">
        <v>156</v>
      </c>
      <c r="I25">
        <f t="shared" si="24"/>
        <v>32.394894044308352</v>
      </c>
      <c r="J25">
        <f t="shared" ref="J25" si="25">J23</f>
        <v>0.37302427408946326</v>
      </c>
      <c r="K25">
        <f>I8</f>
        <v>33.093466388041101</v>
      </c>
      <c r="L25">
        <f>I20</f>
        <v>16.1016038499445</v>
      </c>
      <c r="M25">
        <f t="shared" si="0"/>
        <v>-0.69857234373274935</v>
      </c>
      <c r="N25">
        <f t="shared" si="1"/>
        <v>16.293290194363852</v>
      </c>
    </row>
    <row r="26" spans="1:14" x14ac:dyDescent="0.2">
      <c r="A26" t="s">
        <v>57</v>
      </c>
      <c r="B26" t="s">
        <v>129</v>
      </c>
      <c r="C26" t="s">
        <v>32</v>
      </c>
      <c r="E26">
        <v>29.6009898752102</v>
      </c>
      <c r="F26" t="s">
        <v>57</v>
      </c>
      <c r="G26" s="4" t="s">
        <v>14</v>
      </c>
      <c r="H26">
        <v>154</v>
      </c>
      <c r="I26">
        <f t="shared" ref="I26" si="26">AVERAGE(D26:D28)</f>
        <v>31.633297809470349</v>
      </c>
      <c r="J26">
        <f t="shared" ref="J26" si="27">STDEV(D26:D28)</f>
        <v>0.38738728734745836</v>
      </c>
      <c r="K26">
        <f>I2</f>
        <v>30.560921107096533</v>
      </c>
      <c r="L26">
        <f>I14</f>
        <v>16.436879155117769</v>
      </c>
      <c r="M26">
        <f t="shared" si="0"/>
        <v>1.0723767023738162</v>
      </c>
      <c r="N26">
        <f t="shared" si="1"/>
        <v>15.196418654352581</v>
      </c>
    </row>
    <row r="27" spans="1:14" x14ac:dyDescent="0.2">
      <c r="A27" t="s">
        <v>58</v>
      </c>
      <c r="B27" t="s">
        <v>129</v>
      </c>
      <c r="C27" t="s">
        <v>32</v>
      </c>
      <c r="D27">
        <v>31.907221987299199</v>
      </c>
      <c r="E27">
        <v>31.907221987299199</v>
      </c>
      <c r="F27" t="s">
        <v>58</v>
      </c>
      <c r="G27" s="4" t="s">
        <v>14</v>
      </c>
      <c r="H27">
        <v>154</v>
      </c>
      <c r="I27">
        <f t="shared" ref="I27:J27" si="28">I26</f>
        <v>31.633297809470349</v>
      </c>
      <c r="J27">
        <f t="shared" si="28"/>
        <v>0.38738728734745836</v>
      </c>
      <c r="K27">
        <f>I2</f>
        <v>30.560921107096533</v>
      </c>
      <c r="L27">
        <f>I14</f>
        <v>16.436879155117769</v>
      </c>
      <c r="M27">
        <f t="shared" si="0"/>
        <v>1.0723767023738162</v>
      </c>
      <c r="N27">
        <f t="shared" si="1"/>
        <v>15.196418654352581</v>
      </c>
    </row>
    <row r="28" spans="1:14" x14ac:dyDescent="0.2">
      <c r="A28" t="s">
        <v>59</v>
      </c>
      <c r="B28" t="s">
        <v>129</v>
      </c>
      <c r="C28" t="s">
        <v>32</v>
      </c>
      <c r="D28">
        <v>31.3593736316415</v>
      </c>
      <c r="E28">
        <v>31.3593736316415</v>
      </c>
      <c r="F28" t="s">
        <v>59</v>
      </c>
      <c r="G28" s="4" t="s">
        <v>14</v>
      </c>
      <c r="H28">
        <v>154</v>
      </c>
      <c r="I28">
        <f t="shared" ref="I28:J28" si="29">I26</f>
        <v>31.633297809470349</v>
      </c>
      <c r="J28">
        <f t="shared" si="29"/>
        <v>0.38738728734745836</v>
      </c>
      <c r="K28">
        <f>I2</f>
        <v>30.560921107096533</v>
      </c>
      <c r="L28">
        <f>I14</f>
        <v>16.436879155117769</v>
      </c>
      <c r="M28">
        <f t="shared" si="0"/>
        <v>1.0723767023738162</v>
      </c>
      <c r="N28">
        <f t="shared" si="1"/>
        <v>15.196418654352581</v>
      </c>
    </row>
    <row r="29" spans="1:14" x14ac:dyDescent="0.2">
      <c r="A29" t="s">
        <v>60</v>
      </c>
      <c r="B29" t="s">
        <v>129</v>
      </c>
      <c r="C29" t="s">
        <v>32</v>
      </c>
      <c r="E29">
        <v>32.336045160107197</v>
      </c>
      <c r="F29" t="s">
        <v>60</v>
      </c>
      <c r="G29" s="1" t="s">
        <v>23</v>
      </c>
      <c r="H29">
        <v>154</v>
      </c>
      <c r="I29">
        <f t="shared" ref="I29" si="30">AVERAGE(D29:D31)</f>
        <v>31.012490766738001</v>
      </c>
      <c r="J29">
        <f t="shared" ref="J29" si="31">STDEV(D29:D31)</f>
        <v>7.1777433082501368E-2</v>
      </c>
      <c r="K29">
        <f>I2</f>
        <v>30.560921107096533</v>
      </c>
      <c r="L29">
        <f>I14</f>
        <v>16.436879155117769</v>
      </c>
      <c r="M29">
        <f t="shared" si="0"/>
        <v>0.45156965964146778</v>
      </c>
      <c r="N29">
        <f t="shared" si="1"/>
        <v>14.575611611620232</v>
      </c>
    </row>
    <row r="30" spans="1:14" x14ac:dyDescent="0.2">
      <c r="A30" t="s">
        <v>61</v>
      </c>
      <c r="B30" t="s">
        <v>129</v>
      </c>
      <c r="C30" t="s">
        <v>32</v>
      </c>
      <c r="D30">
        <v>31.063245076406801</v>
      </c>
      <c r="E30">
        <v>31.063245076406801</v>
      </c>
      <c r="F30" t="s">
        <v>61</v>
      </c>
      <c r="G30" s="1" t="s">
        <v>23</v>
      </c>
      <c r="H30">
        <v>154</v>
      </c>
      <c r="I30">
        <f t="shared" ref="I30:J31" si="32">I29</f>
        <v>31.012490766738001</v>
      </c>
      <c r="J30">
        <f t="shared" si="32"/>
        <v>7.1777433082501368E-2</v>
      </c>
      <c r="K30">
        <f>I2</f>
        <v>30.560921107096533</v>
      </c>
      <c r="L30">
        <f>I14</f>
        <v>16.436879155117769</v>
      </c>
      <c r="M30">
        <f t="shared" si="0"/>
        <v>0.45156965964146778</v>
      </c>
      <c r="N30">
        <f t="shared" si="1"/>
        <v>14.575611611620232</v>
      </c>
    </row>
    <row r="31" spans="1:14" x14ac:dyDescent="0.2">
      <c r="A31" t="s">
        <v>62</v>
      </c>
      <c r="B31" t="s">
        <v>129</v>
      </c>
      <c r="C31" t="s">
        <v>32</v>
      </c>
      <c r="D31">
        <v>30.9617364570692</v>
      </c>
      <c r="E31">
        <v>30.9617364570692</v>
      </c>
      <c r="F31" t="s">
        <v>62</v>
      </c>
      <c r="G31" s="1" t="s">
        <v>23</v>
      </c>
      <c r="H31">
        <v>154</v>
      </c>
      <c r="I31">
        <f t="shared" si="32"/>
        <v>31.012490766738001</v>
      </c>
      <c r="J31">
        <f t="shared" ref="J31" si="33">J29</f>
        <v>7.1777433082501368E-2</v>
      </c>
      <c r="K31">
        <f>I2</f>
        <v>30.560921107096533</v>
      </c>
      <c r="L31">
        <f>I14</f>
        <v>16.436879155117769</v>
      </c>
      <c r="M31">
        <f t="shared" si="0"/>
        <v>0.45156965964146778</v>
      </c>
      <c r="N31">
        <f t="shared" si="1"/>
        <v>14.575611611620232</v>
      </c>
    </row>
    <row r="32" spans="1:14" x14ac:dyDescent="0.2">
      <c r="A32" t="s">
        <v>63</v>
      </c>
      <c r="B32" t="s">
        <v>129</v>
      </c>
      <c r="C32" t="s">
        <v>32</v>
      </c>
      <c r="D32">
        <v>30.9133127998582</v>
      </c>
      <c r="E32">
        <v>30.9133127998582</v>
      </c>
      <c r="F32" t="s">
        <v>63</v>
      </c>
      <c r="G32" s="4" t="s">
        <v>14</v>
      </c>
      <c r="H32">
        <v>156</v>
      </c>
      <c r="I32">
        <f t="shared" ref="I32" si="34">AVERAGE(D32:D34)</f>
        <v>31.160280449122251</v>
      </c>
      <c r="J32">
        <f t="shared" ref="J32" si="35">STDEV(D32:D34)</f>
        <v>0.34926499905662156</v>
      </c>
      <c r="K32">
        <f>I8</f>
        <v>33.093466388041101</v>
      </c>
      <c r="L32">
        <f>I20</f>
        <v>16.1016038499445</v>
      </c>
      <c r="M32">
        <f t="shared" si="0"/>
        <v>-1.9331859389188502</v>
      </c>
      <c r="N32">
        <f t="shared" si="1"/>
        <v>15.058676599177751</v>
      </c>
    </row>
    <row r="33" spans="1:14" x14ac:dyDescent="0.2">
      <c r="A33" t="s">
        <v>64</v>
      </c>
      <c r="B33" t="s">
        <v>129</v>
      </c>
      <c r="C33" t="s">
        <v>32</v>
      </c>
      <c r="E33">
        <v>32.591760670925403</v>
      </c>
      <c r="F33" t="s">
        <v>64</v>
      </c>
      <c r="G33" s="4" t="s">
        <v>14</v>
      </c>
      <c r="H33">
        <v>156</v>
      </c>
      <c r="I33">
        <f t="shared" ref="I33:J33" si="36">I32</f>
        <v>31.160280449122251</v>
      </c>
      <c r="J33">
        <f t="shared" si="36"/>
        <v>0.34926499905662156</v>
      </c>
      <c r="K33">
        <f>I8</f>
        <v>33.093466388041101</v>
      </c>
      <c r="L33">
        <f>I20</f>
        <v>16.1016038499445</v>
      </c>
      <c r="M33">
        <f t="shared" si="0"/>
        <v>-1.9331859389188502</v>
      </c>
      <c r="N33">
        <f t="shared" si="1"/>
        <v>15.058676599177751</v>
      </c>
    </row>
    <row r="34" spans="1:14" x14ac:dyDescent="0.2">
      <c r="A34" t="s">
        <v>65</v>
      </c>
      <c r="B34" t="s">
        <v>129</v>
      </c>
      <c r="C34" t="s">
        <v>32</v>
      </c>
      <c r="D34">
        <v>31.407248098386301</v>
      </c>
      <c r="E34">
        <v>31.407248098386301</v>
      </c>
      <c r="F34" t="s">
        <v>65</v>
      </c>
      <c r="G34" s="4" t="s">
        <v>14</v>
      </c>
      <c r="H34">
        <v>156</v>
      </c>
      <c r="I34">
        <f t="shared" ref="I34:J34" si="37">I32</f>
        <v>31.160280449122251</v>
      </c>
      <c r="J34">
        <f t="shared" si="37"/>
        <v>0.34926499905662156</v>
      </c>
      <c r="K34">
        <f>I8</f>
        <v>33.093466388041101</v>
      </c>
      <c r="L34">
        <f>I20</f>
        <v>16.1016038499445</v>
      </c>
      <c r="M34">
        <f t="shared" si="0"/>
        <v>-1.9331859389188502</v>
      </c>
      <c r="N34">
        <f t="shared" si="1"/>
        <v>15.058676599177751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31.144880354355902</v>
      </c>
      <c r="F35" s="17" t="s">
        <v>66</v>
      </c>
      <c r="G35" s="19" t="s">
        <v>23</v>
      </c>
      <c r="H35" s="17">
        <v>156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>
        <f>I8</f>
        <v>33.093466388041101</v>
      </c>
      <c r="L35" s="17">
        <f>I20</f>
        <v>16.1016038499445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36.022605267735699</v>
      </c>
      <c r="F36" s="17" t="s">
        <v>67</v>
      </c>
      <c r="G36" s="19" t="s">
        <v>23</v>
      </c>
      <c r="H36" s="17">
        <v>156</v>
      </c>
      <c r="I36" s="17" t="e">
        <f t="shared" ref="I36:J37" si="40">I35</f>
        <v>#DIV/0!</v>
      </c>
      <c r="J36" s="17" t="e">
        <f t="shared" si="40"/>
        <v>#DIV/0!</v>
      </c>
      <c r="K36" s="17">
        <f>I8</f>
        <v>33.093466388041101</v>
      </c>
      <c r="L36" s="17">
        <f>I20</f>
        <v>16.1016038499445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>
        <v>17.117808544546701</v>
      </c>
      <c r="F37" s="17" t="s">
        <v>68</v>
      </c>
      <c r="G37" s="19" t="s">
        <v>23</v>
      </c>
      <c r="H37" s="17">
        <v>156</v>
      </c>
      <c r="I37" s="17" t="e">
        <f t="shared" si="40"/>
        <v>#DIV/0!</v>
      </c>
      <c r="J37" s="17" t="e">
        <f t="shared" ref="J37" si="41">J35</f>
        <v>#DIV/0!</v>
      </c>
      <c r="K37" s="17">
        <f>I8</f>
        <v>33.093466388041101</v>
      </c>
      <c r="L37" s="17">
        <f>I20</f>
        <v>16.1016038499445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D38">
        <v>32.214874057287197</v>
      </c>
      <c r="E38">
        <v>32.214874057287197</v>
      </c>
      <c r="F38" t="s">
        <v>69</v>
      </c>
      <c r="G38" s="4" t="s">
        <v>15</v>
      </c>
      <c r="H38">
        <v>154</v>
      </c>
      <c r="I38">
        <f t="shared" ref="I38" si="42">AVERAGE(D38:D40)</f>
        <v>32.137530203377899</v>
      </c>
      <c r="J38">
        <f t="shared" ref="J38" si="43">STDEV(D38:D40)</f>
        <v>7.009168747650317E-2</v>
      </c>
      <c r="K38">
        <f>I2</f>
        <v>30.560921107096533</v>
      </c>
      <c r="L38">
        <f>I14</f>
        <v>16.436879155117769</v>
      </c>
      <c r="M38">
        <f t="shared" si="0"/>
        <v>1.5766090962813664</v>
      </c>
      <c r="N38">
        <f t="shared" si="1"/>
        <v>15.700651048260131</v>
      </c>
    </row>
    <row r="39" spans="1:14" x14ac:dyDescent="0.2">
      <c r="A39" t="s">
        <v>70</v>
      </c>
      <c r="B39" t="s">
        <v>129</v>
      </c>
      <c r="C39" t="s">
        <v>32</v>
      </c>
      <c r="D39">
        <v>32.119505088529401</v>
      </c>
      <c r="E39">
        <v>32.119505088529401</v>
      </c>
      <c r="F39" t="s">
        <v>70</v>
      </c>
      <c r="G39" s="4" t="s">
        <v>15</v>
      </c>
      <c r="H39">
        <v>154</v>
      </c>
      <c r="I39">
        <f t="shared" ref="I39:J39" si="44">I38</f>
        <v>32.137530203377899</v>
      </c>
      <c r="J39">
        <f t="shared" si="44"/>
        <v>7.009168747650317E-2</v>
      </c>
      <c r="K39">
        <f>I2</f>
        <v>30.560921107096533</v>
      </c>
      <c r="L39">
        <f>I14</f>
        <v>16.436879155117769</v>
      </c>
      <c r="M39">
        <f t="shared" si="0"/>
        <v>1.5766090962813664</v>
      </c>
      <c r="N39">
        <f t="shared" si="1"/>
        <v>15.700651048260131</v>
      </c>
    </row>
    <row r="40" spans="1:14" x14ac:dyDescent="0.2">
      <c r="A40" t="s">
        <v>71</v>
      </c>
      <c r="B40" t="s">
        <v>129</v>
      </c>
      <c r="C40" t="s">
        <v>32</v>
      </c>
      <c r="D40">
        <v>32.0782114643171</v>
      </c>
      <c r="E40">
        <v>32.0782114643171</v>
      </c>
      <c r="F40" t="s">
        <v>71</v>
      </c>
      <c r="G40" s="4" t="s">
        <v>15</v>
      </c>
      <c r="H40">
        <v>154</v>
      </c>
      <c r="I40">
        <f t="shared" ref="I40:J40" si="45">I38</f>
        <v>32.137530203377899</v>
      </c>
      <c r="J40">
        <f t="shared" si="45"/>
        <v>7.009168747650317E-2</v>
      </c>
      <c r="K40">
        <f>I2</f>
        <v>30.560921107096533</v>
      </c>
      <c r="L40">
        <f>I14</f>
        <v>16.436879155117769</v>
      </c>
      <c r="M40">
        <f t="shared" si="0"/>
        <v>1.5766090962813664</v>
      </c>
      <c r="N40">
        <f t="shared" si="1"/>
        <v>15.700651048260131</v>
      </c>
    </row>
    <row r="41" spans="1:14" x14ac:dyDescent="0.2">
      <c r="A41" t="s">
        <v>72</v>
      </c>
      <c r="B41" t="s">
        <v>129</v>
      </c>
      <c r="C41" t="s">
        <v>32</v>
      </c>
      <c r="D41">
        <v>32.213082136733298</v>
      </c>
      <c r="E41">
        <v>32.213082136733298</v>
      </c>
      <c r="F41" t="s">
        <v>72</v>
      </c>
      <c r="G41" s="1" t="s">
        <v>22</v>
      </c>
      <c r="H41">
        <v>154</v>
      </c>
      <c r="I41">
        <f t="shared" ref="I41" si="46">AVERAGE(D41:D43)</f>
        <v>31.964017514769701</v>
      </c>
      <c r="J41">
        <f t="shared" ref="J41" si="47">STDEV(D41:D43)</f>
        <v>0.35223056628825017</v>
      </c>
      <c r="K41">
        <f>I2</f>
        <v>30.560921107096533</v>
      </c>
      <c r="L41">
        <f>I14</f>
        <v>16.436879155117769</v>
      </c>
      <c r="M41">
        <f t="shared" si="0"/>
        <v>1.4030964076731678</v>
      </c>
      <c r="N41">
        <f t="shared" si="1"/>
        <v>15.527138359651932</v>
      </c>
    </row>
    <row r="42" spans="1:14" x14ac:dyDescent="0.2">
      <c r="A42" t="s">
        <v>73</v>
      </c>
      <c r="B42" t="s">
        <v>129</v>
      </c>
      <c r="C42" t="s">
        <v>32</v>
      </c>
      <c r="D42">
        <v>31.7149528928061</v>
      </c>
      <c r="E42">
        <v>31.7149528928061</v>
      </c>
      <c r="F42" t="s">
        <v>73</v>
      </c>
      <c r="G42" s="1" t="s">
        <v>22</v>
      </c>
      <c r="H42">
        <v>154</v>
      </c>
      <c r="I42">
        <f t="shared" ref="I42:J43" si="48">I41</f>
        <v>31.964017514769701</v>
      </c>
      <c r="J42">
        <f t="shared" si="48"/>
        <v>0.35223056628825017</v>
      </c>
      <c r="K42">
        <f>I2</f>
        <v>30.560921107096533</v>
      </c>
      <c r="L42">
        <f>I14</f>
        <v>16.436879155117769</v>
      </c>
      <c r="M42">
        <f t="shared" si="0"/>
        <v>1.4030964076731678</v>
      </c>
      <c r="N42">
        <f t="shared" si="1"/>
        <v>15.527138359651932</v>
      </c>
    </row>
    <row r="43" spans="1:14" x14ac:dyDescent="0.2">
      <c r="A43" t="s">
        <v>74</v>
      </c>
      <c r="B43" t="s">
        <v>129</v>
      </c>
      <c r="C43" t="s">
        <v>32</v>
      </c>
      <c r="E43">
        <v>33.023004209684302</v>
      </c>
      <c r="F43" t="s">
        <v>74</v>
      </c>
      <c r="G43" s="1" t="s">
        <v>22</v>
      </c>
      <c r="H43">
        <v>154</v>
      </c>
      <c r="I43">
        <f t="shared" si="48"/>
        <v>31.964017514769701</v>
      </c>
      <c r="J43">
        <f t="shared" ref="J43" si="49">J41</f>
        <v>0.35223056628825017</v>
      </c>
      <c r="K43">
        <f>I2</f>
        <v>30.560921107096533</v>
      </c>
      <c r="L43">
        <f>I14</f>
        <v>16.436879155117769</v>
      </c>
      <c r="M43">
        <f t="shared" si="0"/>
        <v>1.4030964076731678</v>
      </c>
      <c r="N43">
        <f t="shared" si="1"/>
        <v>15.527138359651932</v>
      </c>
    </row>
    <row r="44" spans="1:14" x14ac:dyDescent="0.2">
      <c r="A44" t="s">
        <v>75</v>
      </c>
      <c r="B44" t="s">
        <v>129</v>
      </c>
      <c r="C44" t="s">
        <v>32</v>
      </c>
      <c r="D44">
        <v>31.712721885424699</v>
      </c>
      <c r="E44">
        <v>31.712721885424699</v>
      </c>
      <c r="F44" t="s">
        <v>75</v>
      </c>
      <c r="G44" s="4" t="s">
        <v>15</v>
      </c>
      <c r="H44">
        <v>156</v>
      </c>
      <c r="I44">
        <f t="shared" ref="I44" si="50">AVERAGE(D44:D46)</f>
        <v>31.542119498249864</v>
      </c>
      <c r="J44">
        <f t="shared" ref="J44" si="51">STDEV(D44:D46)</f>
        <v>0.16901538786562362</v>
      </c>
      <c r="K44">
        <f>I8</f>
        <v>33.093466388041101</v>
      </c>
      <c r="L44">
        <f>I20</f>
        <v>16.1016038499445</v>
      </c>
      <c r="M44">
        <f t="shared" si="0"/>
        <v>-1.5513468897912368</v>
      </c>
      <c r="N44">
        <f t="shared" si="1"/>
        <v>15.440515648305364</v>
      </c>
    </row>
    <row r="45" spans="1:14" x14ac:dyDescent="0.2">
      <c r="A45" t="s">
        <v>76</v>
      </c>
      <c r="B45" t="s">
        <v>129</v>
      </c>
      <c r="C45" t="s">
        <v>32</v>
      </c>
      <c r="D45">
        <v>31.538899486750999</v>
      </c>
      <c r="E45">
        <v>31.538899486750999</v>
      </c>
      <c r="F45" t="s">
        <v>76</v>
      </c>
      <c r="G45" s="4" t="s">
        <v>15</v>
      </c>
      <c r="H45">
        <v>156</v>
      </c>
      <c r="I45">
        <f t="shared" ref="I45:J45" si="52">I44</f>
        <v>31.542119498249864</v>
      </c>
      <c r="J45">
        <f t="shared" si="52"/>
        <v>0.16901538786562362</v>
      </c>
      <c r="K45">
        <f>I8</f>
        <v>33.093466388041101</v>
      </c>
      <c r="L45">
        <f>I20</f>
        <v>16.1016038499445</v>
      </c>
      <c r="M45">
        <f t="shared" si="0"/>
        <v>-1.5513468897912368</v>
      </c>
      <c r="N45">
        <f t="shared" si="1"/>
        <v>15.440515648305364</v>
      </c>
    </row>
    <row r="46" spans="1:14" x14ac:dyDescent="0.2">
      <c r="A46" t="s">
        <v>77</v>
      </c>
      <c r="B46" t="s">
        <v>129</v>
      </c>
      <c r="C46" t="s">
        <v>32</v>
      </c>
      <c r="D46">
        <v>31.374737122573901</v>
      </c>
      <c r="E46">
        <v>31.374737122573901</v>
      </c>
      <c r="F46" t="s">
        <v>77</v>
      </c>
      <c r="G46" s="4" t="s">
        <v>15</v>
      </c>
      <c r="H46">
        <v>156</v>
      </c>
      <c r="I46">
        <f t="shared" ref="I46:J46" si="53">I44</f>
        <v>31.542119498249864</v>
      </c>
      <c r="J46">
        <f t="shared" si="53"/>
        <v>0.16901538786562362</v>
      </c>
      <c r="K46">
        <f>I8</f>
        <v>33.093466388041101</v>
      </c>
      <c r="L46">
        <f>I20</f>
        <v>16.1016038499445</v>
      </c>
      <c r="M46">
        <f t="shared" si="0"/>
        <v>-1.5513468897912368</v>
      </c>
      <c r="N46">
        <f t="shared" si="1"/>
        <v>15.440515648305364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31.041691350300301</v>
      </c>
      <c r="F47" s="17" t="s">
        <v>78</v>
      </c>
      <c r="G47" s="19" t="s">
        <v>22</v>
      </c>
      <c r="H47" s="17">
        <v>156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33.093466388041101</v>
      </c>
      <c r="L47" s="17">
        <f>I20</f>
        <v>16.1016038499445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36.968940217778297</v>
      </c>
      <c r="F48" s="17" t="s">
        <v>79</v>
      </c>
      <c r="G48" s="19" t="s">
        <v>22</v>
      </c>
      <c r="H48" s="17">
        <v>156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33.093466388041101</v>
      </c>
      <c r="L48" s="17">
        <f>I20</f>
        <v>16.1016038499445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>
        <v>28.612002794985401</v>
      </c>
      <c r="F49" s="17" t="s">
        <v>80</v>
      </c>
      <c r="G49" s="19" t="s">
        <v>22</v>
      </c>
      <c r="H49" s="17">
        <v>156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33.093466388041101</v>
      </c>
      <c r="L49" s="17">
        <f>I20</f>
        <v>16.1016038499445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31.215264694538099</v>
      </c>
      <c r="E50">
        <v>31.215264694538099</v>
      </c>
      <c r="F50" t="s">
        <v>81</v>
      </c>
      <c r="G50" s="4" t="s">
        <v>16</v>
      </c>
      <c r="H50">
        <v>154</v>
      </c>
      <c r="I50">
        <f t="shared" ref="I50" si="58">AVERAGE(D50:D52)</f>
        <v>31.1310228420834</v>
      </c>
      <c r="J50">
        <f t="shared" ref="J50" si="59">STDEV(D50:D52)</f>
        <v>0.11913597026086893</v>
      </c>
      <c r="K50">
        <f>I2</f>
        <v>30.560921107096533</v>
      </c>
      <c r="L50">
        <f>I14</f>
        <v>16.436879155117769</v>
      </c>
      <c r="M50">
        <f t="shared" si="0"/>
        <v>0.57010173498686711</v>
      </c>
      <c r="N50">
        <f t="shared" si="1"/>
        <v>14.694143686965631</v>
      </c>
    </row>
    <row r="51" spans="1:14" x14ac:dyDescent="0.2">
      <c r="A51" t="s">
        <v>82</v>
      </c>
      <c r="B51" t="s">
        <v>129</v>
      </c>
      <c r="C51" t="s">
        <v>32</v>
      </c>
      <c r="D51">
        <v>31.046780989628701</v>
      </c>
      <c r="E51">
        <v>31.046780989628701</v>
      </c>
      <c r="F51" t="s">
        <v>82</v>
      </c>
      <c r="G51" s="4" t="s">
        <v>16</v>
      </c>
      <c r="H51">
        <v>154</v>
      </c>
      <c r="I51">
        <f t="shared" ref="I51:J51" si="60">I50</f>
        <v>31.1310228420834</v>
      </c>
      <c r="J51">
        <f t="shared" si="60"/>
        <v>0.11913597026086893</v>
      </c>
      <c r="K51">
        <f>I2</f>
        <v>30.560921107096533</v>
      </c>
      <c r="L51">
        <f>I14</f>
        <v>16.436879155117769</v>
      </c>
      <c r="M51">
        <f t="shared" si="0"/>
        <v>0.57010173498686711</v>
      </c>
      <c r="N51">
        <f t="shared" si="1"/>
        <v>14.694143686965631</v>
      </c>
    </row>
    <row r="52" spans="1:14" x14ac:dyDescent="0.2">
      <c r="A52" t="s">
        <v>83</v>
      </c>
      <c r="B52" t="s">
        <v>129</v>
      </c>
      <c r="C52" t="s">
        <v>32</v>
      </c>
      <c r="E52">
        <v>30.348789086331699</v>
      </c>
      <c r="F52" t="s">
        <v>83</v>
      </c>
      <c r="G52" s="4" t="s">
        <v>16</v>
      </c>
      <c r="H52">
        <v>154</v>
      </c>
      <c r="I52">
        <f t="shared" ref="I52:J52" si="61">I50</f>
        <v>31.1310228420834</v>
      </c>
      <c r="J52">
        <f t="shared" si="61"/>
        <v>0.11913597026086893</v>
      </c>
      <c r="K52">
        <f>I2</f>
        <v>30.560921107096533</v>
      </c>
      <c r="L52">
        <f>I14</f>
        <v>16.436879155117769</v>
      </c>
      <c r="M52">
        <f t="shared" si="0"/>
        <v>0.57010173498686711</v>
      </c>
      <c r="N52">
        <f t="shared" si="1"/>
        <v>14.694143686965631</v>
      </c>
    </row>
    <row r="53" spans="1:14" x14ac:dyDescent="0.2">
      <c r="A53" t="s">
        <v>84</v>
      </c>
      <c r="B53" t="s">
        <v>129</v>
      </c>
      <c r="C53" t="s">
        <v>32</v>
      </c>
      <c r="E53">
        <v>36.740941139376297</v>
      </c>
      <c r="F53" t="s">
        <v>84</v>
      </c>
      <c r="G53" s="1" t="s">
        <v>24</v>
      </c>
      <c r="H53">
        <v>154</v>
      </c>
      <c r="I53">
        <f t="shared" ref="I53" si="62">AVERAGE(D53:D55)</f>
        <v>32.803055096103002</v>
      </c>
      <c r="J53">
        <f t="shared" ref="J53" si="63">STDEV(D53:D55)</f>
        <v>0.17047411407923799</v>
      </c>
      <c r="K53">
        <f>I2</f>
        <v>30.560921107096533</v>
      </c>
      <c r="L53">
        <f>I14</f>
        <v>16.436879155117769</v>
      </c>
      <c r="M53">
        <f t="shared" si="0"/>
        <v>2.2421339890064687</v>
      </c>
      <c r="N53">
        <f t="shared" si="1"/>
        <v>16.366175940985233</v>
      </c>
    </row>
    <row r="54" spans="1:14" x14ac:dyDescent="0.2">
      <c r="A54" t="s">
        <v>85</v>
      </c>
      <c r="B54" t="s">
        <v>129</v>
      </c>
      <c r="C54" t="s">
        <v>32</v>
      </c>
      <c r="D54">
        <v>32.682511694020803</v>
      </c>
      <c r="E54">
        <v>32.682511694020803</v>
      </c>
      <c r="F54" t="s">
        <v>85</v>
      </c>
      <c r="G54" s="1" t="s">
        <v>24</v>
      </c>
      <c r="H54">
        <v>154</v>
      </c>
      <c r="I54">
        <f t="shared" ref="I54:J55" si="64">I53</f>
        <v>32.803055096103002</v>
      </c>
      <c r="J54">
        <f t="shared" si="64"/>
        <v>0.17047411407923799</v>
      </c>
      <c r="K54">
        <f>I2</f>
        <v>30.560921107096533</v>
      </c>
      <c r="L54">
        <f>I14</f>
        <v>16.436879155117769</v>
      </c>
      <c r="M54">
        <f t="shared" si="0"/>
        <v>2.2421339890064687</v>
      </c>
      <c r="N54">
        <f t="shared" si="1"/>
        <v>16.366175940985233</v>
      </c>
    </row>
    <row r="55" spans="1:14" x14ac:dyDescent="0.2">
      <c r="A55" t="s">
        <v>86</v>
      </c>
      <c r="B55" t="s">
        <v>129</v>
      </c>
      <c r="C55" t="s">
        <v>32</v>
      </c>
      <c r="D55">
        <v>32.9235984981852</v>
      </c>
      <c r="E55">
        <v>32.9235984981852</v>
      </c>
      <c r="F55" t="s">
        <v>86</v>
      </c>
      <c r="G55" s="1" t="s">
        <v>24</v>
      </c>
      <c r="H55">
        <v>154</v>
      </c>
      <c r="I55">
        <f t="shared" si="64"/>
        <v>32.803055096103002</v>
      </c>
      <c r="J55">
        <f t="shared" ref="J55" si="65">J53</f>
        <v>0.17047411407923799</v>
      </c>
      <c r="K55">
        <f>I2</f>
        <v>30.560921107096533</v>
      </c>
      <c r="L55">
        <f>I14</f>
        <v>16.436879155117769</v>
      </c>
      <c r="M55">
        <f t="shared" si="0"/>
        <v>2.2421339890064687</v>
      </c>
      <c r="N55">
        <f t="shared" si="1"/>
        <v>16.366175940985233</v>
      </c>
    </row>
    <row r="56" spans="1:14" x14ac:dyDescent="0.2">
      <c r="A56" t="s">
        <v>87</v>
      </c>
      <c r="B56" t="s">
        <v>129</v>
      </c>
      <c r="C56" t="s">
        <v>32</v>
      </c>
      <c r="D56">
        <v>30.121475893447901</v>
      </c>
      <c r="E56">
        <v>30.121475893447901</v>
      </c>
      <c r="F56" t="s">
        <v>87</v>
      </c>
      <c r="G56" s="4" t="s">
        <v>16</v>
      </c>
      <c r="H56">
        <v>156</v>
      </c>
      <c r="I56">
        <f t="shared" ref="I56" si="66">AVERAGE(D56:D58)</f>
        <v>30.115948772300648</v>
      </c>
      <c r="J56">
        <f t="shared" ref="J56" si="67">STDEV(D56:D58)</f>
        <v>7.8165296873217577E-3</v>
      </c>
      <c r="K56">
        <f>I8</f>
        <v>33.093466388041101</v>
      </c>
      <c r="L56">
        <f>I20</f>
        <v>16.1016038499445</v>
      </c>
      <c r="M56">
        <f t="shared" si="0"/>
        <v>-2.977517615740453</v>
      </c>
      <c r="N56">
        <f t="shared" si="1"/>
        <v>14.014344922356148</v>
      </c>
    </row>
    <row r="57" spans="1:14" x14ac:dyDescent="0.2">
      <c r="A57" t="s">
        <v>88</v>
      </c>
      <c r="B57" t="s">
        <v>129</v>
      </c>
      <c r="C57" t="s">
        <v>32</v>
      </c>
      <c r="D57">
        <v>30.110421651153398</v>
      </c>
      <c r="E57">
        <v>30.110421651153398</v>
      </c>
      <c r="F57" t="s">
        <v>88</v>
      </c>
      <c r="G57" s="4" t="s">
        <v>16</v>
      </c>
      <c r="H57">
        <v>156</v>
      </c>
      <c r="I57">
        <f t="shared" ref="I57:J57" si="68">I56</f>
        <v>30.115948772300648</v>
      </c>
      <c r="J57">
        <f t="shared" si="68"/>
        <v>7.8165296873217577E-3</v>
      </c>
      <c r="K57">
        <f>I8</f>
        <v>33.093466388041101</v>
      </c>
      <c r="L57">
        <f>I20</f>
        <v>16.1016038499445</v>
      </c>
      <c r="M57">
        <f t="shared" si="0"/>
        <v>-2.977517615740453</v>
      </c>
      <c r="N57">
        <f t="shared" si="1"/>
        <v>14.014344922356148</v>
      </c>
    </row>
    <row r="58" spans="1:14" x14ac:dyDescent="0.2">
      <c r="A58" t="s">
        <v>89</v>
      </c>
      <c r="B58" t="s">
        <v>129</v>
      </c>
      <c r="C58" t="s">
        <v>32</v>
      </c>
      <c r="E58">
        <v>30.759778859267499</v>
      </c>
      <c r="F58" t="s">
        <v>89</v>
      </c>
      <c r="G58" s="4" t="s">
        <v>16</v>
      </c>
      <c r="H58">
        <v>156</v>
      </c>
      <c r="I58">
        <f t="shared" ref="I58:J58" si="69">I56</f>
        <v>30.115948772300648</v>
      </c>
      <c r="J58">
        <f t="shared" si="69"/>
        <v>7.8165296873217577E-3</v>
      </c>
      <c r="K58">
        <f>I8</f>
        <v>33.093466388041101</v>
      </c>
      <c r="L58">
        <f>I20</f>
        <v>16.1016038499445</v>
      </c>
      <c r="M58">
        <f t="shared" si="0"/>
        <v>-2.977517615740453</v>
      </c>
      <c r="N58">
        <f t="shared" si="1"/>
        <v>14.014344922356148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33.206297331741801</v>
      </c>
      <c r="F59" s="17" t="s">
        <v>90</v>
      </c>
      <c r="G59" s="19" t="s">
        <v>24</v>
      </c>
      <c r="H59" s="17">
        <v>156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33.093466388041101</v>
      </c>
      <c r="L59" s="17">
        <f>I20</f>
        <v>16.1016038499445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29.4413291847072</v>
      </c>
      <c r="F60" s="17" t="s">
        <v>91</v>
      </c>
      <c r="G60" s="19" t="s">
        <v>24</v>
      </c>
      <c r="H60" s="17">
        <v>156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33.093466388041101</v>
      </c>
      <c r="L60" s="17">
        <f>I20</f>
        <v>16.1016038499445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>
        <v>10.683817955664001</v>
      </c>
      <c r="F61" s="17" t="s">
        <v>92</v>
      </c>
      <c r="G61" s="19" t="s">
        <v>24</v>
      </c>
      <c r="H61" s="17">
        <v>156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33.093466388041101</v>
      </c>
      <c r="L61" s="17">
        <f>I20</f>
        <v>16.1016038499445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30.2185490994875</v>
      </c>
      <c r="E62">
        <v>30.2185490994875</v>
      </c>
      <c r="F62" t="s">
        <v>93</v>
      </c>
      <c r="G62" s="4" t="s">
        <v>17</v>
      </c>
      <c r="H62">
        <v>154</v>
      </c>
      <c r="I62">
        <f t="shared" ref="I62" si="74">AVERAGE(D62:D64)</f>
        <v>30.223135919956832</v>
      </c>
      <c r="J62">
        <f t="shared" ref="J62" si="75">STDEV(D62:D64)</f>
        <v>0.17747815233432399</v>
      </c>
      <c r="K62">
        <f>I2</f>
        <v>30.560921107096533</v>
      </c>
      <c r="L62">
        <f>I14</f>
        <v>16.436879155117769</v>
      </c>
      <c r="M62">
        <f t="shared" si="0"/>
        <v>-0.33778518713970129</v>
      </c>
      <c r="N62">
        <f t="shared" si="1"/>
        <v>13.786256764839063</v>
      </c>
    </row>
    <row r="63" spans="1:14" x14ac:dyDescent="0.2">
      <c r="A63" t="s">
        <v>94</v>
      </c>
      <c r="B63" t="s">
        <v>129</v>
      </c>
      <c r="C63" t="s">
        <v>32</v>
      </c>
      <c r="D63">
        <v>30.4028630230587</v>
      </c>
      <c r="E63">
        <v>30.4028630230587</v>
      </c>
      <c r="F63" t="s">
        <v>94</v>
      </c>
      <c r="G63" s="4" t="s">
        <v>17</v>
      </c>
      <c r="H63">
        <v>154</v>
      </c>
      <c r="I63">
        <f t="shared" ref="I63:J63" si="76">I62</f>
        <v>30.223135919956832</v>
      </c>
      <c r="J63">
        <f t="shared" si="76"/>
        <v>0.17747815233432399</v>
      </c>
      <c r="K63">
        <f>I2</f>
        <v>30.560921107096533</v>
      </c>
      <c r="L63">
        <f>I14</f>
        <v>16.436879155117769</v>
      </c>
      <c r="M63">
        <f t="shared" si="0"/>
        <v>-0.33778518713970129</v>
      </c>
      <c r="N63">
        <f t="shared" si="1"/>
        <v>13.786256764839063</v>
      </c>
    </row>
    <row r="64" spans="1:14" x14ac:dyDescent="0.2">
      <c r="A64" t="s">
        <v>95</v>
      </c>
      <c r="B64" t="s">
        <v>129</v>
      </c>
      <c r="C64" t="s">
        <v>32</v>
      </c>
      <c r="D64">
        <v>30.047995637324298</v>
      </c>
      <c r="E64">
        <v>30.047995637324298</v>
      </c>
      <c r="F64" t="s">
        <v>95</v>
      </c>
      <c r="G64" s="4" t="s">
        <v>17</v>
      </c>
      <c r="H64">
        <v>154</v>
      </c>
      <c r="I64">
        <f t="shared" ref="I64:J64" si="77">I62</f>
        <v>30.223135919956832</v>
      </c>
      <c r="J64">
        <f t="shared" si="77"/>
        <v>0.17747815233432399</v>
      </c>
      <c r="K64">
        <f>I2</f>
        <v>30.560921107096533</v>
      </c>
      <c r="L64">
        <f>I14</f>
        <v>16.436879155117769</v>
      </c>
      <c r="M64">
        <f t="shared" si="0"/>
        <v>-0.33778518713970129</v>
      </c>
      <c r="N64">
        <f t="shared" si="1"/>
        <v>13.786256764839063</v>
      </c>
    </row>
    <row r="65" spans="1:14" x14ac:dyDescent="0.2">
      <c r="A65" t="s">
        <v>96</v>
      </c>
      <c r="B65" t="s">
        <v>129</v>
      </c>
      <c r="C65" t="s">
        <v>32</v>
      </c>
      <c r="E65">
        <v>31.689537675544798</v>
      </c>
      <c r="F65" t="s">
        <v>96</v>
      </c>
      <c r="G65" s="1" t="s">
        <v>25</v>
      </c>
      <c r="H65">
        <v>154</v>
      </c>
      <c r="I65">
        <f t="shared" ref="I65" si="78">AVERAGE(D65:D67)</f>
        <v>30.998239739051598</v>
      </c>
      <c r="J65">
        <f t="shared" ref="J65" si="79">STDEV(D65:D67)</f>
        <v>0.17565382537666779</v>
      </c>
      <c r="K65">
        <f>I2</f>
        <v>30.560921107096533</v>
      </c>
      <c r="L65">
        <f>I14</f>
        <v>16.436879155117769</v>
      </c>
      <c r="M65">
        <f t="shared" si="0"/>
        <v>0.43731863195506548</v>
      </c>
      <c r="N65">
        <f t="shared" si="1"/>
        <v>14.56136058393383</v>
      </c>
    </row>
    <row r="66" spans="1:14" x14ac:dyDescent="0.2">
      <c r="A66" t="s">
        <v>97</v>
      </c>
      <c r="B66" t="s">
        <v>129</v>
      </c>
      <c r="C66" t="s">
        <v>32</v>
      </c>
      <c r="D66">
        <v>31.1224457501168</v>
      </c>
      <c r="E66">
        <v>31.1224457501168</v>
      </c>
      <c r="F66" t="s">
        <v>97</v>
      </c>
      <c r="G66" s="1" t="s">
        <v>25</v>
      </c>
      <c r="H66">
        <v>154</v>
      </c>
      <c r="I66">
        <f t="shared" ref="I66:J67" si="80">I65</f>
        <v>30.998239739051598</v>
      </c>
      <c r="J66">
        <f t="shared" si="80"/>
        <v>0.17565382537666779</v>
      </c>
      <c r="K66">
        <f>I2</f>
        <v>30.560921107096533</v>
      </c>
      <c r="L66">
        <f>I14</f>
        <v>16.436879155117769</v>
      </c>
      <c r="M66">
        <f t="shared" si="0"/>
        <v>0.43731863195506548</v>
      </c>
      <c r="N66">
        <f t="shared" si="1"/>
        <v>14.56136058393383</v>
      </c>
    </row>
    <row r="67" spans="1:14" x14ac:dyDescent="0.2">
      <c r="A67" t="s">
        <v>98</v>
      </c>
      <c r="B67" t="s">
        <v>129</v>
      </c>
      <c r="C67" t="s">
        <v>32</v>
      </c>
      <c r="D67">
        <v>30.874033727986401</v>
      </c>
      <c r="E67">
        <v>30.874033727986401</v>
      </c>
      <c r="F67" t="s">
        <v>98</v>
      </c>
      <c r="G67" s="1" t="s">
        <v>25</v>
      </c>
      <c r="H67">
        <v>154</v>
      </c>
      <c r="I67">
        <f t="shared" si="80"/>
        <v>30.998239739051598</v>
      </c>
      <c r="J67">
        <f t="shared" ref="J67" si="81">J65</f>
        <v>0.17565382537666779</v>
      </c>
      <c r="K67">
        <f>I2</f>
        <v>30.560921107096533</v>
      </c>
      <c r="L67">
        <f>I14</f>
        <v>16.436879155117769</v>
      </c>
      <c r="M67">
        <f t="shared" ref="M67:M97" si="82">I67-K67</f>
        <v>0.43731863195506548</v>
      </c>
      <c r="N67">
        <f t="shared" ref="N67:N97" si="83">I67-L67</f>
        <v>14.56136058393383</v>
      </c>
    </row>
    <row r="68" spans="1:14" x14ac:dyDescent="0.2">
      <c r="A68" t="s">
        <v>99</v>
      </c>
      <c r="B68" t="s">
        <v>129</v>
      </c>
      <c r="C68" t="s">
        <v>32</v>
      </c>
      <c r="D68">
        <v>30.018388225606401</v>
      </c>
      <c r="E68">
        <v>30.018388225606401</v>
      </c>
      <c r="F68" t="s">
        <v>99</v>
      </c>
      <c r="G68" s="4" t="s">
        <v>17</v>
      </c>
      <c r="H68">
        <v>156</v>
      </c>
      <c r="I68">
        <f t="shared" ref="I68" si="84">AVERAGE(D68:D70)</f>
        <v>30.222290400615002</v>
      </c>
      <c r="J68">
        <f t="shared" ref="J68" si="85">STDEV(D68:D70)</f>
        <v>0.28836122129453301</v>
      </c>
      <c r="K68">
        <f>I8</f>
        <v>33.093466388041101</v>
      </c>
      <c r="L68">
        <f>I20</f>
        <v>16.1016038499445</v>
      </c>
      <c r="M68">
        <f t="shared" si="82"/>
        <v>-2.8711759874260991</v>
      </c>
      <c r="N68">
        <f t="shared" si="83"/>
        <v>14.120686550670502</v>
      </c>
    </row>
    <row r="69" spans="1:14" x14ac:dyDescent="0.2">
      <c r="A69" t="s">
        <v>100</v>
      </c>
      <c r="B69" t="s">
        <v>129</v>
      </c>
      <c r="C69" t="s">
        <v>32</v>
      </c>
      <c r="D69">
        <v>30.426192575623599</v>
      </c>
      <c r="E69">
        <v>30.426192575623599</v>
      </c>
      <c r="F69" t="s">
        <v>100</v>
      </c>
      <c r="G69" s="4" t="s">
        <v>17</v>
      </c>
      <c r="H69">
        <v>156</v>
      </c>
      <c r="I69">
        <f t="shared" ref="I69:J69" si="86">I68</f>
        <v>30.222290400615002</v>
      </c>
      <c r="J69">
        <f t="shared" si="86"/>
        <v>0.28836122129453301</v>
      </c>
      <c r="K69">
        <f>I8</f>
        <v>33.093466388041101</v>
      </c>
      <c r="L69">
        <f>I20</f>
        <v>16.1016038499445</v>
      </c>
      <c r="M69">
        <f t="shared" si="82"/>
        <v>-2.8711759874260991</v>
      </c>
      <c r="N69">
        <f t="shared" si="83"/>
        <v>14.120686550670502</v>
      </c>
    </row>
    <row r="70" spans="1:14" x14ac:dyDescent="0.2">
      <c r="A70" t="s">
        <v>101</v>
      </c>
      <c r="B70" t="s">
        <v>129</v>
      </c>
      <c r="C70" t="s">
        <v>32</v>
      </c>
      <c r="E70">
        <v>31.325647594156301</v>
      </c>
      <c r="F70" t="s">
        <v>101</v>
      </c>
      <c r="G70" s="4" t="s">
        <v>17</v>
      </c>
      <c r="H70">
        <v>156</v>
      </c>
      <c r="I70">
        <f t="shared" ref="I70:J70" si="87">I68</f>
        <v>30.222290400615002</v>
      </c>
      <c r="J70">
        <f t="shared" si="87"/>
        <v>0.28836122129453301</v>
      </c>
      <c r="K70">
        <f>I8</f>
        <v>33.093466388041101</v>
      </c>
      <c r="L70">
        <f>I20</f>
        <v>16.1016038499445</v>
      </c>
      <c r="M70">
        <f t="shared" si="82"/>
        <v>-2.8711759874260991</v>
      </c>
      <c r="N70">
        <f t="shared" si="83"/>
        <v>14.120686550670502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31.011043574792001</v>
      </c>
      <c r="F71" s="17" t="s">
        <v>102</v>
      </c>
      <c r="G71" s="19" t="s">
        <v>25</v>
      </c>
      <c r="H71" s="17">
        <v>156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>
        <f>I8</f>
        <v>33.093466388041101</v>
      </c>
      <c r="L71" s="17">
        <f>I20</f>
        <v>16.1016038499445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18.2463260635643</v>
      </c>
      <c r="F72" s="17" t="s">
        <v>103</v>
      </c>
      <c r="G72" s="19" t="s">
        <v>25</v>
      </c>
      <c r="H72" s="17">
        <v>156</v>
      </c>
      <c r="I72" s="17" t="e">
        <f t="shared" ref="I72:J73" si="90">I71</f>
        <v>#DIV/0!</v>
      </c>
      <c r="J72" s="17" t="e">
        <f t="shared" si="90"/>
        <v>#DIV/0!</v>
      </c>
      <c r="K72" s="17">
        <f>I8</f>
        <v>33.093466388041101</v>
      </c>
      <c r="L72" s="17">
        <f>I20</f>
        <v>16.1016038499445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>
        <v>15.264301694701199</v>
      </c>
      <c r="F73" s="17" t="s">
        <v>104</v>
      </c>
      <c r="G73" s="19" t="s">
        <v>25</v>
      </c>
      <c r="H73" s="17">
        <v>156</v>
      </c>
      <c r="I73" s="17" t="e">
        <f t="shared" si="90"/>
        <v>#DIV/0!</v>
      </c>
      <c r="J73" s="17" t="e">
        <f t="shared" ref="J73" si="91">J71</f>
        <v>#DIV/0!</v>
      </c>
      <c r="K73" s="17">
        <f>I8</f>
        <v>33.093466388041101</v>
      </c>
      <c r="L73" s="17">
        <f>I20</f>
        <v>16.1016038499445</v>
      </c>
      <c r="M73" s="17" t="e">
        <f t="shared" si="82"/>
        <v>#DIV/0!</v>
      </c>
      <c r="N73" s="17" t="e">
        <f t="shared" si="83"/>
        <v>#DIV/0!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19.933460729641599</v>
      </c>
      <c r="F74" s="17" t="s">
        <v>105</v>
      </c>
      <c r="G74" s="20" t="s">
        <v>18</v>
      </c>
      <c r="H74" s="17">
        <v>154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30.560921107096533</v>
      </c>
      <c r="L74" s="17">
        <f>I14</f>
        <v>16.436879155117769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24.478547990776899</v>
      </c>
      <c r="F75" s="17" t="s">
        <v>106</v>
      </c>
      <c r="G75" s="20" t="s">
        <v>18</v>
      </c>
      <c r="H75" s="17">
        <v>154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30.560921107096533</v>
      </c>
      <c r="L75" s="17">
        <f>I14</f>
        <v>16.436879155117769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34.615283308371303</v>
      </c>
      <c r="F76" s="17" t="s">
        <v>107</v>
      </c>
      <c r="G76" s="20" t="s">
        <v>18</v>
      </c>
      <c r="H76" s="17">
        <v>154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30.560921107096533</v>
      </c>
      <c r="L76" s="17">
        <f>I14</f>
        <v>16.436879155117769</v>
      </c>
      <c r="M76" s="17" t="e">
        <f t="shared" si="82"/>
        <v>#DIV/0!</v>
      </c>
      <c r="N76" s="17" t="e">
        <f t="shared" si="83"/>
        <v>#DIV/0!</v>
      </c>
    </row>
    <row r="77" spans="1:14" s="17" customFormat="1" x14ac:dyDescent="0.2">
      <c r="A77" s="17" t="s">
        <v>108</v>
      </c>
      <c r="B77" s="17" t="s">
        <v>129</v>
      </c>
      <c r="C77" s="17" t="s">
        <v>32</v>
      </c>
      <c r="D77" s="17" t="s">
        <v>33</v>
      </c>
      <c r="E77" s="17" t="s">
        <v>33</v>
      </c>
      <c r="F77" s="17" t="s">
        <v>108</v>
      </c>
      <c r="I77" s="17" t="e">
        <f t="shared" ref="I77" si="95">AVERAGE(D77:D79)</f>
        <v>#DIV/0!</v>
      </c>
      <c r="J77" s="17" t="e">
        <f t="shared" ref="J77" si="96">STDEV(D77:D79)</f>
        <v>#DIV/0!</v>
      </c>
      <c r="K77" s="17">
        <f>I2</f>
        <v>30.560921107096533</v>
      </c>
      <c r="L77" s="17">
        <f>I14</f>
        <v>16.436879155117769</v>
      </c>
      <c r="M77" s="17" t="e">
        <f t="shared" si="82"/>
        <v>#DIV/0!</v>
      </c>
      <c r="N77" s="17" t="e">
        <f t="shared" si="83"/>
        <v>#DIV/0!</v>
      </c>
    </row>
    <row r="78" spans="1:14" s="17" customFormat="1" x14ac:dyDescent="0.2">
      <c r="A78" s="17" t="s">
        <v>109</v>
      </c>
      <c r="B78" s="17" t="s">
        <v>129</v>
      </c>
      <c r="C78" s="17" t="s">
        <v>32</v>
      </c>
      <c r="D78" s="17" t="s">
        <v>33</v>
      </c>
      <c r="E78" s="17" t="s">
        <v>33</v>
      </c>
      <c r="F78" s="17" t="s">
        <v>109</v>
      </c>
      <c r="I78" s="17" t="e">
        <f t="shared" ref="I78:J79" si="97">I77</f>
        <v>#DIV/0!</v>
      </c>
      <c r="J78" s="17" t="e">
        <f t="shared" si="97"/>
        <v>#DIV/0!</v>
      </c>
      <c r="K78" s="17">
        <f>I2</f>
        <v>30.560921107096533</v>
      </c>
      <c r="L78" s="17">
        <f>I14</f>
        <v>16.436879155117769</v>
      </c>
      <c r="M78" s="17" t="e">
        <f t="shared" si="82"/>
        <v>#DIV/0!</v>
      </c>
      <c r="N78" s="17" t="e">
        <f t="shared" si="83"/>
        <v>#DIV/0!</v>
      </c>
    </row>
    <row r="79" spans="1:14" s="17" customFormat="1" x14ac:dyDescent="0.2">
      <c r="A79" s="17" t="s">
        <v>110</v>
      </c>
      <c r="B79" s="17" t="s">
        <v>129</v>
      </c>
      <c r="C79" s="17" t="s">
        <v>32</v>
      </c>
      <c r="D79" s="17" t="s">
        <v>33</v>
      </c>
      <c r="E79" s="17" t="s">
        <v>33</v>
      </c>
      <c r="F79" s="17" t="s">
        <v>110</v>
      </c>
      <c r="I79" s="17" t="e">
        <f t="shared" si="97"/>
        <v>#DIV/0!</v>
      </c>
      <c r="J79" s="17" t="e">
        <f t="shared" ref="J79" si="98">J77</f>
        <v>#DIV/0!</v>
      </c>
      <c r="K79" s="17">
        <f>I2</f>
        <v>30.560921107096533</v>
      </c>
      <c r="L79" s="17">
        <f>I14</f>
        <v>16.436879155117769</v>
      </c>
      <c r="M79" s="17" t="e">
        <f t="shared" si="82"/>
        <v>#DIV/0!</v>
      </c>
      <c r="N79" s="17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21.6930237268786</v>
      </c>
      <c r="F80" s="17" t="s">
        <v>111</v>
      </c>
      <c r="G80" s="20" t="s">
        <v>18</v>
      </c>
      <c r="H80" s="17">
        <v>156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33.093466388041101</v>
      </c>
      <c r="L80" s="17">
        <f>I20</f>
        <v>16.1016038499445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18.520171182796201</v>
      </c>
      <c r="F81" s="17" t="s">
        <v>112</v>
      </c>
      <c r="G81" s="20" t="s">
        <v>18</v>
      </c>
      <c r="H81" s="17">
        <v>156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33.093466388041101</v>
      </c>
      <c r="L81" s="17">
        <f>I20</f>
        <v>16.1016038499445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38.020019330854801</v>
      </c>
      <c r="F82" s="17" t="s">
        <v>113</v>
      </c>
      <c r="G82" s="20" t="s">
        <v>18</v>
      </c>
      <c r="H82" s="17">
        <v>156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33.093466388041101</v>
      </c>
      <c r="L82" s="17">
        <f>I20</f>
        <v>16.1016038499445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D83" s="17" t="s">
        <v>33</v>
      </c>
      <c r="E83" s="17" t="s">
        <v>33</v>
      </c>
      <c r="F83" s="17" t="s">
        <v>114</v>
      </c>
      <c r="I83" s="17" t="e">
        <f t="shared" ref="I83" si="103">AVERAGE(D83:D85)</f>
        <v>#DIV/0!</v>
      </c>
      <c r="J83" s="17" t="e">
        <f t="shared" ref="J83" si="104">STDEV(D83:D85)</f>
        <v>#DIV/0!</v>
      </c>
      <c r="K83" s="17">
        <f>I8</f>
        <v>33.093466388041101</v>
      </c>
      <c r="L83" s="17">
        <f>I20</f>
        <v>16.1016038499445</v>
      </c>
      <c r="M83" s="17" t="e">
        <f t="shared" si="82"/>
        <v>#DIV/0!</v>
      </c>
      <c r="N83" s="17" t="e">
        <f t="shared" si="83"/>
        <v>#DIV/0!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D84" s="17" t="s">
        <v>33</v>
      </c>
      <c r="E84" s="17" t="s">
        <v>33</v>
      </c>
      <c r="F84" s="17" t="s">
        <v>115</v>
      </c>
      <c r="I84" s="17" t="e">
        <f t="shared" ref="I84:J85" si="105">I83</f>
        <v>#DIV/0!</v>
      </c>
      <c r="J84" s="17" t="e">
        <f t="shared" si="105"/>
        <v>#DIV/0!</v>
      </c>
      <c r="K84" s="17">
        <f>I8</f>
        <v>33.093466388041101</v>
      </c>
      <c r="L84" s="17">
        <f>I20</f>
        <v>16.1016038499445</v>
      </c>
      <c r="M84" s="17" t="e">
        <f t="shared" si="82"/>
        <v>#DIV/0!</v>
      </c>
      <c r="N84" s="17" t="e">
        <f t="shared" si="83"/>
        <v>#DIV/0!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D85" s="17" t="s">
        <v>33</v>
      </c>
      <c r="E85" s="17" t="s">
        <v>33</v>
      </c>
      <c r="F85" s="17" t="s">
        <v>116</v>
      </c>
      <c r="I85" s="17" t="e">
        <f t="shared" si="105"/>
        <v>#DIV/0!</v>
      </c>
      <c r="J85" s="17" t="e">
        <f t="shared" ref="J85" si="106">J83</f>
        <v>#DIV/0!</v>
      </c>
      <c r="K85" s="17">
        <f>I8</f>
        <v>33.093466388041101</v>
      </c>
      <c r="L85" s="17">
        <f>I20</f>
        <v>16.1016038499445</v>
      </c>
      <c r="M85" s="17" t="e">
        <f t="shared" si="82"/>
        <v>#DIV/0!</v>
      </c>
      <c r="N85" s="17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2.95811528845412</v>
      </c>
      <c r="F86" s="17" t="s">
        <v>117</v>
      </c>
      <c r="G86" s="21" t="s">
        <v>19</v>
      </c>
      <c r="H86" s="17">
        <v>154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30.560921107096533</v>
      </c>
      <c r="L86" s="17">
        <f>I14</f>
        <v>16.436879155117769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 t="s">
        <v>33</v>
      </c>
      <c r="F87" s="17" t="s">
        <v>118</v>
      </c>
      <c r="G87" s="21" t="s">
        <v>19</v>
      </c>
      <c r="H87" s="17">
        <v>154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30.560921107096533</v>
      </c>
      <c r="L87" s="17">
        <f>I14</f>
        <v>16.436879155117769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12.802540591593299</v>
      </c>
      <c r="F88" s="17" t="s">
        <v>119</v>
      </c>
      <c r="G88" s="21" t="s">
        <v>19</v>
      </c>
      <c r="H88" s="17">
        <v>154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30.560921107096533</v>
      </c>
      <c r="L88" s="17">
        <f>I14</f>
        <v>16.436879155117769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D89" s="17" t="s">
        <v>33</v>
      </c>
      <c r="E89" s="17" t="s">
        <v>33</v>
      </c>
      <c r="F89" s="17" t="s">
        <v>120</v>
      </c>
      <c r="I89" s="17" t="e">
        <f t="shared" ref="I89" si="111">AVERAGE(D89:D91)</f>
        <v>#DIV/0!</v>
      </c>
      <c r="J89" s="17" t="e">
        <f t="shared" ref="J89" si="112">STDEV(D89:D91)</f>
        <v>#DIV/0!</v>
      </c>
      <c r="K89" s="17">
        <f>I2</f>
        <v>30.560921107096533</v>
      </c>
      <c r="L89" s="17">
        <f>I14</f>
        <v>16.436879155117769</v>
      </c>
      <c r="M89" s="17" t="e">
        <f t="shared" si="82"/>
        <v>#DIV/0!</v>
      </c>
      <c r="N89" s="17" t="e">
        <f t="shared" si="83"/>
        <v>#DIV/0!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D90" s="17" t="s">
        <v>33</v>
      </c>
      <c r="E90" s="17" t="s">
        <v>33</v>
      </c>
      <c r="F90" s="17" t="s">
        <v>121</v>
      </c>
      <c r="I90" s="17" t="e">
        <f t="shared" ref="I90:J91" si="113">I89</f>
        <v>#DIV/0!</v>
      </c>
      <c r="J90" s="17" t="e">
        <f t="shared" si="113"/>
        <v>#DIV/0!</v>
      </c>
      <c r="K90" s="17">
        <f>I2</f>
        <v>30.560921107096533</v>
      </c>
      <c r="L90" s="17">
        <f>I14</f>
        <v>16.436879155117769</v>
      </c>
      <c r="M90" s="17" t="e">
        <f t="shared" si="82"/>
        <v>#DIV/0!</v>
      </c>
      <c r="N90" s="17" t="e">
        <f t="shared" si="83"/>
        <v>#DIV/0!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D91" s="17" t="s">
        <v>33</v>
      </c>
      <c r="E91" s="17" t="s">
        <v>33</v>
      </c>
      <c r="F91" s="17" t="s">
        <v>122</v>
      </c>
      <c r="I91" s="17" t="e">
        <f t="shared" si="113"/>
        <v>#DIV/0!</v>
      </c>
      <c r="J91" s="17" t="e">
        <f t="shared" ref="J91" si="114">J89</f>
        <v>#DIV/0!</v>
      </c>
      <c r="K91" s="17">
        <f>I2</f>
        <v>30.560921107096533</v>
      </c>
      <c r="L91" s="17">
        <f>I14</f>
        <v>16.436879155117769</v>
      </c>
      <c r="M91" s="17" t="e">
        <f t="shared" si="82"/>
        <v>#DIV/0!</v>
      </c>
      <c r="N91" s="17" t="e">
        <f t="shared" si="83"/>
        <v>#DIV/0!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12.095734852527301</v>
      </c>
      <c r="E92">
        <v>12.095734852527301</v>
      </c>
      <c r="F92" t="s">
        <v>123</v>
      </c>
      <c r="G92" s="6" t="s">
        <v>19</v>
      </c>
      <c r="H92">
        <v>156</v>
      </c>
      <c r="I92">
        <f t="shared" ref="I92" si="115">AVERAGE(D92:D94)</f>
        <v>12.034833245178634</v>
      </c>
      <c r="J92">
        <f t="shared" ref="J92" si="116">STDEV(D92:D94)</f>
        <v>0.25509818770511972</v>
      </c>
      <c r="K92">
        <f>I8</f>
        <v>33.093466388041101</v>
      </c>
      <c r="L92">
        <f>I20</f>
        <v>16.1016038499445</v>
      </c>
      <c r="M92">
        <f t="shared" si="82"/>
        <v>-21.058633142862469</v>
      </c>
      <c r="N92">
        <f t="shared" si="83"/>
        <v>-4.0667706047658658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12.2539687613161</v>
      </c>
      <c r="E93">
        <v>12.2539687613161</v>
      </c>
      <c r="F93" t="s">
        <v>124</v>
      </c>
      <c r="G93" s="6" t="s">
        <v>19</v>
      </c>
      <c r="H93">
        <v>156</v>
      </c>
      <c r="I93">
        <f t="shared" ref="I93:J93" si="117">I92</f>
        <v>12.034833245178634</v>
      </c>
      <c r="J93">
        <f t="shared" si="117"/>
        <v>0.25509818770511972</v>
      </c>
      <c r="K93">
        <f>I8</f>
        <v>33.093466388041101</v>
      </c>
      <c r="L93">
        <f>I20</f>
        <v>16.1016038499445</v>
      </c>
      <c r="M93">
        <f t="shared" si="82"/>
        <v>-21.058633142862469</v>
      </c>
      <c r="N93">
        <f t="shared" si="83"/>
        <v>-4.0667706047658658</v>
      </c>
    </row>
    <row r="94" spans="1:14" ht="17" thickBot="1" x14ac:dyDescent="0.25">
      <c r="A94" t="s">
        <v>125</v>
      </c>
      <c r="B94" t="s">
        <v>129</v>
      </c>
      <c r="C94" t="s">
        <v>32</v>
      </c>
      <c r="D94">
        <v>11.7547961216925</v>
      </c>
      <c r="E94">
        <v>11.7547961216925</v>
      </c>
      <c r="F94" t="s">
        <v>125</v>
      </c>
      <c r="G94" s="6" t="s">
        <v>19</v>
      </c>
      <c r="H94">
        <v>156</v>
      </c>
      <c r="I94">
        <f t="shared" ref="I94:J94" si="118">I92</f>
        <v>12.034833245178634</v>
      </c>
      <c r="J94">
        <f t="shared" si="118"/>
        <v>0.25509818770511972</v>
      </c>
      <c r="K94">
        <f>I8</f>
        <v>33.093466388041101</v>
      </c>
      <c r="L94">
        <f>I20</f>
        <v>16.1016038499445</v>
      </c>
      <c r="M94">
        <f t="shared" si="82"/>
        <v>-21.058633142862469</v>
      </c>
      <c r="N94">
        <f t="shared" si="83"/>
        <v>-4.0667706047658658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33.093466388041101</v>
      </c>
      <c r="L95">
        <f>I20</f>
        <v>16.1016038499445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33.093466388041101</v>
      </c>
      <c r="L96">
        <f>I20</f>
        <v>16.1016038499445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33.093466388041101</v>
      </c>
      <c r="L97">
        <f>I20</f>
        <v>16.1016038499445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1" priority="1" operator="greaterThan">
      <formula>0.3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D698-A2DC-7345-AA06-153CA8D9C9CD}">
  <dimension ref="A1:N97"/>
  <sheetViews>
    <sheetView workbookViewId="0">
      <selection activeCell="H48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s="17" customFormat="1" ht="17" thickBot="1" x14ac:dyDescent="0.25">
      <c r="A2" s="17" t="s">
        <v>31</v>
      </c>
      <c r="B2" s="17" t="s">
        <v>129</v>
      </c>
      <c r="C2" s="17" t="s">
        <v>32</v>
      </c>
      <c r="E2" s="17" t="s">
        <v>141</v>
      </c>
      <c r="F2" s="17" t="s">
        <v>31</v>
      </c>
      <c r="G2" s="22" t="s">
        <v>9</v>
      </c>
      <c r="H2" s="17" t="s">
        <v>148</v>
      </c>
      <c r="I2" s="17" t="e">
        <f>AVERAGE(D2:D4)</f>
        <v>#DIV/0!</v>
      </c>
      <c r="J2" s="17" t="e">
        <f>STDEV(D2:D4)</f>
        <v>#DIV/0!</v>
      </c>
      <c r="K2" s="17" t="e">
        <f>I2</f>
        <v>#DIV/0!</v>
      </c>
      <c r="L2" s="17" t="e">
        <f>I14</f>
        <v>#DIV/0!</v>
      </c>
      <c r="M2" s="17" t="e">
        <f>I2-K2</f>
        <v>#DIV/0!</v>
      </c>
      <c r="N2" s="17" t="e">
        <f>I2-L2</f>
        <v>#DIV/0!</v>
      </c>
    </row>
    <row r="3" spans="1:14" s="17" customFormat="1" ht="17" thickBot="1" x14ac:dyDescent="0.25">
      <c r="A3" s="17" t="s">
        <v>34</v>
      </c>
      <c r="B3" s="17" t="s">
        <v>129</v>
      </c>
      <c r="C3" s="17" t="s">
        <v>32</v>
      </c>
      <c r="E3" s="17" t="s">
        <v>141</v>
      </c>
      <c r="F3" s="17" t="s">
        <v>34</v>
      </c>
      <c r="G3" s="22" t="s">
        <v>9</v>
      </c>
      <c r="H3" s="17" t="s">
        <v>148</v>
      </c>
      <c r="I3" s="17" t="e">
        <f>I2</f>
        <v>#DIV/0!</v>
      </c>
      <c r="J3" s="17" t="e">
        <f>J2</f>
        <v>#DIV/0!</v>
      </c>
      <c r="K3" s="17" t="e">
        <f>I2</f>
        <v>#DIV/0!</v>
      </c>
      <c r="L3" s="17" t="e">
        <f>I14</f>
        <v>#DIV/0!</v>
      </c>
      <c r="M3" s="17" t="e">
        <f t="shared" ref="M3:M66" si="0">I3-K3</f>
        <v>#DIV/0!</v>
      </c>
      <c r="N3" s="17" t="e">
        <f t="shared" ref="N3:N66" si="1">I3-L3</f>
        <v>#DIV/0!</v>
      </c>
    </row>
    <row r="4" spans="1:14" s="17" customFormat="1" ht="17" thickBot="1" x14ac:dyDescent="0.25">
      <c r="A4" s="17" t="s">
        <v>35</v>
      </c>
      <c r="B4" s="17" t="s">
        <v>129</v>
      </c>
      <c r="C4" s="17" t="s">
        <v>32</v>
      </c>
      <c r="E4" s="17" t="s">
        <v>141</v>
      </c>
      <c r="F4" s="17" t="s">
        <v>35</v>
      </c>
      <c r="G4" s="22" t="s">
        <v>9</v>
      </c>
      <c r="H4" s="17" t="s">
        <v>148</v>
      </c>
      <c r="I4" s="17" t="e">
        <f>I2</f>
        <v>#DIV/0!</v>
      </c>
      <c r="J4" s="17" t="e">
        <f>J2</f>
        <v>#DIV/0!</v>
      </c>
      <c r="K4" s="17" t="e">
        <f>I2</f>
        <v>#DIV/0!</v>
      </c>
      <c r="L4" s="17" t="e">
        <f>I14</f>
        <v>#DIV/0!</v>
      </c>
      <c r="M4" s="17" t="e">
        <f t="shared" si="0"/>
        <v>#DIV/0!</v>
      </c>
      <c r="N4" s="17" t="e">
        <f t="shared" si="1"/>
        <v>#DIV/0!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21.188420398128599</v>
      </c>
      <c r="E5">
        <v>21.188420398128599</v>
      </c>
      <c r="F5" t="s">
        <v>36</v>
      </c>
      <c r="G5" s="2" t="s">
        <v>20</v>
      </c>
      <c r="H5" t="s">
        <v>148</v>
      </c>
      <c r="I5">
        <f>AVERAGE(D5:D7)</f>
        <v>21.529082477028197</v>
      </c>
      <c r="J5">
        <f>STDEV(D5:D7)</f>
        <v>0.48176893216602734</v>
      </c>
      <c r="K5" t="e">
        <f>I2</f>
        <v>#DIV/0!</v>
      </c>
      <c r="L5" t="e">
        <f>I14</f>
        <v>#DIV/0!</v>
      </c>
      <c r="M5" t="e">
        <f t="shared" si="0"/>
        <v>#DIV/0!</v>
      </c>
      <c r="N5" t="e">
        <f t="shared" si="1"/>
        <v>#DIV/0!</v>
      </c>
    </row>
    <row r="6" spans="1:14" ht="17" thickBot="1" x14ac:dyDescent="0.25">
      <c r="A6" t="s">
        <v>37</v>
      </c>
      <c r="B6" t="s">
        <v>129</v>
      </c>
      <c r="C6" t="s">
        <v>32</v>
      </c>
      <c r="E6">
        <v>5.8283505371481299</v>
      </c>
      <c r="F6" t="s">
        <v>37</v>
      </c>
      <c r="G6" s="2" t="s">
        <v>20</v>
      </c>
      <c r="H6" t="s">
        <v>148</v>
      </c>
      <c r="I6">
        <f>I5</f>
        <v>21.529082477028197</v>
      </c>
      <c r="J6">
        <f>J5</f>
        <v>0.48176893216602734</v>
      </c>
      <c r="K6" t="e">
        <f>I2</f>
        <v>#DIV/0!</v>
      </c>
      <c r="L6" t="e">
        <f>I14</f>
        <v>#DIV/0!</v>
      </c>
      <c r="M6" t="e">
        <f t="shared" si="0"/>
        <v>#DIV/0!</v>
      </c>
      <c r="N6" t="e">
        <f t="shared" si="1"/>
        <v>#DIV/0!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21.869744555927799</v>
      </c>
      <c r="E7">
        <v>21.869744555927799</v>
      </c>
      <c r="F7" t="s">
        <v>38</v>
      </c>
      <c r="G7" s="2" t="s">
        <v>20</v>
      </c>
      <c r="H7" t="s">
        <v>148</v>
      </c>
      <c r="I7">
        <f>I6</f>
        <v>21.529082477028197</v>
      </c>
      <c r="J7">
        <f>J5</f>
        <v>0.48176893216602734</v>
      </c>
      <c r="K7" t="e">
        <f>I2</f>
        <v>#DIV/0!</v>
      </c>
      <c r="L7" t="e">
        <f>I14</f>
        <v>#DIV/0!</v>
      </c>
      <c r="M7" t="e">
        <f t="shared" si="0"/>
        <v>#DIV/0!</v>
      </c>
      <c r="N7" t="e">
        <f t="shared" si="1"/>
        <v>#DIV/0!</v>
      </c>
    </row>
    <row r="8" spans="1:14" s="17" customFormat="1" ht="17" thickBot="1" x14ac:dyDescent="0.25">
      <c r="A8" s="17" t="s">
        <v>39</v>
      </c>
      <c r="B8" s="17" t="s">
        <v>129</v>
      </c>
      <c r="C8" s="17" t="s">
        <v>32</v>
      </c>
      <c r="E8" s="17">
        <v>17.015895791820601</v>
      </c>
      <c r="F8" s="17" t="s">
        <v>39</v>
      </c>
      <c r="G8" s="22" t="s">
        <v>9</v>
      </c>
      <c r="H8" s="17">
        <v>162</v>
      </c>
      <c r="I8" s="17" t="e">
        <f t="shared" ref="I8" si="2">AVERAGE(D8:D10)</f>
        <v>#DIV/0!</v>
      </c>
      <c r="J8" s="17" t="e">
        <f t="shared" ref="J8" si="3">STDEV(D8:D10)</f>
        <v>#DIV/0!</v>
      </c>
      <c r="K8" s="17" t="e">
        <f>I8</f>
        <v>#DIV/0!</v>
      </c>
      <c r="L8" s="17">
        <f>I20</f>
        <v>13.309090348519598</v>
      </c>
      <c r="M8" s="17" t="e">
        <f t="shared" si="0"/>
        <v>#DIV/0!</v>
      </c>
      <c r="N8" s="17" t="e">
        <f t="shared" si="1"/>
        <v>#DIV/0!</v>
      </c>
    </row>
    <row r="9" spans="1:14" s="17" customFormat="1" ht="17" thickBot="1" x14ac:dyDescent="0.25">
      <c r="A9" s="17" t="s">
        <v>40</v>
      </c>
      <c r="B9" s="17" t="s">
        <v>129</v>
      </c>
      <c r="C9" s="17" t="s">
        <v>32</v>
      </c>
      <c r="E9" s="17" t="s">
        <v>141</v>
      </c>
      <c r="F9" s="17" t="s">
        <v>40</v>
      </c>
      <c r="G9" s="22" t="s">
        <v>9</v>
      </c>
      <c r="H9" s="17">
        <v>162</v>
      </c>
      <c r="I9" s="17" t="e">
        <f t="shared" ref="I9:J9" si="4">I8</f>
        <v>#DIV/0!</v>
      </c>
      <c r="J9" s="17" t="e">
        <f t="shared" si="4"/>
        <v>#DIV/0!</v>
      </c>
      <c r="K9" s="17" t="e">
        <f>I8</f>
        <v>#DIV/0!</v>
      </c>
      <c r="L9" s="17">
        <f>I20</f>
        <v>13.309090348519598</v>
      </c>
      <c r="M9" s="17" t="e">
        <f t="shared" si="0"/>
        <v>#DIV/0!</v>
      </c>
      <c r="N9" s="17" t="e">
        <f t="shared" si="1"/>
        <v>#DIV/0!</v>
      </c>
    </row>
    <row r="10" spans="1:14" s="17" customFormat="1" ht="17" thickBot="1" x14ac:dyDescent="0.25">
      <c r="A10" s="17" t="s">
        <v>41</v>
      </c>
      <c r="B10" s="17" t="s">
        <v>129</v>
      </c>
      <c r="C10" s="17" t="s">
        <v>32</v>
      </c>
      <c r="E10" s="17" t="s">
        <v>141</v>
      </c>
      <c r="F10" s="17" t="s">
        <v>41</v>
      </c>
      <c r="G10" s="22" t="s">
        <v>9</v>
      </c>
      <c r="H10" s="17">
        <v>162</v>
      </c>
      <c r="I10" s="17" t="e">
        <f t="shared" ref="I10:J10" si="5">I8</f>
        <v>#DIV/0!</v>
      </c>
      <c r="J10" s="17" t="e">
        <f t="shared" si="5"/>
        <v>#DIV/0!</v>
      </c>
      <c r="K10" s="17" t="e">
        <f>I8</f>
        <v>#DIV/0!</v>
      </c>
      <c r="L10" s="17">
        <f>I20</f>
        <v>13.309090348519598</v>
      </c>
      <c r="M10" s="17" t="e">
        <f t="shared" si="0"/>
        <v>#DIV/0!</v>
      </c>
      <c r="N10" s="17" t="e">
        <f t="shared" si="1"/>
        <v>#DIV/0!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25.1466081776693</v>
      </c>
      <c r="F11" s="17" t="s">
        <v>42</v>
      </c>
      <c r="G11" s="18" t="s">
        <v>20</v>
      </c>
      <c r="H11" s="17">
        <v>162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 t="e">
        <f>I8</f>
        <v>#DIV/0!</v>
      </c>
      <c r="L11" s="17">
        <f>I20</f>
        <v>13.309090348519598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>
        <v>38.0577521111382</v>
      </c>
      <c r="F12" s="17" t="s">
        <v>43</v>
      </c>
      <c r="G12" s="18" t="s">
        <v>20</v>
      </c>
      <c r="H12" s="17">
        <v>162</v>
      </c>
      <c r="I12" s="17" t="e">
        <f t="shared" ref="I12:J13" si="8">I11</f>
        <v>#DIV/0!</v>
      </c>
      <c r="J12" s="17" t="e">
        <f t="shared" si="8"/>
        <v>#DIV/0!</v>
      </c>
      <c r="K12" s="17" t="e">
        <f>I8</f>
        <v>#DIV/0!</v>
      </c>
      <c r="L12" s="17">
        <f>I20</f>
        <v>13.309090348519598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 t="s">
        <v>141</v>
      </c>
      <c r="F13" s="17" t="s">
        <v>44</v>
      </c>
      <c r="G13" s="18" t="s">
        <v>20</v>
      </c>
      <c r="H13" s="17">
        <v>162</v>
      </c>
      <c r="I13" s="17" t="e">
        <f t="shared" si="8"/>
        <v>#DIV/0!</v>
      </c>
      <c r="J13" s="17" t="e">
        <f t="shared" ref="J13" si="9">J11</f>
        <v>#DIV/0!</v>
      </c>
      <c r="K13" s="17" t="e">
        <f>I8</f>
        <v>#DIV/0!</v>
      </c>
      <c r="L13" s="17">
        <f>I20</f>
        <v>13.309090348519598</v>
      </c>
      <c r="M13" s="17" t="e">
        <f t="shared" si="0"/>
        <v>#DIV/0!</v>
      </c>
      <c r="N13" s="17" t="e">
        <f t="shared" si="1"/>
        <v>#DIV/0!</v>
      </c>
    </row>
    <row r="14" spans="1:14" s="17" customFormat="1" x14ac:dyDescent="0.2">
      <c r="A14" s="17" t="s">
        <v>45</v>
      </c>
      <c r="B14" s="17" t="s">
        <v>129</v>
      </c>
      <c r="C14" s="17" t="s">
        <v>32</v>
      </c>
      <c r="E14" s="17">
        <v>33.116331745991097</v>
      </c>
      <c r="F14" s="17" t="s">
        <v>45</v>
      </c>
      <c r="G14" s="20" t="s">
        <v>8</v>
      </c>
      <c r="H14" s="17" t="s">
        <v>148</v>
      </c>
      <c r="I14" s="17" t="e">
        <f t="shared" ref="I14" si="10">AVERAGE(D14:D16)</f>
        <v>#DIV/0!</v>
      </c>
      <c r="J14" s="17" t="e">
        <f t="shared" ref="J14" si="11">STDEV(D14:D16)</f>
        <v>#DIV/0!</v>
      </c>
      <c r="K14" s="17" t="e">
        <f>I2</f>
        <v>#DIV/0!</v>
      </c>
      <c r="L14" s="17" t="e">
        <f>I14</f>
        <v>#DIV/0!</v>
      </c>
      <c r="M14" s="17" t="e">
        <f t="shared" si="0"/>
        <v>#DIV/0!</v>
      </c>
      <c r="N14" s="17" t="e">
        <f t="shared" si="1"/>
        <v>#DIV/0!</v>
      </c>
    </row>
    <row r="15" spans="1:14" s="17" customFormat="1" x14ac:dyDescent="0.2">
      <c r="A15" s="17" t="s">
        <v>46</v>
      </c>
      <c r="B15" s="17" t="s">
        <v>129</v>
      </c>
      <c r="C15" s="17" t="s">
        <v>32</v>
      </c>
      <c r="E15" s="17" t="s">
        <v>141</v>
      </c>
      <c r="F15" s="17" t="s">
        <v>46</v>
      </c>
      <c r="G15" s="20" t="s">
        <v>8</v>
      </c>
      <c r="H15" s="17" t="s">
        <v>148</v>
      </c>
      <c r="I15" s="17" t="e">
        <f t="shared" ref="I15:J15" si="12">I14</f>
        <v>#DIV/0!</v>
      </c>
      <c r="J15" s="17" t="e">
        <f t="shared" si="12"/>
        <v>#DIV/0!</v>
      </c>
      <c r="K15" s="17" t="e">
        <f>I2</f>
        <v>#DIV/0!</v>
      </c>
      <c r="L15" s="17" t="e">
        <f>I14</f>
        <v>#DIV/0!</v>
      </c>
      <c r="M15" s="17" t="e">
        <f t="shared" si="0"/>
        <v>#DIV/0!</v>
      </c>
      <c r="N15" s="17" t="e">
        <f t="shared" si="1"/>
        <v>#DIV/0!</v>
      </c>
    </row>
    <row r="16" spans="1:14" s="17" customFormat="1" x14ac:dyDescent="0.2">
      <c r="A16" s="17" t="s">
        <v>47</v>
      </c>
      <c r="B16" s="17" t="s">
        <v>129</v>
      </c>
      <c r="C16" s="17" t="s">
        <v>32</v>
      </c>
      <c r="E16" s="17">
        <v>16.344915266873901</v>
      </c>
      <c r="F16" s="17" t="s">
        <v>47</v>
      </c>
      <c r="G16" s="20" t="s">
        <v>8</v>
      </c>
      <c r="H16" s="17" t="s">
        <v>148</v>
      </c>
      <c r="I16" s="17" t="e">
        <f t="shared" ref="I16:J16" si="13">I14</f>
        <v>#DIV/0!</v>
      </c>
      <c r="J16" s="17" t="e">
        <f t="shared" si="13"/>
        <v>#DIV/0!</v>
      </c>
      <c r="K16" s="17" t="e">
        <f>I2</f>
        <v>#DIV/0!</v>
      </c>
      <c r="L16" s="17" t="e">
        <f>I14</f>
        <v>#DIV/0!</v>
      </c>
      <c r="M16" s="17" t="e">
        <f t="shared" si="0"/>
        <v>#DIV/0!</v>
      </c>
      <c r="N16" s="17" t="e">
        <f t="shared" si="1"/>
        <v>#DIV/0!</v>
      </c>
    </row>
    <row r="17" spans="1:14" s="17" customFormat="1" x14ac:dyDescent="0.2">
      <c r="A17" s="17" t="s">
        <v>48</v>
      </c>
      <c r="B17" s="17" t="s">
        <v>129</v>
      </c>
      <c r="C17" s="17" t="s">
        <v>32</v>
      </c>
      <c r="E17" s="17">
        <v>33.605273695202101</v>
      </c>
      <c r="F17" s="17" t="s">
        <v>48</v>
      </c>
      <c r="G17" s="19" t="s">
        <v>21</v>
      </c>
      <c r="H17" s="17" t="s">
        <v>148</v>
      </c>
      <c r="I17" s="17" t="e">
        <f t="shared" ref="I17" si="14">AVERAGE(D17:D19)</f>
        <v>#DIV/0!</v>
      </c>
      <c r="J17" s="17" t="e">
        <f t="shared" ref="J17" si="15">STDEV(D17:D19)</f>
        <v>#DIV/0!</v>
      </c>
      <c r="K17" s="17" t="e">
        <f>I2</f>
        <v>#DIV/0!</v>
      </c>
      <c r="L17" s="17" t="e">
        <f>I14</f>
        <v>#DIV/0!</v>
      </c>
      <c r="M17" s="17" t="e">
        <f t="shared" si="0"/>
        <v>#DIV/0!</v>
      </c>
      <c r="N17" s="17" t="e">
        <f t="shared" si="1"/>
        <v>#DIV/0!</v>
      </c>
    </row>
    <row r="18" spans="1:14" s="17" customFormat="1" x14ac:dyDescent="0.2">
      <c r="A18" s="17" t="s">
        <v>49</v>
      </c>
      <c r="B18" s="17" t="s">
        <v>129</v>
      </c>
      <c r="C18" s="17" t="s">
        <v>32</v>
      </c>
      <c r="E18" s="17">
        <v>32.461512806542899</v>
      </c>
      <c r="F18" s="17" t="s">
        <v>49</v>
      </c>
      <c r="G18" s="19" t="s">
        <v>21</v>
      </c>
      <c r="H18" s="17" t="s">
        <v>148</v>
      </c>
      <c r="I18" s="17" t="e">
        <f t="shared" ref="I18:J19" si="16">I17</f>
        <v>#DIV/0!</v>
      </c>
      <c r="J18" s="17" t="e">
        <f t="shared" si="16"/>
        <v>#DIV/0!</v>
      </c>
      <c r="K18" s="17" t="e">
        <f>I2</f>
        <v>#DIV/0!</v>
      </c>
      <c r="L18" s="17" t="e">
        <f>I14</f>
        <v>#DIV/0!</v>
      </c>
      <c r="M18" s="17" t="e">
        <f t="shared" si="0"/>
        <v>#DIV/0!</v>
      </c>
      <c r="N18" s="17" t="e">
        <f t="shared" si="1"/>
        <v>#DIV/0!</v>
      </c>
    </row>
    <row r="19" spans="1:14" s="17" customFormat="1" x14ac:dyDescent="0.2">
      <c r="A19" s="17" t="s">
        <v>50</v>
      </c>
      <c r="B19" s="17" t="s">
        <v>129</v>
      </c>
      <c r="C19" s="17" t="s">
        <v>32</v>
      </c>
      <c r="E19" s="17">
        <v>31.191086800921902</v>
      </c>
      <c r="F19" s="17" t="s">
        <v>50</v>
      </c>
      <c r="G19" s="19" t="s">
        <v>21</v>
      </c>
      <c r="H19" s="17" t="s">
        <v>148</v>
      </c>
      <c r="I19" s="17" t="e">
        <f t="shared" si="16"/>
        <v>#DIV/0!</v>
      </c>
      <c r="J19" s="17" t="e">
        <f t="shared" ref="J19" si="17">J17</f>
        <v>#DIV/0!</v>
      </c>
      <c r="K19" s="17" t="e">
        <f>I2</f>
        <v>#DIV/0!</v>
      </c>
      <c r="L19" s="17" t="e">
        <f>I14</f>
        <v>#DIV/0!</v>
      </c>
      <c r="M19" s="17" t="e">
        <f t="shared" si="0"/>
        <v>#DIV/0!</v>
      </c>
      <c r="N19" s="17" t="e">
        <f t="shared" si="1"/>
        <v>#DIV/0!</v>
      </c>
    </row>
    <row r="20" spans="1:14" x14ac:dyDescent="0.2">
      <c r="A20" t="s">
        <v>51</v>
      </c>
      <c r="B20" t="s">
        <v>129</v>
      </c>
      <c r="C20" t="s">
        <v>32</v>
      </c>
      <c r="D20">
        <v>13.3328947388532</v>
      </c>
      <c r="E20">
        <v>13.3328947388532</v>
      </c>
      <c r="F20" t="s">
        <v>51</v>
      </c>
      <c r="G20" s="11" t="s">
        <v>8</v>
      </c>
      <c r="H20">
        <v>162</v>
      </c>
      <c r="I20">
        <f t="shared" ref="I20" si="18">AVERAGE(D20:D22)</f>
        <v>13.309090348519598</v>
      </c>
      <c r="J20">
        <f t="shared" ref="J20" si="19">STDEV(D20:D22)</f>
        <v>3.7682534431319345E-2</v>
      </c>
      <c r="K20" t="e">
        <f>I8</f>
        <v>#DIV/0!</v>
      </c>
      <c r="L20">
        <f>I20</f>
        <v>13.309090348519598</v>
      </c>
      <c r="M20" t="e">
        <f t="shared" si="0"/>
        <v>#DIV/0!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13.265644744345501</v>
      </c>
      <c r="E21">
        <v>13.265644744345501</v>
      </c>
      <c r="F21" t="s">
        <v>52</v>
      </c>
      <c r="G21" s="11" t="s">
        <v>8</v>
      </c>
      <c r="H21">
        <v>162</v>
      </c>
      <c r="I21">
        <f t="shared" ref="I21:J21" si="20">I20</f>
        <v>13.309090348519598</v>
      </c>
      <c r="J21">
        <f t="shared" si="20"/>
        <v>3.7682534431319345E-2</v>
      </c>
      <c r="K21" t="e">
        <f>I8</f>
        <v>#DIV/0!</v>
      </c>
      <c r="L21">
        <f>I20</f>
        <v>13.309090348519598</v>
      </c>
      <c r="M21" t="e">
        <f t="shared" si="0"/>
        <v>#DIV/0!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13.328731562360099</v>
      </c>
      <c r="E22">
        <v>13.328731562360099</v>
      </c>
      <c r="F22" t="s">
        <v>53</v>
      </c>
      <c r="G22" s="11" t="s">
        <v>8</v>
      </c>
      <c r="H22">
        <v>162</v>
      </c>
      <c r="I22">
        <f t="shared" ref="I22:J22" si="21">I20</f>
        <v>13.309090348519598</v>
      </c>
      <c r="J22">
        <f t="shared" si="21"/>
        <v>3.7682534431319345E-2</v>
      </c>
      <c r="K22" t="e">
        <f>I8</f>
        <v>#DIV/0!</v>
      </c>
      <c r="L22">
        <f>I20</f>
        <v>13.309090348519598</v>
      </c>
      <c r="M22" t="e">
        <f t="shared" si="0"/>
        <v>#DIV/0!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E23" t="s">
        <v>141</v>
      </c>
      <c r="F23" t="s">
        <v>54</v>
      </c>
      <c r="G23" s="1" t="s">
        <v>21</v>
      </c>
      <c r="H23">
        <v>162</v>
      </c>
      <c r="I23">
        <f t="shared" ref="I23" si="22">AVERAGE(D23:D25)</f>
        <v>18.353395317248101</v>
      </c>
      <c r="J23" t="e">
        <f t="shared" ref="J23" si="23">STDEV(D23:D25)</f>
        <v>#DIV/0!</v>
      </c>
      <c r="K23" t="e">
        <f>I8</f>
        <v>#DIV/0!</v>
      </c>
      <c r="L23">
        <f>I20</f>
        <v>13.309090348519598</v>
      </c>
      <c r="M23" t="e">
        <f t="shared" si="0"/>
        <v>#DIV/0!</v>
      </c>
      <c r="N23">
        <f t="shared" si="1"/>
        <v>5.0443049687285022</v>
      </c>
    </row>
    <row r="24" spans="1:14" x14ac:dyDescent="0.2">
      <c r="A24" t="s">
        <v>55</v>
      </c>
      <c r="B24" t="s">
        <v>129</v>
      </c>
      <c r="C24" t="s">
        <v>32</v>
      </c>
      <c r="E24" t="s">
        <v>141</v>
      </c>
      <c r="F24" t="s">
        <v>55</v>
      </c>
      <c r="G24" s="1" t="s">
        <v>21</v>
      </c>
      <c r="H24">
        <v>162</v>
      </c>
      <c r="I24">
        <f t="shared" ref="I24:J25" si="24">I23</f>
        <v>18.353395317248101</v>
      </c>
      <c r="J24" t="e">
        <f t="shared" si="24"/>
        <v>#DIV/0!</v>
      </c>
      <c r="K24" t="e">
        <f>I8</f>
        <v>#DIV/0!</v>
      </c>
      <c r="L24">
        <f>I20</f>
        <v>13.309090348519598</v>
      </c>
      <c r="M24" t="e">
        <f t="shared" si="0"/>
        <v>#DIV/0!</v>
      </c>
      <c r="N24">
        <f t="shared" si="1"/>
        <v>5.0443049687285022</v>
      </c>
    </row>
    <row r="25" spans="1:14" x14ac:dyDescent="0.2">
      <c r="A25" t="s">
        <v>56</v>
      </c>
      <c r="B25" t="s">
        <v>129</v>
      </c>
      <c r="C25" t="s">
        <v>32</v>
      </c>
      <c r="D25">
        <v>18.353395317248101</v>
      </c>
      <c r="E25">
        <v>18.353395317248101</v>
      </c>
      <c r="F25" t="s">
        <v>56</v>
      </c>
      <c r="G25" s="1" t="s">
        <v>21</v>
      </c>
      <c r="H25">
        <v>162</v>
      </c>
      <c r="I25">
        <f t="shared" si="24"/>
        <v>18.353395317248101</v>
      </c>
      <c r="J25" t="e">
        <f t="shared" ref="J25" si="25">J23</f>
        <v>#DIV/0!</v>
      </c>
      <c r="K25" t="e">
        <f>I8</f>
        <v>#DIV/0!</v>
      </c>
      <c r="L25">
        <f>I20</f>
        <v>13.309090348519598</v>
      </c>
      <c r="M25" t="e">
        <f t="shared" si="0"/>
        <v>#DIV/0!</v>
      </c>
      <c r="N25">
        <f t="shared" si="1"/>
        <v>5.0443049687285022</v>
      </c>
    </row>
    <row r="26" spans="1:14" x14ac:dyDescent="0.2">
      <c r="A26" t="s">
        <v>57</v>
      </c>
      <c r="B26" t="s">
        <v>129</v>
      </c>
      <c r="C26" t="s">
        <v>32</v>
      </c>
      <c r="D26">
        <v>33.305709817663498</v>
      </c>
      <c r="E26">
        <v>33.305709817663498</v>
      </c>
      <c r="F26" t="s">
        <v>57</v>
      </c>
      <c r="G26" s="4" t="s">
        <v>14</v>
      </c>
      <c r="H26" t="s">
        <v>148</v>
      </c>
      <c r="I26">
        <f t="shared" ref="I26" si="26">AVERAGE(D26:D28)</f>
        <v>33.020100033296302</v>
      </c>
      <c r="J26">
        <f t="shared" ref="J26" si="27">STDEV(D26:D28)</f>
        <v>0.40391323059854894</v>
      </c>
      <c r="K26" t="e">
        <f>I2</f>
        <v>#DIV/0!</v>
      </c>
      <c r="L26" t="e">
        <f>I14</f>
        <v>#DIV/0!</v>
      </c>
      <c r="M26" t="e">
        <f t="shared" si="0"/>
        <v>#DIV/0!</v>
      </c>
      <c r="N26" t="e">
        <f t="shared" si="1"/>
        <v>#DIV/0!</v>
      </c>
    </row>
    <row r="27" spans="1:14" x14ac:dyDescent="0.2">
      <c r="A27" t="s">
        <v>58</v>
      </c>
      <c r="B27" t="s">
        <v>129</v>
      </c>
      <c r="C27" t="s">
        <v>32</v>
      </c>
      <c r="E27">
        <v>30.385060252239501</v>
      </c>
      <c r="F27" t="s">
        <v>58</v>
      </c>
      <c r="G27" s="4" t="s">
        <v>14</v>
      </c>
      <c r="H27" t="s">
        <v>148</v>
      </c>
      <c r="I27">
        <f t="shared" ref="I27:J27" si="28">I26</f>
        <v>33.020100033296302</v>
      </c>
      <c r="J27">
        <f t="shared" si="28"/>
        <v>0.40391323059854894</v>
      </c>
      <c r="K27" t="e">
        <f>I2</f>
        <v>#DIV/0!</v>
      </c>
      <c r="L27" t="e">
        <f>I14</f>
        <v>#DIV/0!</v>
      </c>
      <c r="M27" t="e">
        <f t="shared" si="0"/>
        <v>#DIV/0!</v>
      </c>
      <c r="N27" t="e">
        <f t="shared" si="1"/>
        <v>#DIV/0!</v>
      </c>
    </row>
    <row r="28" spans="1:14" x14ac:dyDescent="0.2">
      <c r="A28" t="s">
        <v>59</v>
      </c>
      <c r="B28" t="s">
        <v>129</v>
      </c>
      <c r="C28" t="s">
        <v>32</v>
      </c>
      <c r="D28">
        <v>32.734490248929099</v>
      </c>
      <c r="E28">
        <v>32.734490248929099</v>
      </c>
      <c r="F28" t="s">
        <v>59</v>
      </c>
      <c r="G28" s="4" t="s">
        <v>14</v>
      </c>
      <c r="H28" t="s">
        <v>148</v>
      </c>
      <c r="I28">
        <f t="shared" ref="I28:J28" si="29">I26</f>
        <v>33.020100033296302</v>
      </c>
      <c r="J28">
        <f t="shared" si="29"/>
        <v>0.40391323059854894</v>
      </c>
      <c r="K28" t="e">
        <f>I2</f>
        <v>#DIV/0!</v>
      </c>
      <c r="L28" t="e">
        <f>I14</f>
        <v>#DIV/0!</v>
      </c>
      <c r="M28" t="e">
        <f t="shared" si="0"/>
        <v>#DIV/0!</v>
      </c>
      <c r="N28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30.251506526608601</v>
      </c>
      <c r="E29">
        <v>30.251506526608601</v>
      </c>
      <c r="F29" t="s">
        <v>60</v>
      </c>
      <c r="G29" s="1" t="s">
        <v>23</v>
      </c>
      <c r="H29" t="s">
        <v>148</v>
      </c>
      <c r="I29">
        <f t="shared" ref="I29" si="30">AVERAGE(D29:D31)</f>
        <v>30.210924552422501</v>
      </c>
      <c r="J29">
        <f t="shared" ref="J29" si="31">STDEV(D29:D31)</f>
        <v>5.7391578281857765E-2</v>
      </c>
      <c r="K29" t="e">
        <f>I2</f>
        <v>#DIV/0!</v>
      </c>
      <c r="L29" t="e">
        <f>I14</f>
        <v>#DIV/0!</v>
      </c>
      <c r="M29" t="e">
        <f t="shared" si="0"/>
        <v>#DIV/0!</v>
      </c>
      <c r="N29" t="e">
        <f t="shared" si="1"/>
        <v>#DIV/0!</v>
      </c>
    </row>
    <row r="30" spans="1:14" x14ac:dyDescent="0.2">
      <c r="A30" t="s">
        <v>61</v>
      </c>
      <c r="B30" t="s">
        <v>129</v>
      </c>
      <c r="C30" t="s">
        <v>32</v>
      </c>
      <c r="D30">
        <v>30.170342578236401</v>
      </c>
      <c r="E30">
        <v>30.170342578236401</v>
      </c>
      <c r="F30" t="s">
        <v>61</v>
      </c>
      <c r="G30" s="1" t="s">
        <v>23</v>
      </c>
      <c r="H30" t="s">
        <v>148</v>
      </c>
      <c r="I30">
        <f t="shared" ref="I30:J31" si="32">I29</f>
        <v>30.210924552422501</v>
      </c>
      <c r="J30">
        <f t="shared" si="32"/>
        <v>5.7391578281857765E-2</v>
      </c>
      <c r="K30" t="e">
        <f>I2</f>
        <v>#DIV/0!</v>
      </c>
      <c r="L30" t="e">
        <f>I14</f>
        <v>#DIV/0!</v>
      </c>
      <c r="M30" t="e">
        <f t="shared" si="0"/>
        <v>#DIV/0!</v>
      </c>
      <c r="N30" t="e">
        <f t="shared" si="1"/>
        <v>#DIV/0!</v>
      </c>
    </row>
    <row r="31" spans="1:14" x14ac:dyDescent="0.2">
      <c r="A31" t="s">
        <v>62</v>
      </c>
      <c r="B31" t="s">
        <v>129</v>
      </c>
      <c r="C31" t="s">
        <v>32</v>
      </c>
      <c r="E31">
        <v>29.484689678103301</v>
      </c>
      <c r="F31" t="s">
        <v>62</v>
      </c>
      <c r="G31" s="1" t="s">
        <v>23</v>
      </c>
      <c r="H31" t="s">
        <v>148</v>
      </c>
      <c r="I31">
        <f t="shared" si="32"/>
        <v>30.210924552422501</v>
      </c>
      <c r="J31">
        <f t="shared" ref="J31" si="33">J29</f>
        <v>5.7391578281857765E-2</v>
      </c>
      <c r="K31" t="e">
        <f>I2</f>
        <v>#DIV/0!</v>
      </c>
      <c r="L31" t="e">
        <f>I14</f>
        <v>#DIV/0!</v>
      </c>
      <c r="M31" t="e">
        <f t="shared" si="0"/>
        <v>#DIV/0!</v>
      </c>
      <c r="N31" t="e">
        <f t="shared" si="1"/>
        <v>#DIV/0!</v>
      </c>
    </row>
    <row r="32" spans="1:14" s="17" customFormat="1" x14ac:dyDescent="0.2">
      <c r="A32" s="17" t="s">
        <v>63</v>
      </c>
      <c r="B32" s="17" t="s">
        <v>129</v>
      </c>
      <c r="C32" s="17" t="s">
        <v>32</v>
      </c>
      <c r="E32" s="17">
        <v>29.9759956648337</v>
      </c>
      <c r="F32" s="17" t="s">
        <v>63</v>
      </c>
      <c r="G32" s="20" t="s">
        <v>14</v>
      </c>
      <c r="H32" s="17">
        <v>162</v>
      </c>
      <c r="I32" s="17" t="e">
        <f t="shared" ref="I32" si="34">AVERAGE(D32:D34)</f>
        <v>#DIV/0!</v>
      </c>
      <c r="J32" s="17" t="e">
        <f t="shared" ref="J32" si="35">STDEV(D32:D34)</f>
        <v>#DIV/0!</v>
      </c>
      <c r="K32" s="17" t="e">
        <f>I8</f>
        <v>#DIV/0!</v>
      </c>
      <c r="L32" s="17">
        <f>I20</f>
        <v>13.309090348519598</v>
      </c>
      <c r="M32" s="17" t="e">
        <f t="shared" si="0"/>
        <v>#DIV/0!</v>
      </c>
      <c r="N32" s="17" t="e">
        <f t="shared" si="1"/>
        <v>#DIV/0!</v>
      </c>
    </row>
    <row r="33" spans="1:14" s="17" customFormat="1" x14ac:dyDescent="0.2">
      <c r="A33" s="17" t="s">
        <v>64</v>
      </c>
      <c r="B33" s="17" t="s">
        <v>129</v>
      </c>
      <c r="C33" s="17" t="s">
        <v>32</v>
      </c>
      <c r="E33" s="17" t="s">
        <v>141</v>
      </c>
      <c r="F33" s="17" t="s">
        <v>64</v>
      </c>
      <c r="G33" s="20" t="s">
        <v>14</v>
      </c>
      <c r="H33" s="17">
        <v>162</v>
      </c>
      <c r="I33" s="17" t="e">
        <f t="shared" ref="I33:J33" si="36">I32</f>
        <v>#DIV/0!</v>
      </c>
      <c r="J33" s="17" t="e">
        <f t="shared" si="36"/>
        <v>#DIV/0!</v>
      </c>
      <c r="K33" s="17" t="e">
        <f>I8</f>
        <v>#DIV/0!</v>
      </c>
      <c r="L33" s="17">
        <f>I20</f>
        <v>13.309090348519598</v>
      </c>
      <c r="M33" s="17" t="e">
        <f t="shared" si="0"/>
        <v>#DIV/0!</v>
      </c>
      <c r="N33" s="17" t="e">
        <f t="shared" si="1"/>
        <v>#DIV/0!</v>
      </c>
    </row>
    <row r="34" spans="1:14" s="17" customFormat="1" x14ac:dyDescent="0.2">
      <c r="A34" s="17" t="s">
        <v>65</v>
      </c>
      <c r="B34" s="17" t="s">
        <v>129</v>
      </c>
      <c r="C34" s="17" t="s">
        <v>32</v>
      </c>
      <c r="E34" s="17">
        <v>31.293997964421301</v>
      </c>
      <c r="F34" s="17" t="s">
        <v>65</v>
      </c>
      <c r="G34" s="20" t="s">
        <v>14</v>
      </c>
      <c r="H34" s="17">
        <v>162</v>
      </c>
      <c r="I34" s="17" t="e">
        <f t="shared" ref="I34:J34" si="37">I32</f>
        <v>#DIV/0!</v>
      </c>
      <c r="J34" s="17" t="e">
        <f t="shared" si="37"/>
        <v>#DIV/0!</v>
      </c>
      <c r="K34" s="17" t="e">
        <f>I8</f>
        <v>#DIV/0!</v>
      </c>
      <c r="L34" s="17">
        <f>I20</f>
        <v>13.309090348519598</v>
      </c>
      <c r="M34" s="17" t="e">
        <f t="shared" si="0"/>
        <v>#DIV/0!</v>
      </c>
      <c r="N34" s="17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>
        <v>31.3832207510494</v>
      </c>
      <c r="E35">
        <v>31.3832207510494</v>
      </c>
      <c r="F35" t="s">
        <v>66</v>
      </c>
      <c r="G35" s="1" t="s">
        <v>23</v>
      </c>
      <c r="H35">
        <v>162</v>
      </c>
      <c r="I35">
        <f t="shared" ref="I35" si="38">AVERAGE(D35:D37)</f>
        <v>31.521435341258535</v>
      </c>
      <c r="J35">
        <f t="shared" ref="J35" si="39">STDEV(D35:D37)</f>
        <v>0.14374120103549434</v>
      </c>
      <c r="K35" t="e">
        <f>I8</f>
        <v>#DIV/0!</v>
      </c>
      <c r="L35">
        <f>I20</f>
        <v>13.309090348519598</v>
      </c>
      <c r="M35" t="e">
        <f t="shared" si="0"/>
        <v>#DIV/0!</v>
      </c>
      <c r="N35">
        <f t="shared" si="1"/>
        <v>18.212344992738934</v>
      </c>
    </row>
    <row r="36" spans="1:14" x14ac:dyDescent="0.2">
      <c r="A36" t="s">
        <v>67</v>
      </c>
      <c r="B36" t="s">
        <v>129</v>
      </c>
      <c r="C36" t="s">
        <v>32</v>
      </c>
      <c r="D36">
        <v>31.5109557142897</v>
      </c>
      <c r="E36">
        <v>31.5109557142897</v>
      </c>
      <c r="F36" t="s">
        <v>67</v>
      </c>
      <c r="G36" s="1" t="s">
        <v>23</v>
      </c>
      <c r="H36">
        <v>162</v>
      </c>
      <c r="I36">
        <f t="shared" ref="I36:J37" si="40">I35</f>
        <v>31.521435341258535</v>
      </c>
      <c r="J36">
        <f t="shared" si="40"/>
        <v>0.14374120103549434</v>
      </c>
      <c r="K36" t="e">
        <f>I8</f>
        <v>#DIV/0!</v>
      </c>
      <c r="L36">
        <f>I20</f>
        <v>13.309090348519598</v>
      </c>
      <c r="M36" t="e">
        <f t="shared" si="0"/>
        <v>#DIV/0!</v>
      </c>
      <c r="N36">
        <f t="shared" si="1"/>
        <v>18.212344992738934</v>
      </c>
    </row>
    <row r="37" spans="1:14" x14ac:dyDescent="0.2">
      <c r="A37" t="s">
        <v>68</v>
      </c>
      <c r="B37" t="s">
        <v>129</v>
      </c>
      <c r="C37" t="s">
        <v>32</v>
      </c>
      <c r="D37">
        <v>31.6701295584365</v>
      </c>
      <c r="E37">
        <v>31.6701295584365</v>
      </c>
      <c r="F37" t="s">
        <v>68</v>
      </c>
      <c r="G37" s="1" t="s">
        <v>23</v>
      </c>
      <c r="H37">
        <v>162</v>
      </c>
      <c r="I37">
        <f t="shared" si="40"/>
        <v>31.521435341258535</v>
      </c>
      <c r="J37">
        <f t="shared" ref="J37" si="41">J35</f>
        <v>0.14374120103549434</v>
      </c>
      <c r="K37" t="e">
        <f>I8</f>
        <v>#DIV/0!</v>
      </c>
      <c r="L37">
        <f>I20</f>
        <v>13.309090348519598</v>
      </c>
      <c r="M37" t="e">
        <f t="shared" si="0"/>
        <v>#DIV/0!</v>
      </c>
      <c r="N37">
        <f t="shared" si="1"/>
        <v>18.212344992738934</v>
      </c>
    </row>
    <row r="38" spans="1:14" x14ac:dyDescent="0.2">
      <c r="A38" t="s">
        <v>69</v>
      </c>
      <c r="B38" t="s">
        <v>129</v>
      </c>
      <c r="C38" t="s">
        <v>32</v>
      </c>
      <c r="D38">
        <v>31.032524425774401</v>
      </c>
      <c r="E38">
        <v>31.032524425774401</v>
      </c>
      <c r="F38" t="s">
        <v>69</v>
      </c>
      <c r="G38" s="4" t="s">
        <v>15</v>
      </c>
      <c r="H38" t="s">
        <v>148</v>
      </c>
      <c r="I38">
        <f t="shared" ref="I38" si="42">AVERAGE(D38:D40)</f>
        <v>31.173040807180101</v>
      </c>
      <c r="J38">
        <f t="shared" ref="J38" si="43">STDEV(D38:D40)</f>
        <v>0.19872017231953121</v>
      </c>
      <c r="K38" t="e">
        <f>I2</f>
        <v>#DIV/0!</v>
      </c>
      <c r="L38" t="e">
        <f>I14</f>
        <v>#DIV/0!</v>
      </c>
      <c r="M38" t="e">
        <f t="shared" si="0"/>
        <v>#DIV/0!</v>
      </c>
      <c r="N38" t="e">
        <f t="shared" si="1"/>
        <v>#DIV/0!</v>
      </c>
    </row>
    <row r="39" spans="1:14" x14ac:dyDescent="0.2">
      <c r="A39" t="s">
        <v>70</v>
      </c>
      <c r="B39" t="s">
        <v>129</v>
      </c>
      <c r="C39" t="s">
        <v>32</v>
      </c>
      <c r="E39">
        <v>31.636787328472</v>
      </c>
      <c r="F39" t="s">
        <v>70</v>
      </c>
      <c r="G39" s="4" t="s">
        <v>15</v>
      </c>
      <c r="H39" t="s">
        <v>148</v>
      </c>
      <c r="I39">
        <f t="shared" ref="I39:J39" si="44">I38</f>
        <v>31.173040807180101</v>
      </c>
      <c r="J39">
        <f t="shared" si="44"/>
        <v>0.19872017231953121</v>
      </c>
      <c r="K39" t="e">
        <f>I2</f>
        <v>#DIV/0!</v>
      </c>
      <c r="L39" t="e">
        <f>I14</f>
        <v>#DIV/0!</v>
      </c>
      <c r="M39" t="e">
        <f t="shared" si="0"/>
        <v>#DIV/0!</v>
      </c>
      <c r="N39" t="e">
        <f t="shared" si="1"/>
        <v>#DIV/0!</v>
      </c>
    </row>
    <row r="40" spans="1:14" x14ac:dyDescent="0.2">
      <c r="A40" t="s">
        <v>71</v>
      </c>
      <c r="B40" t="s">
        <v>129</v>
      </c>
      <c r="C40" t="s">
        <v>32</v>
      </c>
      <c r="D40">
        <v>31.313557188585801</v>
      </c>
      <c r="E40">
        <v>31.313557188585801</v>
      </c>
      <c r="F40" t="s">
        <v>71</v>
      </c>
      <c r="G40" s="4" t="s">
        <v>15</v>
      </c>
      <c r="H40" t="s">
        <v>148</v>
      </c>
      <c r="I40">
        <f t="shared" ref="I40:J40" si="45">I38</f>
        <v>31.173040807180101</v>
      </c>
      <c r="J40">
        <f t="shared" si="45"/>
        <v>0.19872017231953121</v>
      </c>
      <c r="K40" t="e">
        <f>I2</f>
        <v>#DIV/0!</v>
      </c>
      <c r="L40" t="e">
        <f>I14</f>
        <v>#DIV/0!</v>
      </c>
      <c r="M40" t="e">
        <f t="shared" si="0"/>
        <v>#DIV/0!</v>
      </c>
      <c r="N40" t="e">
        <f t="shared" si="1"/>
        <v>#DIV/0!</v>
      </c>
    </row>
    <row r="41" spans="1:14" x14ac:dyDescent="0.2">
      <c r="A41" t="s">
        <v>72</v>
      </c>
      <c r="B41" t="s">
        <v>129</v>
      </c>
      <c r="C41" t="s">
        <v>32</v>
      </c>
      <c r="D41">
        <v>32.614072581141997</v>
      </c>
      <c r="E41">
        <v>32.614072581141997</v>
      </c>
      <c r="F41" t="s">
        <v>72</v>
      </c>
      <c r="G41" s="1" t="s">
        <v>22</v>
      </c>
      <c r="H41" t="s">
        <v>148</v>
      </c>
      <c r="I41">
        <f t="shared" ref="I41" si="46">AVERAGE(D41:D43)</f>
        <v>32.605688722812694</v>
      </c>
      <c r="J41">
        <f t="shared" ref="J41" si="47">STDEV(D41:D43)</f>
        <v>0.24737827794197007</v>
      </c>
      <c r="K41" t="e">
        <f>I2</f>
        <v>#DIV/0!</v>
      </c>
      <c r="L41" t="e">
        <f>I14</f>
        <v>#DIV/0!</v>
      </c>
      <c r="M41" t="e">
        <f t="shared" si="0"/>
        <v>#DIV/0!</v>
      </c>
      <c r="N41" t="e">
        <f t="shared" si="1"/>
        <v>#DIV/0!</v>
      </c>
    </row>
    <row r="42" spans="1:14" x14ac:dyDescent="0.2">
      <c r="A42" t="s">
        <v>73</v>
      </c>
      <c r="B42" t="s">
        <v>129</v>
      </c>
      <c r="C42" t="s">
        <v>32</v>
      </c>
      <c r="D42">
        <v>32.354225089672099</v>
      </c>
      <c r="E42">
        <v>32.354225089672099</v>
      </c>
      <c r="F42" t="s">
        <v>73</v>
      </c>
      <c r="G42" s="1" t="s">
        <v>22</v>
      </c>
      <c r="H42" t="s">
        <v>148</v>
      </c>
      <c r="I42">
        <f t="shared" ref="I42:J43" si="48">I41</f>
        <v>32.605688722812694</v>
      </c>
      <c r="J42">
        <f t="shared" si="48"/>
        <v>0.24737827794197007</v>
      </c>
      <c r="K42" t="e">
        <f>I2</f>
        <v>#DIV/0!</v>
      </c>
      <c r="L42" t="e">
        <f>I14</f>
        <v>#DIV/0!</v>
      </c>
      <c r="M42" t="e">
        <f t="shared" si="0"/>
        <v>#DIV/0!</v>
      </c>
      <c r="N42" t="e">
        <f t="shared" si="1"/>
        <v>#DIV/0!</v>
      </c>
    </row>
    <row r="43" spans="1:14" x14ac:dyDescent="0.2">
      <c r="A43" t="s">
        <v>74</v>
      </c>
      <c r="B43" t="s">
        <v>129</v>
      </c>
      <c r="C43" t="s">
        <v>32</v>
      </c>
      <c r="D43">
        <v>32.848768497624</v>
      </c>
      <c r="E43">
        <v>32.848768497624</v>
      </c>
      <c r="F43" t="s">
        <v>74</v>
      </c>
      <c r="G43" s="1" t="s">
        <v>22</v>
      </c>
      <c r="H43" t="s">
        <v>148</v>
      </c>
      <c r="I43">
        <f t="shared" si="48"/>
        <v>32.605688722812694</v>
      </c>
      <c r="J43">
        <f t="shared" ref="J43" si="49">J41</f>
        <v>0.24737827794197007</v>
      </c>
      <c r="K43" t="e">
        <f>I2</f>
        <v>#DIV/0!</v>
      </c>
      <c r="L43" t="e">
        <f>I14</f>
        <v>#DIV/0!</v>
      </c>
      <c r="M43" t="e">
        <f t="shared" si="0"/>
        <v>#DIV/0!</v>
      </c>
      <c r="N43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D44">
        <v>34.087243509846402</v>
      </c>
      <c r="E44">
        <v>34.087243509846402</v>
      </c>
      <c r="F44" t="s">
        <v>75</v>
      </c>
      <c r="G44" s="4" t="s">
        <v>15</v>
      </c>
      <c r="H44">
        <v>162</v>
      </c>
      <c r="I44">
        <f t="shared" ref="I44" si="50">AVERAGE(D44:D46)</f>
        <v>34.2328522871221</v>
      </c>
      <c r="J44">
        <f t="shared" ref="J44" si="51">STDEV(D44:D46)</f>
        <v>0.20592190762385448</v>
      </c>
      <c r="K44" t="e">
        <f>I8</f>
        <v>#DIV/0!</v>
      </c>
      <c r="L44">
        <f>I20</f>
        <v>13.309090348519598</v>
      </c>
      <c r="M44" t="e">
        <f t="shared" si="0"/>
        <v>#DIV/0!</v>
      </c>
      <c r="N44">
        <f t="shared" si="1"/>
        <v>20.923761938602503</v>
      </c>
    </row>
    <row r="45" spans="1:14" x14ac:dyDescent="0.2">
      <c r="A45" t="s">
        <v>76</v>
      </c>
      <c r="B45" t="s">
        <v>129</v>
      </c>
      <c r="C45" t="s">
        <v>32</v>
      </c>
      <c r="D45">
        <v>34.378461064397797</v>
      </c>
      <c r="E45">
        <v>34.378461064397797</v>
      </c>
      <c r="F45" t="s">
        <v>76</v>
      </c>
      <c r="G45" s="4" t="s">
        <v>15</v>
      </c>
      <c r="H45">
        <v>162</v>
      </c>
      <c r="I45">
        <f t="shared" ref="I45:J45" si="52">I44</f>
        <v>34.2328522871221</v>
      </c>
      <c r="J45">
        <f t="shared" si="52"/>
        <v>0.20592190762385448</v>
      </c>
      <c r="K45" t="e">
        <f>I8</f>
        <v>#DIV/0!</v>
      </c>
      <c r="L45">
        <f>I20</f>
        <v>13.309090348519598</v>
      </c>
      <c r="M45" t="e">
        <f t="shared" si="0"/>
        <v>#DIV/0!</v>
      </c>
      <c r="N45">
        <f t="shared" si="1"/>
        <v>20.923761938602503</v>
      </c>
    </row>
    <row r="46" spans="1:14" x14ac:dyDescent="0.2">
      <c r="A46" t="s">
        <v>77</v>
      </c>
      <c r="B46" t="s">
        <v>129</v>
      </c>
      <c r="C46" t="s">
        <v>32</v>
      </c>
      <c r="E46">
        <v>32.796075595945901</v>
      </c>
      <c r="F46" t="s">
        <v>77</v>
      </c>
      <c r="G46" s="4" t="s">
        <v>15</v>
      </c>
      <c r="H46">
        <v>162</v>
      </c>
      <c r="I46">
        <f t="shared" ref="I46:J46" si="53">I44</f>
        <v>34.2328522871221</v>
      </c>
      <c r="J46">
        <f t="shared" si="53"/>
        <v>0.20592190762385448</v>
      </c>
      <c r="K46" t="e">
        <f>I8</f>
        <v>#DIV/0!</v>
      </c>
      <c r="L46">
        <f>I20</f>
        <v>13.309090348519598</v>
      </c>
      <c r="M46" t="e">
        <f t="shared" si="0"/>
        <v>#DIV/0!</v>
      </c>
      <c r="N46">
        <f t="shared" si="1"/>
        <v>20.923761938602503</v>
      </c>
    </row>
    <row r="47" spans="1:14" x14ac:dyDescent="0.2">
      <c r="A47" t="s">
        <v>78</v>
      </c>
      <c r="B47" t="s">
        <v>129</v>
      </c>
      <c r="C47" t="s">
        <v>32</v>
      </c>
      <c r="E47">
        <v>32.470825636955801</v>
      </c>
      <c r="F47" t="s">
        <v>78</v>
      </c>
      <c r="G47" s="1" t="s">
        <v>22</v>
      </c>
      <c r="H47">
        <v>162</v>
      </c>
      <c r="I47">
        <f t="shared" ref="I47" si="54">AVERAGE(D47:D49)</f>
        <v>33.85391677854755</v>
      </c>
      <c r="J47">
        <f t="shared" ref="J47" si="55">STDEV(D47:D49)</f>
        <v>0.4498690541747552</v>
      </c>
      <c r="K47" t="e">
        <f>I8</f>
        <v>#DIV/0!</v>
      </c>
      <c r="L47">
        <f>I20</f>
        <v>13.309090348519598</v>
      </c>
      <c r="M47" t="e">
        <f t="shared" si="0"/>
        <v>#DIV/0!</v>
      </c>
      <c r="N47">
        <f t="shared" si="1"/>
        <v>20.544826430027953</v>
      </c>
    </row>
    <row r="48" spans="1:14" x14ac:dyDescent="0.2">
      <c r="A48" t="s">
        <v>79</v>
      </c>
      <c r="B48" t="s">
        <v>129</v>
      </c>
      <c r="C48" t="s">
        <v>32</v>
      </c>
      <c r="D48">
        <v>33.535811319694602</v>
      </c>
      <c r="E48">
        <v>33.535811319694602</v>
      </c>
      <c r="F48" t="s">
        <v>79</v>
      </c>
      <c r="G48" s="1" t="s">
        <v>22</v>
      </c>
      <c r="H48">
        <v>162</v>
      </c>
      <c r="I48">
        <f t="shared" ref="I48:J49" si="56">I47</f>
        <v>33.85391677854755</v>
      </c>
      <c r="J48">
        <f t="shared" si="56"/>
        <v>0.4498690541747552</v>
      </c>
      <c r="K48" t="e">
        <f>I8</f>
        <v>#DIV/0!</v>
      </c>
      <c r="L48">
        <f>I20</f>
        <v>13.309090348519598</v>
      </c>
      <c r="M48" t="e">
        <f t="shared" si="0"/>
        <v>#DIV/0!</v>
      </c>
      <c r="N48">
        <f t="shared" si="1"/>
        <v>20.544826430027953</v>
      </c>
    </row>
    <row r="49" spans="1:14" x14ac:dyDescent="0.2">
      <c r="A49" t="s">
        <v>80</v>
      </c>
      <c r="B49" t="s">
        <v>129</v>
      </c>
      <c r="C49" t="s">
        <v>32</v>
      </c>
      <c r="D49">
        <v>34.172022237400498</v>
      </c>
      <c r="E49">
        <v>34.172022237400498</v>
      </c>
      <c r="F49" t="s">
        <v>80</v>
      </c>
      <c r="G49" s="1" t="s">
        <v>22</v>
      </c>
      <c r="H49">
        <v>162</v>
      </c>
      <c r="I49">
        <f t="shared" si="56"/>
        <v>33.85391677854755</v>
      </c>
      <c r="J49">
        <f t="shared" ref="J49" si="57">J47</f>
        <v>0.4498690541747552</v>
      </c>
      <c r="K49" t="e">
        <f>I8</f>
        <v>#DIV/0!</v>
      </c>
      <c r="L49">
        <f>I20</f>
        <v>13.309090348519598</v>
      </c>
      <c r="M49" t="e">
        <f t="shared" si="0"/>
        <v>#DIV/0!</v>
      </c>
      <c r="N49">
        <f t="shared" si="1"/>
        <v>20.544826430027953</v>
      </c>
    </row>
    <row r="50" spans="1:14" x14ac:dyDescent="0.2">
      <c r="A50" t="s">
        <v>81</v>
      </c>
      <c r="B50" t="s">
        <v>129</v>
      </c>
      <c r="C50" t="s">
        <v>32</v>
      </c>
      <c r="D50">
        <v>29.904750992940102</v>
      </c>
      <c r="E50">
        <v>29.904750992940102</v>
      </c>
      <c r="F50" t="s">
        <v>81</v>
      </c>
      <c r="G50" s="4" t="s">
        <v>16</v>
      </c>
      <c r="H50" t="s">
        <v>148</v>
      </c>
      <c r="I50">
        <f t="shared" ref="I50" si="58">AVERAGE(D50:D52)</f>
        <v>29.841858974126836</v>
      </c>
      <c r="J50">
        <f t="shared" ref="J50" si="59">STDEV(D50:D52)</f>
        <v>6.2416792927200614E-2</v>
      </c>
      <c r="K50" t="e">
        <f>I2</f>
        <v>#DIV/0!</v>
      </c>
      <c r="L50" t="e">
        <f>I14</f>
        <v>#DIV/0!</v>
      </c>
      <c r="M50" t="e">
        <f t="shared" si="0"/>
        <v>#DIV/0!</v>
      </c>
      <c r="N50" t="e">
        <f t="shared" si="1"/>
        <v>#DIV/0!</v>
      </c>
    </row>
    <row r="51" spans="1:14" x14ac:dyDescent="0.2">
      <c r="A51" t="s">
        <v>82</v>
      </c>
      <c r="B51" t="s">
        <v>129</v>
      </c>
      <c r="C51" t="s">
        <v>32</v>
      </c>
      <c r="D51">
        <v>29.840897411845098</v>
      </c>
      <c r="E51">
        <v>29.840897411845098</v>
      </c>
      <c r="F51" t="s">
        <v>82</v>
      </c>
      <c r="G51" s="4" t="s">
        <v>16</v>
      </c>
      <c r="H51" t="s">
        <v>148</v>
      </c>
      <c r="I51">
        <f t="shared" ref="I51:J51" si="60">I50</f>
        <v>29.841858974126836</v>
      </c>
      <c r="J51">
        <f t="shared" si="60"/>
        <v>6.2416792927200614E-2</v>
      </c>
      <c r="K51" t="e">
        <f>I2</f>
        <v>#DIV/0!</v>
      </c>
      <c r="L51" t="e">
        <f>I14</f>
        <v>#DIV/0!</v>
      </c>
      <c r="M51" t="e">
        <f t="shared" si="0"/>
        <v>#DIV/0!</v>
      </c>
      <c r="N51" t="e">
        <f t="shared" si="1"/>
        <v>#DIV/0!</v>
      </c>
    </row>
    <row r="52" spans="1:14" x14ac:dyDescent="0.2">
      <c r="A52" t="s">
        <v>83</v>
      </c>
      <c r="B52" t="s">
        <v>129</v>
      </c>
      <c r="C52" t="s">
        <v>32</v>
      </c>
      <c r="D52">
        <v>29.779928517595302</v>
      </c>
      <c r="E52">
        <v>29.779928517595302</v>
      </c>
      <c r="F52" t="s">
        <v>83</v>
      </c>
      <c r="G52" s="4" t="s">
        <v>16</v>
      </c>
      <c r="H52" t="s">
        <v>148</v>
      </c>
      <c r="I52">
        <f t="shared" ref="I52:J52" si="61">I50</f>
        <v>29.841858974126836</v>
      </c>
      <c r="J52">
        <f t="shared" si="61"/>
        <v>6.2416792927200614E-2</v>
      </c>
      <c r="K52" t="e">
        <f>I2</f>
        <v>#DIV/0!</v>
      </c>
      <c r="L52" t="e">
        <f>I14</f>
        <v>#DIV/0!</v>
      </c>
      <c r="M52" t="e">
        <f t="shared" si="0"/>
        <v>#DIV/0!</v>
      </c>
      <c r="N52" t="e">
        <f t="shared" si="1"/>
        <v>#DIV/0!</v>
      </c>
    </row>
    <row r="53" spans="1:14" x14ac:dyDescent="0.2">
      <c r="A53" t="s">
        <v>84</v>
      </c>
      <c r="B53" t="s">
        <v>129</v>
      </c>
      <c r="C53" t="s">
        <v>32</v>
      </c>
      <c r="D53">
        <v>32.388794496724898</v>
      </c>
      <c r="E53">
        <v>32.388794496724898</v>
      </c>
      <c r="F53" t="s">
        <v>84</v>
      </c>
      <c r="G53" s="1" t="s">
        <v>24</v>
      </c>
      <c r="H53" t="s">
        <v>148</v>
      </c>
      <c r="I53">
        <f t="shared" ref="I53" si="62">AVERAGE(D53:D55)</f>
        <v>32.580892281828135</v>
      </c>
      <c r="J53">
        <f t="shared" ref="J53" si="63">STDEV(D53:D55)</f>
        <v>0.16936659376923918</v>
      </c>
      <c r="K53" t="e">
        <f>I2</f>
        <v>#DIV/0!</v>
      </c>
      <c r="L53" t="e">
        <f>I14</f>
        <v>#DIV/0!</v>
      </c>
      <c r="M53" t="e">
        <f t="shared" si="0"/>
        <v>#DIV/0!</v>
      </c>
      <c r="N53" t="e">
        <f t="shared" si="1"/>
        <v>#DIV/0!</v>
      </c>
    </row>
    <row r="54" spans="1:14" x14ac:dyDescent="0.2">
      <c r="A54" t="s">
        <v>85</v>
      </c>
      <c r="B54" t="s">
        <v>129</v>
      </c>
      <c r="C54" t="s">
        <v>32</v>
      </c>
      <c r="D54">
        <v>32.645178400511298</v>
      </c>
      <c r="E54">
        <v>32.645178400511298</v>
      </c>
      <c r="F54" t="s">
        <v>85</v>
      </c>
      <c r="G54" s="1" t="s">
        <v>24</v>
      </c>
      <c r="H54" t="s">
        <v>148</v>
      </c>
      <c r="I54">
        <f t="shared" ref="I54:J55" si="64">I53</f>
        <v>32.580892281828135</v>
      </c>
      <c r="J54">
        <f t="shared" si="64"/>
        <v>0.16936659376923918</v>
      </c>
      <c r="K54" t="e">
        <f>I2</f>
        <v>#DIV/0!</v>
      </c>
      <c r="L54" t="e">
        <f>I14</f>
        <v>#DIV/0!</v>
      </c>
      <c r="M54" t="e">
        <f t="shared" si="0"/>
        <v>#DIV/0!</v>
      </c>
      <c r="N54" t="e">
        <f t="shared" si="1"/>
        <v>#DIV/0!</v>
      </c>
    </row>
    <row r="55" spans="1:14" x14ac:dyDescent="0.2">
      <c r="A55" t="s">
        <v>86</v>
      </c>
      <c r="B55" t="s">
        <v>129</v>
      </c>
      <c r="C55" t="s">
        <v>32</v>
      </c>
      <c r="D55">
        <v>32.7087039482482</v>
      </c>
      <c r="E55">
        <v>32.7087039482482</v>
      </c>
      <c r="F55" t="s">
        <v>86</v>
      </c>
      <c r="G55" s="1" t="s">
        <v>24</v>
      </c>
      <c r="H55" t="s">
        <v>148</v>
      </c>
      <c r="I55">
        <f t="shared" si="64"/>
        <v>32.580892281828135</v>
      </c>
      <c r="J55">
        <f t="shared" ref="J55" si="65">J53</f>
        <v>0.16936659376923918</v>
      </c>
      <c r="K55" t="e">
        <f>I2</f>
        <v>#DIV/0!</v>
      </c>
      <c r="L55" t="e">
        <f>I14</f>
        <v>#DIV/0!</v>
      </c>
      <c r="M55" t="e">
        <f t="shared" si="0"/>
        <v>#DIV/0!</v>
      </c>
      <c r="N55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30.7183932727621</v>
      </c>
      <c r="E56">
        <v>30.7183932727621</v>
      </c>
      <c r="F56" t="s">
        <v>87</v>
      </c>
      <c r="G56" s="4" t="s">
        <v>16</v>
      </c>
      <c r="H56">
        <v>162</v>
      </c>
      <c r="I56">
        <f t="shared" ref="I56" si="66">AVERAGE(D56:D58)</f>
        <v>30.728392692937934</v>
      </c>
      <c r="J56">
        <f t="shared" ref="J56" si="67">STDEV(D56:D58)</f>
        <v>9.4312504179639697E-2</v>
      </c>
      <c r="K56" t="e">
        <f>I8</f>
        <v>#DIV/0!</v>
      </c>
      <c r="L56">
        <f>I20</f>
        <v>13.309090348519598</v>
      </c>
      <c r="M56" t="e">
        <f t="shared" si="0"/>
        <v>#DIV/0!</v>
      </c>
      <c r="N56">
        <f t="shared" si="1"/>
        <v>17.419302344418334</v>
      </c>
    </row>
    <row r="57" spans="1:14" x14ac:dyDescent="0.2">
      <c r="A57" t="s">
        <v>88</v>
      </c>
      <c r="B57" t="s">
        <v>129</v>
      </c>
      <c r="C57" t="s">
        <v>32</v>
      </c>
      <c r="D57">
        <v>30.639478308547201</v>
      </c>
      <c r="E57">
        <v>30.639478308547201</v>
      </c>
      <c r="F57" t="s">
        <v>88</v>
      </c>
      <c r="G57" s="4" t="s">
        <v>16</v>
      </c>
      <c r="H57">
        <v>162</v>
      </c>
      <c r="I57">
        <f t="shared" ref="I57:J57" si="68">I56</f>
        <v>30.728392692937934</v>
      </c>
      <c r="J57">
        <f t="shared" si="68"/>
        <v>9.4312504179639697E-2</v>
      </c>
      <c r="K57" t="e">
        <f>I8</f>
        <v>#DIV/0!</v>
      </c>
      <c r="L57">
        <f>I20</f>
        <v>13.309090348519598</v>
      </c>
      <c r="M57" t="e">
        <f t="shared" si="0"/>
        <v>#DIV/0!</v>
      </c>
      <c r="N57">
        <f t="shared" si="1"/>
        <v>17.419302344418334</v>
      </c>
    </row>
    <row r="58" spans="1:14" x14ac:dyDescent="0.2">
      <c r="A58" t="s">
        <v>89</v>
      </c>
      <c r="B58" t="s">
        <v>129</v>
      </c>
      <c r="C58" t="s">
        <v>32</v>
      </c>
      <c r="D58">
        <v>30.827306497504502</v>
      </c>
      <c r="E58">
        <v>30.827306497504502</v>
      </c>
      <c r="F58" t="s">
        <v>89</v>
      </c>
      <c r="G58" s="4" t="s">
        <v>16</v>
      </c>
      <c r="H58">
        <v>162</v>
      </c>
      <c r="I58">
        <f t="shared" ref="I58:J58" si="69">I56</f>
        <v>30.728392692937934</v>
      </c>
      <c r="J58">
        <f t="shared" si="69"/>
        <v>9.4312504179639697E-2</v>
      </c>
      <c r="K58" t="e">
        <f>I8</f>
        <v>#DIV/0!</v>
      </c>
      <c r="L58">
        <f>I20</f>
        <v>13.309090348519598</v>
      </c>
      <c r="M58" t="e">
        <f t="shared" si="0"/>
        <v>#DIV/0!</v>
      </c>
      <c r="N58">
        <f t="shared" si="1"/>
        <v>17.419302344418334</v>
      </c>
    </row>
    <row r="59" spans="1:14" x14ac:dyDescent="0.2">
      <c r="A59" t="s">
        <v>90</v>
      </c>
      <c r="B59" t="s">
        <v>129</v>
      </c>
      <c r="C59" t="s">
        <v>32</v>
      </c>
      <c r="D59">
        <v>31.666284078559499</v>
      </c>
      <c r="E59">
        <v>31.666284078559499</v>
      </c>
      <c r="F59" t="s">
        <v>90</v>
      </c>
      <c r="G59" s="1" t="s">
        <v>24</v>
      </c>
      <c r="H59">
        <v>162</v>
      </c>
      <c r="I59">
        <f t="shared" ref="I59" si="70">AVERAGE(D59:D61)</f>
        <v>31.63638942823675</v>
      </c>
      <c r="J59">
        <f t="shared" ref="J59" si="71">STDEV(D59:D61)</f>
        <v>4.2277419928832959E-2</v>
      </c>
      <c r="K59" t="e">
        <f>I8</f>
        <v>#DIV/0!</v>
      </c>
      <c r="L59">
        <f>I20</f>
        <v>13.309090348519598</v>
      </c>
      <c r="M59" t="e">
        <f t="shared" si="0"/>
        <v>#DIV/0!</v>
      </c>
      <c r="N59">
        <f t="shared" si="1"/>
        <v>18.32729907971715</v>
      </c>
    </row>
    <row r="60" spans="1:14" x14ac:dyDescent="0.2">
      <c r="A60" t="s">
        <v>91</v>
      </c>
      <c r="B60" t="s">
        <v>129</v>
      </c>
      <c r="C60" t="s">
        <v>32</v>
      </c>
      <c r="D60">
        <v>31.606494777914001</v>
      </c>
      <c r="E60">
        <v>31.606494777914001</v>
      </c>
      <c r="F60" t="s">
        <v>91</v>
      </c>
      <c r="G60" s="1" t="s">
        <v>24</v>
      </c>
      <c r="H60">
        <v>162</v>
      </c>
      <c r="I60">
        <f t="shared" ref="I60:J61" si="72">I59</f>
        <v>31.63638942823675</v>
      </c>
      <c r="J60">
        <f t="shared" si="72"/>
        <v>4.2277419928832959E-2</v>
      </c>
      <c r="K60" t="e">
        <f>I8</f>
        <v>#DIV/0!</v>
      </c>
      <c r="L60">
        <f>I20</f>
        <v>13.309090348519598</v>
      </c>
      <c r="M60" t="e">
        <f t="shared" si="0"/>
        <v>#DIV/0!</v>
      </c>
      <c r="N60">
        <f t="shared" si="1"/>
        <v>18.32729907971715</v>
      </c>
    </row>
    <row r="61" spans="1:14" x14ac:dyDescent="0.2">
      <c r="A61" t="s">
        <v>92</v>
      </c>
      <c r="B61" t="s">
        <v>129</v>
      </c>
      <c r="C61" t="s">
        <v>32</v>
      </c>
      <c r="E61">
        <v>34.1824570823483</v>
      </c>
      <c r="F61" t="s">
        <v>92</v>
      </c>
      <c r="G61" s="1" t="s">
        <v>24</v>
      </c>
      <c r="H61">
        <v>162</v>
      </c>
      <c r="I61">
        <f t="shared" si="72"/>
        <v>31.63638942823675</v>
      </c>
      <c r="J61">
        <f t="shared" ref="J61" si="73">J59</f>
        <v>4.2277419928832959E-2</v>
      </c>
      <c r="K61" t="e">
        <f>I8</f>
        <v>#DIV/0!</v>
      </c>
      <c r="L61">
        <f>I20</f>
        <v>13.309090348519598</v>
      </c>
      <c r="M61" t="e">
        <f t="shared" si="0"/>
        <v>#DIV/0!</v>
      </c>
      <c r="N61">
        <f t="shared" si="1"/>
        <v>18.32729907971715</v>
      </c>
    </row>
    <row r="62" spans="1:14" x14ac:dyDescent="0.2">
      <c r="A62" t="s">
        <v>93</v>
      </c>
      <c r="B62" t="s">
        <v>129</v>
      </c>
      <c r="C62" t="s">
        <v>32</v>
      </c>
      <c r="D62">
        <v>29.621982995225299</v>
      </c>
      <c r="E62">
        <v>29.621982995225299</v>
      </c>
      <c r="F62" t="s">
        <v>93</v>
      </c>
      <c r="G62" s="4" t="s">
        <v>17</v>
      </c>
      <c r="H62" t="s">
        <v>148</v>
      </c>
      <c r="I62">
        <f t="shared" ref="I62" si="74">AVERAGE(D62:D64)</f>
        <v>29.720236510603836</v>
      </c>
      <c r="J62">
        <f t="shared" ref="J62" si="75">STDEV(D62:D64)</f>
        <v>0.13179715006432549</v>
      </c>
      <c r="K62" t="e">
        <f>I2</f>
        <v>#DIV/0!</v>
      </c>
      <c r="L62" t="e">
        <f>I14</f>
        <v>#DIV/0!</v>
      </c>
      <c r="M62" t="e">
        <f t="shared" si="0"/>
        <v>#DIV/0!</v>
      </c>
      <c r="N62" t="e">
        <f t="shared" si="1"/>
        <v>#DIV/0!</v>
      </c>
    </row>
    <row r="63" spans="1:14" x14ac:dyDescent="0.2">
      <c r="A63" t="s">
        <v>94</v>
      </c>
      <c r="B63" t="s">
        <v>129</v>
      </c>
      <c r="C63" t="s">
        <v>32</v>
      </c>
      <c r="D63">
        <v>29.6687145037607</v>
      </c>
      <c r="E63">
        <v>29.6687145037607</v>
      </c>
      <c r="F63" t="s">
        <v>94</v>
      </c>
      <c r="G63" s="4" t="s">
        <v>17</v>
      </c>
      <c r="H63" t="s">
        <v>148</v>
      </c>
      <c r="I63">
        <f t="shared" ref="I63:J63" si="76">I62</f>
        <v>29.720236510603836</v>
      </c>
      <c r="J63">
        <f t="shared" si="76"/>
        <v>0.13179715006432549</v>
      </c>
      <c r="K63" t="e">
        <f>I2</f>
        <v>#DIV/0!</v>
      </c>
      <c r="L63" t="e">
        <f>I14</f>
        <v>#DIV/0!</v>
      </c>
      <c r="M63" t="e">
        <f t="shared" si="0"/>
        <v>#DIV/0!</v>
      </c>
      <c r="N63" t="e">
        <f t="shared" si="1"/>
        <v>#DIV/0!</v>
      </c>
    </row>
    <row r="64" spans="1:14" x14ac:dyDescent="0.2">
      <c r="A64" t="s">
        <v>95</v>
      </c>
      <c r="B64" t="s">
        <v>129</v>
      </c>
      <c r="C64" t="s">
        <v>32</v>
      </c>
      <c r="D64">
        <v>29.8700120328255</v>
      </c>
      <c r="E64">
        <v>29.8700120328255</v>
      </c>
      <c r="F64" t="s">
        <v>95</v>
      </c>
      <c r="G64" s="4" t="s">
        <v>17</v>
      </c>
      <c r="H64" t="s">
        <v>148</v>
      </c>
      <c r="I64">
        <f t="shared" ref="I64:J64" si="77">I62</f>
        <v>29.720236510603836</v>
      </c>
      <c r="J64">
        <f t="shared" si="77"/>
        <v>0.13179715006432549</v>
      </c>
      <c r="K64" t="e">
        <f>I2</f>
        <v>#DIV/0!</v>
      </c>
      <c r="L64" t="e">
        <f>I14</f>
        <v>#DIV/0!</v>
      </c>
      <c r="M64" t="e">
        <f t="shared" si="0"/>
        <v>#DIV/0!</v>
      </c>
      <c r="N64" t="e">
        <f t="shared" si="1"/>
        <v>#DIV/0!</v>
      </c>
    </row>
    <row r="65" spans="1:14" x14ac:dyDescent="0.2">
      <c r="A65" t="s">
        <v>96</v>
      </c>
      <c r="B65" t="s">
        <v>129</v>
      </c>
      <c r="C65" t="s">
        <v>32</v>
      </c>
      <c r="D65">
        <v>29.523303656126</v>
      </c>
      <c r="E65">
        <v>29.523303656126</v>
      </c>
      <c r="F65" t="s">
        <v>96</v>
      </c>
      <c r="G65" s="1" t="s">
        <v>25</v>
      </c>
      <c r="H65" t="s">
        <v>148</v>
      </c>
      <c r="I65">
        <f t="shared" ref="I65" si="78">AVERAGE(D65:D67)</f>
        <v>29.433129648740952</v>
      </c>
      <c r="J65">
        <f t="shared" ref="J65" si="79">STDEV(D65:D67)</f>
        <v>0.12752530421746949</v>
      </c>
      <c r="K65" t="e">
        <f>I2</f>
        <v>#DIV/0!</v>
      </c>
      <c r="L65" t="e">
        <f>I14</f>
        <v>#DIV/0!</v>
      </c>
      <c r="M65" t="e">
        <f t="shared" si="0"/>
        <v>#DIV/0!</v>
      </c>
      <c r="N65" t="e">
        <f t="shared" si="1"/>
        <v>#DIV/0!</v>
      </c>
    </row>
    <row r="66" spans="1:14" x14ac:dyDescent="0.2">
      <c r="A66" t="s">
        <v>97</v>
      </c>
      <c r="B66" t="s">
        <v>129</v>
      </c>
      <c r="C66" t="s">
        <v>32</v>
      </c>
      <c r="E66">
        <v>29.967049545838201</v>
      </c>
      <c r="F66" t="s">
        <v>97</v>
      </c>
      <c r="G66" s="1" t="s">
        <v>25</v>
      </c>
      <c r="H66" t="s">
        <v>148</v>
      </c>
      <c r="I66">
        <f t="shared" ref="I66:J67" si="80">I65</f>
        <v>29.433129648740952</v>
      </c>
      <c r="J66">
        <f t="shared" si="80"/>
        <v>0.12752530421746949</v>
      </c>
      <c r="K66" t="e">
        <f>I2</f>
        <v>#DIV/0!</v>
      </c>
      <c r="L66" t="e">
        <f>I14</f>
        <v>#DIV/0!</v>
      </c>
      <c r="M66" t="e">
        <f t="shared" si="0"/>
        <v>#DIV/0!</v>
      </c>
      <c r="N66" t="e">
        <f t="shared" si="1"/>
        <v>#DIV/0!</v>
      </c>
    </row>
    <row r="67" spans="1:14" x14ac:dyDescent="0.2">
      <c r="A67" t="s">
        <v>98</v>
      </c>
      <c r="B67" t="s">
        <v>129</v>
      </c>
      <c r="C67" t="s">
        <v>32</v>
      </c>
      <c r="D67">
        <v>29.3429556413559</v>
      </c>
      <c r="E67">
        <v>29.3429556413559</v>
      </c>
      <c r="F67" t="s">
        <v>98</v>
      </c>
      <c r="G67" s="1" t="s">
        <v>25</v>
      </c>
      <c r="H67" t="s">
        <v>148</v>
      </c>
      <c r="I67">
        <f t="shared" si="80"/>
        <v>29.433129648740952</v>
      </c>
      <c r="J67">
        <f t="shared" ref="J67" si="81">J65</f>
        <v>0.12752530421746949</v>
      </c>
      <c r="K67" t="e">
        <f>I2</f>
        <v>#DIV/0!</v>
      </c>
      <c r="L67" t="e">
        <f>I14</f>
        <v>#DIV/0!</v>
      </c>
      <c r="M67" t="e">
        <f t="shared" ref="M67:M97" si="82">I67-K67</f>
        <v>#DIV/0!</v>
      </c>
      <c r="N67" t="e">
        <f t="shared" ref="N67:N97" si="83">I67-L67</f>
        <v>#DIV/0!</v>
      </c>
    </row>
    <row r="68" spans="1:14" x14ac:dyDescent="0.2">
      <c r="A68" t="s">
        <v>99</v>
      </c>
      <c r="B68" t="s">
        <v>129</v>
      </c>
      <c r="C68" t="s">
        <v>32</v>
      </c>
      <c r="D68">
        <v>30.770167424546599</v>
      </c>
      <c r="E68">
        <v>30.770167424546599</v>
      </c>
      <c r="F68" t="s">
        <v>99</v>
      </c>
      <c r="G68" s="4" t="s">
        <v>17</v>
      </c>
      <c r="H68">
        <v>162</v>
      </c>
      <c r="I68">
        <f t="shared" ref="I68" si="84">AVERAGE(D68:D70)</f>
        <v>31.055481364812202</v>
      </c>
      <c r="J68">
        <f t="shared" ref="J68" si="85">STDEV(D68:D70)</f>
        <v>0.40349484385771983</v>
      </c>
      <c r="K68" t="e">
        <f>I8</f>
        <v>#DIV/0!</v>
      </c>
      <c r="L68">
        <f>I20</f>
        <v>13.309090348519598</v>
      </c>
      <c r="M68" t="e">
        <f t="shared" si="82"/>
        <v>#DIV/0!</v>
      </c>
      <c r="N68">
        <f t="shared" si="83"/>
        <v>17.746391016292606</v>
      </c>
    </row>
    <row r="69" spans="1:14" x14ac:dyDescent="0.2">
      <c r="A69" t="s">
        <v>100</v>
      </c>
      <c r="B69" t="s">
        <v>129</v>
      </c>
      <c r="C69" t="s">
        <v>32</v>
      </c>
      <c r="E69">
        <v>29.768428838069799</v>
      </c>
      <c r="F69" t="s">
        <v>100</v>
      </c>
      <c r="G69" s="4" t="s">
        <v>17</v>
      </c>
      <c r="H69">
        <v>162</v>
      </c>
      <c r="I69">
        <f t="shared" ref="I69:J69" si="86">I68</f>
        <v>31.055481364812202</v>
      </c>
      <c r="J69">
        <f t="shared" si="86"/>
        <v>0.40349484385771983</v>
      </c>
      <c r="K69" t="e">
        <f>I8</f>
        <v>#DIV/0!</v>
      </c>
      <c r="L69">
        <f>I20</f>
        <v>13.309090348519598</v>
      </c>
      <c r="M69" t="e">
        <f t="shared" si="82"/>
        <v>#DIV/0!</v>
      </c>
      <c r="N69">
        <f t="shared" si="83"/>
        <v>17.746391016292606</v>
      </c>
    </row>
    <row r="70" spans="1:14" x14ac:dyDescent="0.2">
      <c r="A70" t="s">
        <v>101</v>
      </c>
      <c r="B70" t="s">
        <v>129</v>
      </c>
      <c r="C70" t="s">
        <v>32</v>
      </c>
      <c r="D70">
        <v>31.340795305077801</v>
      </c>
      <c r="E70">
        <v>31.340795305077801</v>
      </c>
      <c r="F70" t="s">
        <v>101</v>
      </c>
      <c r="G70" s="4" t="s">
        <v>17</v>
      </c>
      <c r="H70">
        <v>162</v>
      </c>
      <c r="I70">
        <f t="shared" ref="I70:J70" si="87">I68</f>
        <v>31.055481364812202</v>
      </c>
      <c r="J70">
        <f t="shared" si="87"/>
        <v>0.40349484385771983</v>
      </c>
      <c r="K70" t="e">
        <f>I8</f>
        <v>#DIV/0!</v>
      </c>
      <c r="L70">
        <f>I20</f>
        <v>13.309090348519598</v>
      </c>
      <c r="M70" t="e">
        <f t="shared" si="82"/>
        <v>#DIV/0!</v>
      </c>
      <c r="N70">
        <f t="shared" si="83"/>
        <v>17.746391016292606</v>
      </c>
    </row>
    <row r="71" spans="1:14" x14ac:dyDescent="0.2">
      <c r="A71" t="s">
        <v>102</v>
      </c>
      <c r="B71" t="s">
        <v>129</v>
      </c>
      <c r="C71" t="s">
        <v>32</v>
      </c>
      <c r="D71">
        <v>30.8693721107622</v>
      </c>
      <c r="E71">
        <v>30.8693721107622</v>
      </c>
      <c r="F71" t="s">
        <v>102</v>
      </c>
      <c r="G71" s="1" t="s">
        <v>25</v>
      </c>
      <c r="H71">
        <v>162</v>
      </c>
      <c r="I71">
        <f t="shared" ref="I71" si="88">AVERAGE(D71:D73)</f>
        <v>30.7678213460397</v>
      </c>
      <c r="J71">
        <f t="shared" ref="J71" si="89">STDEV(D71:D73)</f>
        <v>0.17116643310370219</v>
      </c>
      <c r="K71" t="e">
        <f>I8</f>
        <v>#DIV/0!</v>
      </c>
      <c r="L71">
        <f>I20</f>
        <v>13.309090348519598</v>
      </c>
      <c r="M71" t="e">
        <f t="shared" si="82"/>
        <v>#DIV/0!</v>
      </c>
      <c r="N71">
        <f t="shared" si="83"/>
        <v>17.458730997520099</v>
      </c>
    </row>
    <row r="72" spans="1:14" x14ac:dyDescent="0.2">
      <c r="A72" t="s">
        <v>103</v>
      </c>
      <c r="B72" t="s">
        <v>129</v>
      </c>
      <c r="C72" t="s">
        <v>32</v>
      </c>
      <c r="D72">
        <v>30.5702007068274</v>
      </c>
      <c r="E72">
        <v>30.5702007068274</v>
      </c>
      <c r="F72" t="s">
        <v>103</v>
      </c>
      <c r="G72" s="1" t="s">
        <v>25</v>
      </c>
      <c r="H72">
        <v>162</v>
      </c>
      <c r="I72">
        <f t="shared" ref="I72:J73" si="90">I71</f>
        <v>30.7678213460397</v>
      </c>
      <c r="J72">
        <f t="shared" si="90"/>
        <v>0.17116643310370219</v>
      </c>
      <c r="K72" t="e">
        <f>I8</f>
        <v>#DIV/0!</v>
      </c>
      <c r="L72">
        <f>I20</f>
        <v>13.309090348519598</v>
      </c>
      <c r="M72" t="e">
        <f t="shared" si="82"/>
        <v>#DIV/0!</v>
      </c>
      <c r="N72">
        <f t="shared" si="83"/>
        <v>17.458730997520099</v>
      </c>
    </row>
    <row r="73" spans="1:14" x14ac:dyDescent="0.2">
      <c r="A73" t="s">
        <v>104</v>
      </c>
      <c r="B73" t="s">
        <v>129</v>
      </c>
      <c r="C73" t="s">
        <v>32</v>
      </c>
      <c r="D73">
        <v>30.863891220529499</v>
      </c>
      <c r="E73">
        <v>30.863891220529499</v>
      </c>
      <c r="F73" t="s">
        <v>104</v>
      </c>
      <c r="G73" s="1" t="s">
        <v>25</v>
      </c>
      <c r="H73">
        <v>162</v>
      </c>
      <c r="I73">
        <f t="shared" si="90"/>
        <v>30.7678213460397</v>
      </c>
      <c r="J73">
        <f t="shared" ref="J73" si="91">J71</f>
        <v>0.17116643310370219</v>
      </c>
      <c r="K73" t="e">
        <f>I8</f>
        <v>#DIV/0!</v>
      </c>
      <c r="L73">
        <f>I20</f>
        <v>13.309090348519598</v>
      </c>
      <c r="M73" t="e">
        <f t="shared" si="82"/>
        <v>#DIV/0!</v>
      </c>
      <c r="N73">
        <f t="shared" si="83"/>
        <v>17.458730997520099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 t="s">
        <v>141</v>
      </c>
      <c r="F74" s="17" t="s">
        <v>105</v>
      </c>
      <c r="G74" s="20" t="s">
        <v>18</v>
      </c>
      <c r="H74" s="17" t="s">
        <v>148</v>
      </c>
      <c r="I74" s="17" t="e">
        <f t="shared" ref="I74" si="92">AVERAGE(D74:D76)</f>
        <v>#DIV/0!</v>
      </c>
      <c r="J74" s="17" t="e">
        <f>STDEV(D74:D76)</f>
        <v>#DIV/0!</v>
      </c>
      <c r="K74" s="17" t="e">
        <f>I2</f>
        <v>#DIV/0!</v>
      </c>
      <c r="L74" s="17" t="e">
        <f>I14</f>
        <v>#DIV/0!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33.445325630520799</v>
      </c>
      <c r="F75" s="17" t="s">
        <v>106</v>
      </c>
      <c r="G75" s="20" t="s">
        <v>18</v>
      </c>
      <c r="H75" s="17" t="s">
        <v>148</v>
      </c>
      <c r="I75" s="17" t="e">
        <f t="shared" ref="I75:J75" si="93">I74</f>
        <v>#DIV/0!</v>
      </c>
      <c r="J75" s="17" t="e">
        <f t="shared" si="93"/>
        <v>#DIV/0!</v>
      </c>
      <c r="K75" s="17" t="e">
        <f>I2</f>
        <v>#DIV/0!</v>
      </c>
      <c r="L75" s="17" t="e">
        <f>I14</f>
        <v>#DIV/0!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 t="s">
        <v>141</v>
      </c>
      <c r="F76" s="17" t="s">
        <v>107</v>
      </c>
      <c r="G76" s="20" t="s">
        <v>18</v>
      </c>
      <c r="H76" s="17" t="s">
        <v>148</v>
      </c>
      <c r="I76" s="17" t="e">
        <f t="shared" ref="I76:J76" si="94">I74</f>
        <v>#DIV/0!</v>
      </c>
      <c r="J76" s="17" t="e">
        <f t="shared" si="94"/>
        <v>#DIV/0!</v>
      </c>
      <c r="K76" s="17" t="e">
        <f>I2</f>
        <v>#DIV/0!</v>
      </c>
      <c r="L76" s="17" t="e">
        <f>I14</f>
        <v>#DIV/0!</v>
      </c>
      <c r="M76" s="17" t="e">
        <f t="shared" si="82"/>
        <v>#DIV/0!</v>
      </c>
      <c r="N76" s="17" t="e">
        <f t="shared" si="83"/>
        <v>#DIV/0!</v>
      </c>
    </row>
    <row r="77" spans="1:14" s="17" customFormat="1" x14ac:dyDescent="0.2">
      <c r="A77" s="17" t="s">
        <v>108</v>
      </c>
      <c r="B77" s="17" t="s">
        <v>129</v>
      </c>
      <c r="C77" s="17" t="s">
        <v>32</v>
      </c>
      <c r="E77" s="17" t="s">
        <v>141</v>
      </c>
      <c r="F77" s="17" t="s">
        <v>108</v>
      </c>
      <c r="I77" s="17" t="e">
        <f t="shared" ref="I77" si="95">AVERAGE(D77:D79)</f>
        <v>#DIV/0!</v>
      </c>
      <c r="J77" s="17" t="e">
        <f t="shared" ref="J77" si="96">STDEV(D77:D79)</f>
        <v>#DIV/0!</v>
      </c>
      <c r="K77" s="17" t="e">
        <f>I2</f>
        <v>#DIV/0!</v>
      </c>
      <c r="L77" s="17" t="e">
        <f>I14</f>
        <v>#DIV/0!</v>
      </c>
      <c r="M77" s="17" t="e">
        <f t="shared" si="82"/>
        <v>#DIV/0!</v>
      </c>
      <c r="N77" s="17" t="e">
        <f t="shared" si="83"/>
        <v>#DIV/0!</v>
      </c>
    </row>
    <row r="78" spans="1:14" s="17" customFormat="1" x14ac:dyDescent="0.2">
      <c r="A78" s="17" t="s">
        <v>109</v>
      </c>
      <c r="B78" s="17" t="s">
        <v>129</v>
      </c>
      <c r="C78" s="17" t="s">
        <v>32</v>
      </c>
      <c r="E78" s="17" t="s">
        <v>141</v>
      </c>
      <c r="F78" s="17" t="s">
        <v>109</v>
      </c>
      <c r="I78" s="17" t="e">
        <f t="shared" ref="I78:J79" si="97">I77</f>
        <v>#DIV/0!</v>
      </c>
      <c r="J78" s="17" t="e">
        <f t="shared" si="97"/>
        <v>#DIV/0!</v>
      </c>
      <c r="K78" s="17" t="e">
        <f>I2</f>
        <v>#DIV/0!</v>
      </c>
      <c r="L78" s="17" t="e">
        <f>I14</f>
        <v>#DIV/0!</v>
      </c>
      <c r="M78" s="17" t="e">
        <f t="shared" si="82"/>
        <v>#DIV/0!</v>
      </c>
      <c r="N78" s="17" t="e">
        <f t="shared" si="83"/>
        <v>#DIV/0!</v>
      </c>
    </row>
    <row r="79" spans="1:14" s="17" customFormat="1" x14ac:dyDescent="0.2">
      <c r="A79" s="17" t="s">
        <v>110</v>
      </c>
      <c r="B79" s="17" t="s">
        <v>129</v>
      </c>
      <c r="C79" s="17" t="s">
        <v>32</v>
      </c>
      <c r="E79" s="17" t="s">
        <v>141</v>
      </c>
      <c r="F79" s="17" t="s">
        <v>110</v>
      </c>
      <c r="I79" s="17" t="e">
        <f t="shared" si="97"/>
        <v>#DIV/0!</v>
      </c>
      <c r="J79" s="17" t="e">
        <f t="shared" ref="J79" si="98">J77</f>
        <v>#DIV/0!</v>
      </c>
      <c r="K79" s="17" t="e">
        <f>I2</f>
        <v>#DIV/0!</v>
      </c>
      <c r="L79" s="17" t="e">
        <f>I14</f>
        <v>#DIV/0!</v>
      </c>
      <c r="M79" s="17" t="e">
        <f t="shared" si="82"/>
        <v>#DIV/0!</v>
      </c>
      <c r="N79" s="17" t="e">
        <f t="shared" si="83"/>
        <v>#DIV/0!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32.976835730951898</v>
      </c>
      <c r="F80" s="17" t="s">
        <v>111</v>
      </c>
      <c r="G80" s="20" t="s">
        <v>18</v>
      </c>
      <c r="H80" s="17">
        <v>162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 t="e">
        <f>I8</f>
        <v>#DIV/0!</v>
      </c>
      <c r="L80" s="17">
        <f>I20</f>
        <v>13.309090348519598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 t="s">
        <v>141</v>
      </c>
      <c r="F81" s="17" t="s">
        <v>112</v>
      </c>
      <c r="G81" s="20" t="s">
        <v>18</v>
      </c>
      <c r="H81" s="17">
        <v>162</v>
      </c>
      <c r="I81" s="17" t="e">
        <f t="shared" ref="I81:J81" si="101">I80</f>
        <v>#DIV/0!</v>
      </c>
      <c r="J81" s="17" t="e">
        <f t="shared" si="101"/>
        <v>#DIV/0!</v>
      </c>
      <c r="K81" s="17" t="e">
        <f>I8</f>
        <v>#DIV/0!</v>
      </c>
      <c r="L81" s="17">
        <f>I20</f>
        <v>13.309090348519598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31.9296639233858</v>
      </c>
      <c r="F82" s="17" t="s">
        <v>113</v>
      </c>
      <c r="G82" s="20" t="s">
        <v>18</v>
      </c>
      <c r="H82" s="17">
        <v>162</v>
      </c>
      <c r="I82" s="17" t="e">
        <f t="shared" ref="I82:J82" si="102">I80</f>
        <v>#DIV/0!</v>
      </c>
      <c r="J82" s="17" t="e">
        <f t="shared" si="102"/>
        <v>#DIV/0!</v>
      </c>
      <c r="K82" s="17" t="e">
        <f>I8</f>
        <v>#DIV/0!</v>
      </c>
      <c r="L82" s="17">
        <f>I20</f>
        <v>13.309090348519598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E83" s="17" t="s">
        <v>141</v>
      </c>
      <c r="F83" s="17" t="s">
        <v>114</v>
      </c>
      <c r="I83" s="17" t="e">
        <f t="shared" ref="I83" si="103">AVERAGE(D83:D85)</f>
        <v>#DIV/0!</v>
      </c>
      <c r="J83" s="17" t="e">
        <f t="shared" ref="J83" si="104">STDEV(D83:D85)</f>
        <v>#DIV/0!</v>
      </c>
      <c r="K83" s="17" t="e">
        <f>I8</f>
        <v>#DIV/0!</v>
      </c>
      <c r="L83" s="17">
        <f>I20</f>
        <v>13.309090348519598</v>
      </c>
      <c r="M83" s="17" t="e">
        <f t="shared" si="82"/>
        <v>#DIV/0!</v>
      </c>
      <c r="N83" s="17" t="e">
        <f t="shared" si="83"/>
        <v>#DIV/0!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E84" s="17" t="s">
        <v>141</v>
      </c>
      <c r="F84" s="17" t="s">
        <v>115</v>
      </c>
      <c r="I84" s="17" t="e">
        <f t="shared" ref="I84:J85" si="105">I83</f>
        <v>#DIV/0!</v>
      </c>
      <c r="J84" s="17" t="e">
        <f t="shared" si="105"/>
        <v>#DIV/0!</v>
      </c>
      <c r="K84" s="17" t="e">
        <f>I8</f>
        <v>#DIV/0!</v>
      </c>
      <c r="L84" s="17">
        <f>I20</f>
        <v>13.309090348519598</v>
      </c>
      <c r="M84" s="17" t="e">
        <f t="shared" si="82"/>
        <v>#DIV/0!</v>
      </c>
      <c r="N84" s="17" t="e">
        <f t="shared" si="83"/>
        <v>#DIV/0!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E85" s="17" t="s">
        <v>141</v>
      </c>
      <c r="F85" s="17" t="s">
        <v>116</v>
      </c>
      <c r="I85" s="17" t="e">
        <f t="shared" si="105"/>
        <v>#DIV/0!</v>
      </c>
      <c r="J85" s="17" t="e">
        <f t="shared" ref="J85" si="106">J83</f>
        <v>#DIV/0!</v>
      </c>
      <c r="K85" s="17" t="e">
        <f>I8</f>
        <v>#DIV/0!</v>
      </c>
      <c r="L85" s="17">
        <f>I20</f>
        <v>13.309090348519598</v>
      </c>
      <c r="M85" s="17" t="e">
        <f t="shared" si="82"/>
        <v>#DIV/0!</v>
      </c>
      <c r="N85" s="17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35.0805961594411</v>
      </c>
      <c r="F86" s="17" t="s">
        <v>117</v>
      </c>
      <c r="G86" s="21" t="s">
        <v>19</v>
      </c>
      <c r="H86" s="17" t="s">
        <v>148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 t="e">
        <f>I2</f>
        <v>#DIV/0!</v>
      </c>
      <c r="L86" s="17" t="e">
        <f>I14</f>
        <v>#DIV/0!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32.668774634700803</v>
      </c>
      <c r="F87" s="17" t="s">
        <v>118</v>
      </c>
      <c r="G87" s="21" t="s">
        <v>19</v>
      </c>
      <c r="H87" s="17" t="s">
        <v>148</v>
      </c>
      <c r="I87" s="17" t="e">
        <f t="shared" ref="I87:J87" si="109">I86</f>
        <v>#DIV/0!</v>
      </c>
      <c r="J87" s="17" t="e">
        <f t="shared" si="109"/>
        <v>#DIV/0!</v>
      </c>
      <c r="K87" s="17" t="e">
        <f>I2</f>
        <v>#DIV/0!</v>
      </c>
      <c r="L87" s="17" t="e">
        <f>I14</f>
        <v>#DIV/0!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31.880044376160502</v>
      </c>
      <c r="F88" s="17" t="s">
        <v>119</v>
      </c>
      <c r="G88" s="21" t="s">
        <v>19</v>
      </c>
      <c r="H88" s="17" t="s">
        <v>148</v>
      </c>
      <c r="I88" s="17" t="e">
        <f t="shared" ref="I88:J88" si="110">I86</f>
        <v>#DIV/0!</v>
      </c>
      <c r="J88" s="17" t="e">
        <f t="shared" si="110"/>
        <v>#DIV/0!</v>
      </c>
      <c r="K88" s="17" t="e">
        <f>I2</f>
        <v>#DIV/0!</v>
      </c>
      <c r="L88" s="17" t="e">
        <f>I14</f>
        <v>#DIV/0!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E89" s="17" t="s">
        <v>141</v>
      </c>
      <c r="F89" s="17" t="s">
        <v>120</v>
      </c>
      <c r="I89" s="17" t="e">
        <f t="shared" ref="I89" si="111">AVERAGE(D89:D91)</f>
        <v>#DIV/0!</v>
      </c>
      <c r="J89" s="17" t="e">
        <f t="shared" ref="J89" si="112">STDEV(D89:D91)</f>
        <v>#DIV/0!</v>
      </c>
      <c r="K89" s="17" t="e">
        <f>I2</f>
        <v>#DIV/0!</v>
      </c>
      <c r="L89" s="17" t="e">
        <f>I14</f>
        <v>#DIV/0!</v>
      </c>
      <c r="M89" s="17" t="e">
        <f t="shared" si="82"/>
        <v>#DIV/0!</v>
      </c>
      <c r="N89" s="17" t="e">
        <f t="shared" si="83"/>
        <v>#DIV/0!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E90" s="17" t="s">
        <v>141</v>
      </c>
      <c r="F90" s="17" t="s">
        <v>121</v>
      </c>
      <c r="I90" s="17" t="e">
        <f t="shared" ref="I90:J91" si="113">I89</f>
        <v>#DIV/0!</v>
      </c>
      <c r="J90" s="17" t="e">
        <f t="shared" si="113"/>
        <v>#DIV/0!</v>
      </c>
      <c r="K90" s="17" t="e">
        <f>I2</f>
        <v>#DIV/0!</v>
      </c>
      <c r="L90" s="17" t="e">
        <f>I14</f>
        <v>#DIV/0!</v>
      </c>
      <c r="M90" s="17" t="e">
        <f t="shared" si="82"/>
        <v>#DIV/0!</v>
      </c>
      <c r="N90" s="17" t="e">
        <f t="shared" si="83"/>
        <v>#DIV/0!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E91" s="17" t="s">
        <v>141</v>
      </c>
      <c r="F91" s="17" t="s">
        <v>122</v>
      </c>
      <c r="I91" s="17" t="e">
        <f t="shared" si="113"/>
        <v>#DIV/0!</v>
      </c>
      <c r="J91" s="17" t="e">
        <f t="shared" ref="J91" si="114">J89</f>
        <v>#DIV/0!</v>
      </c>
      <c r="K91" s="17" t="e">
        <f>I2</f>
        <v>#DIV/0!</v>
      </c>
      <c r="L91" s="17" t="e">
        <f>I14</f>
        <v>#DIV/0!</v>
      </c>
      <c r="M91" s="17" t="e">
        <f t="shared" si="82"/>
        <v>#DIV/0!</v>
      </c>
      <c r="N91" s="17" t="e">
        <f t="shared" si="83"/>
        <v>#DIV/0!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>
        <v>35.132576059607203</v>
      </c>
      <c r="F92" s="17" t="s">
        <v>123</v>
      </c>
      <c r="G92" s="21" t="s">
        <v>19</v>
      </c>
      <c r="H92" s="17">
        <v>162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 t="e">
        <f>I8</f>
        <v>#DIV/0!</v>
      </c>
      <c r="L92" s="17">
        <f>I20</f>
        <v>13.309090348519598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32.998514045743399</v>
      </c>
      <c r="F93" s="17" t="s">
        <v>124</v>
      </c>
      <c r="G93" s="21" t="s">
        <v>19</v>
      </c>
      <c r="H93" s="17">
        <v>162</v>
      </c>
      <c r="I93" s="17" t="e">
        <f t="shared" ref="I93:J93" si="117">I92</f>
        <v>#DIV/0!</v>
      </c>
      <c r="J93" s="17" t="e">
        <f t="shared" si="117"/>
        <v>#DIV/0!</v>
      </c>
      <c r="K93" s="17" t="e">
        <f>I8</f>
        <v>#DIV/0!</v>
      </c>
      <c r="L93" s="17">
        <f>I20</f>
        <v>13.309090348519598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32.251742128557197</v>
      </c>
      <c r="F94" s="17" t="s">
        <v>125</v>
      </c>
      <c r="G94" s="21" t="s">
        <v>19</v>
      </c>
      <c r="H94" s="17">
        <v>162</v>
      </c>
      <c r="I94" s="17" t="e">
        <f t="shared" ref="I94:J94" si="118">I92</f>
        <v>#DIV/0!</v>
      </c>
      <c r="J94" s="17" t="e">
        <f t="shared" si="118"/>
        <v>#DIV/0!</v>
      </c>
      <c r="K94" s="17" t="e">
        <f>I8</f>
        <v>#DIV/0!</v>
      </c>
      <c r="L94" s="17">
        <f>I20</f>
        <v>13.309090348519598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E95" t="s">
        <v>141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 t="e">
        <f>I8</f>
        <v>#DIV/0!</v>
      </c>
      <c r="L95">
        <f>I20</f>
        <v>13.309090348519598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E96" t="s">
        <v>141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 t="e">
        <f>I8</f>
        <v>#DIV/0!</v>
      </c>
      <c r="L96">
        <f>I20</f>
        <v>13.309090348519598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E97" t="s">
        <v>141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 t="e">
        <f>I8</f>
        <v>#DIV/0!</v>
      </c>
      <c r="L97">
        <f>I20</f>
        <v>13.309090348519598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10" priority="1" operator="greaterThan">
      <formula>0.3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C16A-F00C-2249-97E9-438761CE161E}">
  <dimension ref="A1:Q97"/>
  <sheetViews>
    <sheetView workbookViewId="0">
      <selection activeCell="H8" sqref="H1:H1048576"/>
    </sheetView>
  </sheetViews>
  <sheetFormatPr baseColWidth="10" defaultRowHeight="16" x14ac:dyDescent="0.2"/>
  <cols>
    <col min="13" max="13" width="12.83203125" bestFit="1" customWidth="1"/>
  </cols>
  <sheetData>
    <row r="1" spans="1:17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7" ht="17" thickBot="1" x14ac:dyDescent="0.25">
      <c r="A2" t="s">
        <v>31</v>
      </c>
      <c r="B2" t="s">
        <v>142</v>
      </c>
      <c r="C2" t="s">
        <v>32</v>
      </c>
      <c r="D2">
        <v>8.2406514024127908</v>
      </c>
      <c r="E2">
        <v>8.2406514024127908</v>
      </c>
      <c r="F2" t="s">
        <v>31</v>
      </c>
      <c r="G2" s="9" t="s">
        <v>9</v>
      </c>
      <c r="H2" t="s">
        <v>149</v>
      </c>
      <c r="I2">
        <f>AVERAGE(D2:D4)</f>
        <v>18.561442334575197</v>
      </c>
      <c r="J2">
        <f>STDEV(D2:D4)</f>
        <v>14.595802510681324</v>
      </c>
      <c r="K2">
        <f>I2</f>
        <v>18.561442334575197</v>
      </c>
      <c r="L2">
        <f>I14</f>
        <v>19.832149239556248</v>
      </c>
      <c r="M2">
        <f>I2-K2</f>
        <v>0</v>
      </c>
      <c r="N2">
        <f>I2-L2</f>
        <v>-1.2707069049810507</v>
      </c>
    </row>
    <row r="3" spans="1:17" ht="17" thickBot="1" x14ac:dyDescent="0.25">
      <c r="A3" t="s">
        <v>34</v>
      </c>
      <c r="B3" t="s">
        <v>142</v>
      </c>
      <c r="C3" t="s">
        <v>32</v>
      </c>
      <c r="D3">
        <v>28.8822332667376</v>
      </c>
      <c r="E3">
        <v>28.8822332667376</v>
      </c>
      <c r="F3" t="s">
        <v>34</v>
      </c>
      <c r="G3" s="9" t="s">
        <v>9</v>
      </c>
      <c r="H3" t="s">
        <v>149</v>
      </c>
      <c r="I3">
        <f>I2</f>
        <v>18.561442334575197</v>
      </c>
      <c r="J3">
        <f>J2</f>
        <v>14.595802510681324</v>
      </c>
      <c r="K3">
        <f>I2</f>
        <v>18.561442334575197</v>
      </c>
      <c r="L3">
        <f>I14</f>
        <v>19.832149239556248</v>
      </c>
      <c r="M3">
        <f t="shared" ref="M3:M66" si="0">I3-K3</f>
        <v>0</v>
      </c>
      <c r="N3">
        <f t="shared" ref="N3:N66" si="1">I3-L3</f>
        <v>-1.2707069049810507</v>
      </c>
    </row>
    <row r="4" spans="1:17" ht="17" thickBot="1" x14ac:dyDescent="0.25">
      <c r="A4" t="s">
        <v>35</v>
      </c>
      <c r="B4" t="s">
        <v>142</v>
      </c>
      <c r="C4" t="s">
        <v>32</v>
      </c>
      <c r="E4" t="s">
        <v>141</v>
      </c>
      <c r="F4" t="s">
        <v>35</v>
      </c>
      <c r="G4" s="9" t="s">
        <v>9</v>
      </c>
      <c r="H4" t="s">
        <v>149</v>
      </c>
      <c r="I4">
        <f>I2</f>
        <v>18.561442334575197</v>
      </c>
      <c r="J4">
        <f>J2</f>
        <v>14.595802510681324</v>
      </c>
      <c r="K4">
        <f>I2</f>
        <v>18.561442334575197</v>
      </c>
      <c r="L4">
        <f>I14</f>
        <v>19.832149239556248</v>
      </c>
      <c r="M4">
        <f t="shared" si="0"/>
        <v>0</v>
      </c>
      <c r="N4">
        <f t="shared" si="1"/>
        <v>-1.2707069049810507</v>
      </c>
      <c r="Q4" t="s">
        <v>143</v>
      </c>
    </row>
    <row r="5" spans="1:17" ht="17" thickBot="1" x14ac:dyDescent="0.25">
      <c r="A5" t="s">
        <v>36</v>
      </c>
      <c r="B5" t="s">
        <v>142</v>
      </c>
      <c r="C5" t="s">
        <v>32</v>
      </c>
      <c r="E5" t="s">
        <v>141</v>
      </c>
      <c r="F5" t="s">
        <v>36</v>
      </c>
      <c r="G5" s="2" t="s">
        <v>20</v>
      </c>
      <c r="H5" t="s">
        <v>149</v>
      </c>
      <c r="I5">
        <f>AVERAGE(D5:D7)</f>
        <v>4.2111809024249602</v>
      </c>
      <c r="J5" t="e">
        <f>STDEV(D5:D7)</f>
        <v>#DIV/0!</v>
      </c>
      <c r="K5">
        <f>I2</f>
        <v>18.561442334575197</v>
      </c>
      <c r="L5">
        <f>I14</f>
        <v>19.832149239556248</v>
      </c>
      <c r="M5">
        <f t="shared" si="0"/>
        <v>-14.350261432150237</v>
      </c>
      <c r="N5">
        <f t="shared" si="1"/>
        <v>-15.620968337131288</v>
      </c>
    </row>
    <row r="6" spans="1:17" ht="17" thickBot="1" x14ac:dyDescent="0.25">
      <c r="A6" t="s">
        <v>37</v>
      </c>
      <c r="B6" t="s">
        <v>142</v>
      </c>
      <c r="C6" t="s">
        <v>32</v>
      </c>
      <c r="D6">
        <v>4.2111809024249602</v>
      </c>
      <c r="E6">
        <v>4.2111809024249602</v>
      </c>
      <c r="F6" t="s">
        <v>37</v>
      </c>
      <c r="G6" s="2" t="s">
        <v>20</v>
      </c>
      <c r="H6" t="s">
        <v>149</v>
      </c>
      <c r="I6">
        <f>I5</f>
        <v>4.2111809024249602</v>
      </c>
      <c r="J6" t="e">
        <f>J5</f>
        <v>#DIV/0!</v>
      </c>
      <c r="K6">
        <f>I2</f>
        <v>18.561442334575197</v>
      </c>
      <c r="L6">
        <f>I14</f>
        <v>19.832149239556248</v>
      </c>
      <c r="M6">
        <f t="shared" si="0"/>
        <v>-14.350261432150237</v>
      </c>
      <c r="N6">
        <f t="shared" si="1"/>
        <v>-15.620968337131288</v>
      </c>
    </row>
    <row r="7" spans="1:17" ht="17" thickBot="1" x14ac:dyDescent="0.25">
      <c r="A7" t="s">
        <v>38</v>
      </c>
      <c r="B7" t="s">
        <v>142</v>
      </c>
      <c r="C7" t="s">
        <v>32</v>
      </c>
      <c r="E7" t="s">
        <v>141</v>
      </c>
      <c r="F7" t="s">
        <v>38</v>
      </c>
      <c r="G7" s="2" t="s">
        <v>20</v>
      </c>
      <c r="H7" t="s">
        <v>149</v>
      </c>
      <c r="I7">
        <f>I6</f>
        <v>4.2111809024249602</v>
      </c>
      <c r="J7" t="e">
        <f>J5</f>
        <v>#DIV/0!</v>
      </c>
      <c r="K7">
        <f>I2</f>
        <v>18.561442334575197</v>
      </c>
      <c r="L7">
        <f>I14</f>
        <v>19.832149239556248</v>
      </c>
      <c r="M7">
        <f t="shared" si="0"/>
        <v>-14.350261432150237</v>
      </c>
      <c r="N7">
        <f t="shared" si="1"/>
        <v>-15.620968337131288</v>
      </c>
    </row>
    <row r="8" spans="1:17" ht="17" thickBot="1" x14ac:dyDescent="0.25">
      <c r="A8" t="s">
        <v>39</v>
      </c>
      <c r="B8" t="s">
        <v>142</v>
      </c>
      <c r="C8" t="s">
        <v>32</v>
      </c>
      <c r="E8" t="s">
        <v>141</v>
      </c>
      <c r="F8" t="s">
        <v>39</v>
      </c>
      <c r="G8" s="9" t="s">
        <v>9</v>
      </c>
      <c r="H8" t="s">
        <v>150</v>
      </c>
      <c r="I8">
        <f t="shared" ref="I8" si="2">AVERAGE(D8:D10)</f>
        <v>15.117797691189551</v>
      </c>
      <c r="J8">
        <f t="shared" ref="J8" si="3">STDEV(D8:D10)</f>
        <v>5.2586839370866558</v>
      </c>
      <c r="K8">
        <f>I8</f>
        <v>15.117797691189551</v>
      </c>
      <c r="L8" t="e">
        <f>I20</f>
        <v>#DIV/0!</v>
      </c>
      <c r="M8">
        <f t="shared" si="0"/>
        <v>0</v>
      </c>
      <c r="N8" t="e">
        <f t="shared" si="1"/>
        <v>#DIV/0!</v>
      </c>
    </row>
    <row r="9" spans="1:17" ht="17" thickBot="1" x14ac:dyDescent="0.25">
      <c r="A9" t="s">
        <v>40</v>
      </c>
      <c r="B9" t="s">
        <v>142</v>
      </c>
      <c r="C9" t="s">
        <v>32</v>
      </c>
      <c r="D9">
        <v>18.836248763220301</v>
      </c>
      <c r="E9">
        <v>18.836248763220301</v>
      </c>
      <c r="F9" t="s">
        <v>40</v>
      </c>
      <c r="G9" s="9" t="s">
        <v>9</v>
      </c>
      <c r="H9" t="s">
        <v>150</v>
      </c>
      <c r="I9">
        <f t="shared" ref="I9:J9" si="4">I8</f>
        <v>15.117797691189551</v>
      </c>
      <c r="J9">
        <f t="shared" si="4"/>
        <v>5.2586839370866558</v>
      </c>
      <c r="K9">
        <f>I8</f>
        <v>15.117797691189551</v>
      </c>
      <c r="L9" t="e">
        <f>I20</f>
        <v>#DIV/0!</v>
      </c>
      <c r="M9">
        <f t="shared" si="0"/>
        <v>0</v>
      </c>
      <c r="N9" t="e">
        <f t="shared" si="1"/>
        <v>#DIV/0!</v>
      </c>
    </row>
    <row r="10" spans="1:17" ht="17" thickBot="1" x14ac:dyDescent="0.25">
      <c r="A10" t="s">
        <v>41</v>
      </c>
      <c r="B10" t="s">
        <v>142</v>
      </c>
      <c r="C10" t="s">
        <v>32</v>
      </c>
      <c r="D10">
        <v>11.3993466191588</v>
      </c>
      <c r="E10">
        <v>11.3993466191588</v>
      </c>
      <c r="F10" t="s">
        <v>41</v>
      </c>
      <c r="G10" s="9" t="s">
        <v>9</v>
      </c>
      <c r="H10" t="s">
        <v>150</v>
      </c>
      <c r="I10">
        <f t="shared" ref="I10:J10" si="5">I8</f>
        <v>15.117797691189551</v>
      </c>
      <c r="J10">
        <f t="shared" si="5"/>
        <v>5.2586839370866558</v>
      </c>
      <c r="K10">
        <f>I8</f>
        <v>15.117797691189551</v>
      </c>
      <c r="L10" t="e">
        <f>I20</f>
        <v>#DIV/0!</v>
      </c>
      <c r="M10">
        <f t="shared" si="0"/>
        <v>0</v>
      </c>
      <c r="N10" t="e">
        <f t="shared" si="1"/>
        <v>#DIV/0!</v>
      </c>
    </row>
    <row r="11" spans="1:17" ht="17" thickBot="1" x14ac:dyDescent="0.25">
      <c r="A11" t="s">
        <v>42</v>
      </c>
      <c r="B11" t="s">
        <v>142</v>
      </c>
      <c r="C11" t="s">
        <v>32</v>
      </c>
      <c r="D11">
        <v>11.3789674059853</v>
      </c>
      <c r="E11">
        <v>11.3789674059853</v>
      </c>
      <c r="F11" t="s">
        <v>42</v>
      </c>
      <c r="G11" s="2" t="s">
        <v>20</v>
      </c>
      <c r="H11" t="s">
        <v>150</v>
      </c>
      <c r="I11">
        <f t="shared" ref="I11" si="6">AVERAGE(D11:D13)</f>
        <v>10.94325791606575</v>
      </c>
      <c r="J11">
        <f t="shared" ref="J11" si="7">STDEV(D11:D13)</f>
        <v>0.61618626989889025</v>
      </c>
      <c r="K11">
        <f>I8</f>
        <v>15.117797691189551</v>
      </c>
      <c r="L11" t="e">
        <f>I20</f>
        <v>#DIV/0!</v>
      </c>
      <c r="M11">
        <f t="shared" si="0"/>
        <v>-4.1745397751238009</v>
      </c>
      <c r="N11" t="e">
        <f t="shared" si="1"/>
        <v>#DIV/0!</v>
      </c>
    </row>
    <row r="12" spans="1:17" ht="17" thickBot="1" x14ac:dyDescent="0.25">
      <c r="A12" t="s">
        <v>43</v>
      </c>
      <c r="B12" t="s">
        <v>142</v>
      </c>
      <c r="C12" t="s">
        <v>32</v>
      </c>
      <c r="D12">
        <v>10.507548426146201</v>
      </c>
      <c r="E12">
        <v>10.507548426146201</v>
      </c>
      <c r="F12" t="s">
        <v>43</v>
      </c>
      <c r="G12" s="2" t="s">
        <v>20</v>
      </c>
      <c r="H12" t="s">
        <v>150</v>
      </c>
      <c r="I12">
        <f t="shared" ref="I12:J13" si="8">I11</f>
        <v>10.94325791606575</v>
      </c>
      <c r="J12">
        <f t="shared" si="8"/>
        <v>0.61618626989889025</v>
      </c>
      <c r="K12">
        <f>I8</f>
        <v>15.117797691189551</v>
      </c>
      <c r="L12" t="e">
        <f>I20</f>
        <v>#DIV/0!</v>
      </c>
      <c r="M12">
        <f t="shared" si="0"/>
        <v>-4.1745397751238009</v>
      </c>
      <c r="N12" t="e">
        <f t="shared" si="1"/>
        <v>#DIV/0!</v>
      </c>
    </row>
    <row r="13" spans="1:17" x14ac:dyDescent="0.2">
      <c r="A13" t="s">
        <v>44</v>
      </c>
      <c r="B13" t="s">
        <v>142</v>
      </c>
      <c r="C13" t="s">
        <v>32</v>
      </c>
      <c r="E13">
        <v>20.984698950417702</v>
      </c>
      <c r="F13" t="s">
        <v>44</v>
      </c>
      <c r="G13" s="2" t="s">
        <v>20</v>
      </c>
      <c r="H13" t="s">
        <v>150</v>
      </c>
      <c r="I13">
        <f t="shared" si="8"/>
        <v>10.94325791606575</v>
      </c>
      <c r="J13">
        <f t="shared" ref="J13" si="9">J11</f>
        <v>0.61618626989889025</v>
      </c>
      <c r="K13">
        <f>I8</f>
        <v>15.117797691189551</v>
      </c>
      <c r="L13" t="e">
        <f>I20</f>
        <v>#DIV/0!</v>
      </c>
      <c r="M13">
        <f t="shared" si="0"/>
        <v>-4.1745397751238009</v>
      </c>
      <c r="N13" t="e">
        <f t="shared" si="1"/>
        <v>#DIV/0!</v>
      </c>
    </row>
    <row r="14" spans="1:17" x14ac:dyDescent="0.2">
      <c r="A14" t="s">
        <v>45</v>
      </c>
      <c r="B14" t="s">
        <v>142</v>
      </c>
      <c r="C14" t="s">
        <v>32</v>
      </c>
      <c r="D14">
        <v>12.901324845625799</v>
      </c>
      <c r="E14">
        <v>12.901324845625799</v>
      </c>
      <c r="F14" t="s">
        <v>45</v>
      </c>
      <c r="G14" s="11" t="s">
        <v>8</v>
      </c>
      <c r="H14" t="s">
        <v>149</v>
      </c>
      <c r="I14">
        <f t="shared" ref="I14" si="10">AVERAGE(D14:D16)</f>
        <v>19.832149239556248</v>
      </c>
      <c r="J14">
        <f t="shared" ref="J14" si="11">STDEV(D14:D16)</f>
        <v>9.8016658563227352</v>
      </c>
      <c r="K14">
        <f>I2</f>
        <v>18.561442334575197</v>
      </c>
      <c r="L14">
        <f>I14</f>
        <v>19.832149239556248</v>
      </c>
      <c r="M14">
        <f t="shared" si="0"/>
        <v>1.2707069049810507</v>
      </c>
      <c r="N14">
        <f t="shared" si="1"/>
        <v>0</v>
      </c>
    </row>
    <row r="15" spans="1:17" x14ac:dyDescent="0.2">
      <c r="A15" t="s">
        <v>46</v>
      </c>
      <c r="B15" t="s">
        <v>142</v>
      </c>
      <c r="C15" t="s">
        <v>32</v>
      </c>
      <c r="E15" t="s">
        <v>141</v>
      </c>
      <c r="F15" t="s">
        <v>46</v>
      </c>
      <c r="G15" s="11" t="s">
        <v>8</v>
      </c>
      <c r="H15" t="s">
        <v>149</v>
      </c>
      <c r="I15">
        <f t="shared" ref="I15:J15" si="12">I14</f>
        <v>19.832149239556248</v>
      </c>
      <c r="J15">
        <f t="shared" si="12"/>
        <v>9.8016658563227352</v>
      </c>
      <c r="K15">
        <f>I2</f>
        <v>18.561442334575197</v>
      </c>
      <c r="L15">
        <f>I14</f>
        <v>19.832149239556248</v>
      </c>
      <c r="M15">
        <f t="shared" si="0"/>
        <v>1.2707069049810507</v>
      </c>
      <c r="N15">
        <f t="shared" si="1"/>
        <v>0</v>
      </c>
    </row>
    <row r="16" spans="1:17" x14ac:dyDescent="0.2">
      <c r="A16" t="s">
        <v>47</v>
      </c>
      <c r="B16" t="s">
        <v>142</v>
      </c>
      <c r="C16" t="s">
        <v>32</v>
      </c>
      <c r="D16">
        <v>26.762973633486698</v>
      </c>
      <c r="E16">
        <v>26.762973633486698</v>
      </c>
      <c r="F16" t="s">
        <v>47</v>
      </c>
      <c r="G16" s="11" t="s">
        <v>8</v>
      </c>
      <c r="H16" t="s">
        <v>149</v>
      </c>
      <c r="I16">
        <f t="shared" ref="I16:J16" si="13">I14</f>
        <v>19.832149239556248</v>
      </c>
      <c r="J16">
        <f t="shared" si="13"/>
        <v>9.8016658563227352</v>
      </c>
      <c r="K16">
        <f>I2</f>
        <v>18.561442334575197</v>
      </c>
      <c r="L16">
        <f>I14</f>
        <v>19.832149239556248</v>
      </c>
      <c r="M16">
        <f t="shared" si="0"/>
        <v>1.2707069049810507</v>
      </c>
      <c r="N16">
        <f t="shared" si="1"/>
        <v>0</v>
      </c>
    </row>
    <row r="17" spans="1:14" x14ac:dyDescent="0.2">
      <c r="A17" t="s">
        <v>48</v>
      </c>
      <c r="B17" t="s">
        <v>142</v>
      </c>
      <c r="C17" t="s">
        <v>32</v>
      </c>
      <c r="E17" t="s">
        <v>141</v>
      </c>
      <c r="F17" t="s">
        <v>48</v>
      </c>
      <c r="G17" s="1" t="s">
        <v>21</v>
      </c>
      <c r="H17" t="s">
        <v>149</v>
      </c>
      <c r="I17">
        <f t="shared" ref="I17" si="14">AVERAGE(D17:D19)</f>
        <v>26.1762712000349</v>
      </c>
      <c r="J17" t="e">
        <f t="shared" ref="J17" si="15">STDEV(D17:D19)</f>
        <v>#DIV/0!</v>
      </c>
      <c r="K17">
        <f>I2</f>
        <v>18.561442334575197</v>
      </c>
      <c r="L17">
        <f>I14</f>
        <v>19.832149239556248</v>
      </c>
      <c r="M17">
        <f t="shared" si="0"/>
        <v>7.6148288654597032</v>
      </c>
      <c r="N17">
        <f t="shared" si="1"/>
        <v>6.3441219604786525</v>
      </c>
    </row>
    <row r="18" spans="1:14" x14ac:dyDescent="0.2">
      <c r="A18" t="s">
        <v>49</v>
      </c>
      <c r="B18" t="s">
        <v>142</v>
      </c>
      <c r="C18" t="s">
        <v>32</v>
      </c>
      <c r="D18">
        <v>26.1762712000349</v>
      </c>
      <c r="E18">
        <v>26.1762712000349</v>
      </c>
      <c r="F18" t="s">
        <v>49</v>
      </c>
      <c r="G18" s="1" t="s">
        <v>21</v>
      </c>
      <c r="H18" t="s">
        <v>149</v>
      </c>
      <c r="I18">
        <f t="shared" ref="I18:J19" si="16">I17</f>
        <v>26.1762712000349</v>
      </c>
      <c r="J18" t="e">
        <f t="shared" si="16"/>
        <v>#DIV/0!</v>
      </c>
      <c r="K18">
        <f>I2</f>
        <v>18.561442334575197</v>
      </c>
      <c r="L18">
        <f>I14</f>
        <v>19.832149239556248</v>
      </c>
      <c r="M18">
        <f t="shared" si="0"/>
        <v>7.6148288654597032</v>
      </c>
      <c r="N18">
        <f t="shared" si="1"/>
        <v>6.3441219604786525</v>
      </c>
    </row>
    <row r="19" spans="1:14" x14ac:dyDescent="0.2">
      <c r="A19" t="s">
        <v>50</v>
      </c>
      <c r="B19" t="s">
        <v>142</v>
      </c>
      <c r="C19" t="s">
        <v>32</v>
      </c>
      <c r="E19" t="s">
        <v>141</v>
      </c>
      <c r="F19" t="s">
        <v>50</v>
      </c>
      <c r="G19" s="1" t="s">
        <v>21</v>
      </c>
      <c r="H19" t="s">
        <v>149</v>
      </c>
      <c r="I19">
        <f t="shared" si="16"/>
        <v>26.1762712000349</v>
      </c>
      <c r="J19" t="e">
        <f t="shared" ref="J19" si="17">J17</f>
        <v>#DIV/0!</v>
      </c>
      <c r="K19">
        <f>I2</f>
        <v>18.561442334575197</v>
      </c>
      <c r="L19">
        <f>I14</f>
        <v>19.832149239556248</v>
      </c>
      <c r="M19">
        <f t="shared" si="0"/>
        <v>7.6148288654597032</v>
      </c>
      <c r="N19">
        <f t="shared" si="1"/>
        <v>6.3441219604786525</v>
      </c>
    </row>
    <row r="20" spans="1:14" x14ac:dyDescent="0.2">
      <c r="A20" t="s">
        <v>51</v>
      </c>
      <c r="B20" t="s">
        <v>142</v>
      </c>
      <c r="C20" t="s">
        <v>32</v>
      </c>
      <c r="E20" t="s">
        <v>141</v>
      </c>
      <c r="F20" t="s">
        <v>51</v>
      </c>
      <c r="G20" s="11" t="s">
        <v>8</v>
      </c>
      <c r="H20" t="s">
        <v>150</v>
      </c>
      <c r="I20" t="e">
        <f t="shared" ref="I20" si="18">AVERAGE(D20:D22)</f>
        <v>#DIV/0!</v>
      </c>
      <c r="J20" t="e">
        <f t="shared" ref="J20" si="19">STDEV(D20:D22)</f>
        <v>#DIV/0!</v>
      </c>
      <c r="K20">
        <f>I8</f>
        <v>15.117797691189551</v>
      </c>
      <c r="L20" t="e">
        <f>I20</f>
        <v>#DIV/0!</v>
      </c>
      <c r="M20" t="e">
        <f t="shared" si="0"/>
        <v>#DIV/0!</v>
      </c>
      <c r="N20" t="e">
        <f t="shared" si="1"/>
        <v>#DIV/0!</v>
      </c>
    </row>
    <row r="21" spans="1:14" x14ac:dyDescent="0.2">
      <c r="A21" t="s">
        <v>52</v>
      </c>
      <c r="B21" t="s">
        <v>142</v>
      </c>
      <c r="C21" t="s">
        <v>32</v>
      </c>
      <c r="E21" t="s">
        <v>141</v>
      </c>
      <c r="F21" t="s">
        <v>52</v>
      </c>
      <c r="G21" s="11" t="s">
        <v>8</v>
      </c>
      <c r="H21" t="s">
        <v>150</v>
      </c>
      <c r="I21" t="e">
        <f t="shared" ref="I21:J21" si="20">I20</f>
        <v>#DIV/0!</v>
      </c>
      <c r="J21" t="e">
        <f t="shared" si="20"/>
        <v>#DIV/0!</v>
      </c>
      <c r="K21">
        <f>I8</f>
        <v>15.117797691189551</v>
      </c>
      <c r="L21" t="e">
        <f>I20</f>
        <v>#DIV/0!</v>
      </c>
      <c r="M21" t="e">
        <f t="shared" si="0"/>
        <v>#DIV/0!</v>
      </c>
      <c r="N21" t="e">
        <f t="shared" si="1"/>
        <v>#DIV/0!</v>
      </c>
    </row>
    <row r="22" spans="1:14" x14ac:dyDescent="0.2">
      <c r="A22" t="s">
        <v>53</v>
      </c>
      <c r="B22" t="s">
        <v>142</v>
      </c>
      <c r="C22" t="s">
        <v>32</v>
      </c>
      <c r="E22" t="s">
        <v>141</v>
      </c>
      <c r="F22" t="s">
        <v>53</v>
      </c>
      <c r="G22" s="11" t="s">
        <v>8</v>
      </c>
      <c r="H22" t="s">
        <v>150</v>
      </c>
      <c r="I22" t="e">
        <f t="shared" ref="I22:J22" si="21">I20</f>
        <v>#DIV/0!</v>
      </c>
      <c r="J22" t="e">
        <f t="shared" si="21"/>
        <v>#DIV/0!</v>
      </c>
      <c r="K22">
        <f>I8</f>
        <v>15.117797691189551</v>
      </c>
      <c r="L22" t="e">
        <f>I20</f>
        <v>#DIV/0!</v>
      </c>
      <c r="M22" t="e">
        <f t="shared" si="0"/>
        <v>#DIV/0!</v>
      </c>
      <c r="N22" t="e">
        <f t="shared" si="1"/>
        <v>#DIV/0!</v>
      </c>
    </row>
    <row r="23" spans="1:14" x14ac:dyDescent="0.2">
      <c r="A23" t="s">
        <v>54</v>
      </c>
      <c r="B23" t="s">
        <v>142</v>
      </c>
      <c r="C23" t="s">
        <v>32</v>
      </c>
      <c r="D23">
        <v>10.8339656672686</v>
      </c>
      <c r="E23">
        <v>10.8339656672686</v>
      </c>
      <c r="F23" t="s">
        <v>54</v>
      </c>
      <c r="G23" s="1" t="s">
        <v>21</v>
      </c>
      <c r="H23" t="s">
        <v>150</v>
      </c>
      <c r="I23">
        <f t="shared" ref="I23" si="22">AVERAGE(D23:D25)</f>
        <v>10.58771780871375</v>
      </c>
      <c r="J23">
        <f t="shared" ref="J23" si="23">STDEV(D23:D25)</f>
        <v>0.34824706127360139</v>
      </c>
      <c r="K23">
        <f>I8</f>
        <v>15.117797691189551</v>
      </c>
      <c r="L23" t="e">
        <f>I20</f>
        <v>#DIV/0!</v>
      </c>
      <c r="M23">
        <f t="shared" si="0"/>
        <v>-4.5300798824758015</v>
      </c>
      <c r="N23" t="e">
        <f t="shared" si="1"/>
        <v>#DIV/0!</v>
      </c>
    </row>
    <row r="24" spans="1:14" x14ac:dyDescent="0.2">
      <c r="A24" t="s">
        <v>55</v>
      </c>
      <c r="B24" t="s">
        <v>142</v>
      </c>
      <c r="C24" t="s">
        <v>32</v>
      </c>
      <c r="E24">
        <v>6.3963395865090096</v>
      </c>
      <c r="F24" t="s">
        <v>55</v>
      </c>
      <c r="G24" s="1" t="s">
        <v>21</v>
      </c>
      <c r="H24" t="s">
        <v>150</v>
      </c>
      <c r="I24">
        <f t="shared" ref="I24:J25" si="24">I23</f>
        <v>10.58771780871375</v>
      </c>
      <c r="J24">
        <f t="shared" si="24"/>
        <v>0.34824706127360139</v>
      </c>
      <c r="K24">
        <f>I8</f>
        <v>15.117797691189551</v>
      </c>
      <c r="L24" t="e">
        <f>I20</f>
        <v>#DIV/0!</v>
      </c>
      <c r="M24">
        <f t="shared" si="0"/>
        <v>-4.5300798824758015</v>
      </c>
      <c r="N24" t="e">
        <f t="shared" si="1"/>
        <v>#DIV/0!</v>
      </c>
    </row>
    <row r="25" spans="1:14" x14ac:dyDescent="0.2">
      <c r="A25" t="s">
        <v>56</v>
      </c>
      <c r="B25" t="s">
        <v>142</v>
      </c>
      <c r="C25" t="s">
        <v>32</v>
      </c>
      <c r="D25">
        <v>10.341469950158899</v>
      </c>
      <c r="E25">
        <v>10.341469950158899</v>
      </c>
      <c r="F25" t="s">
        <v>56</v>
      </c>
      <c r="G25" s="1" t="s">
        <v>21</v>
      </c>
      <c r="H25" t="s">
        <v>150</v>
      </c>
      <c r="I25">
        <f t="shared" si="24"/>
        <v>10.58771780871375</v>
      </c>
      <c r="J25">
        <f t="shared" ref="J25" si="25">J23</f>
        <v>0.34824706127360139</v>
      </c>
      <c r="K25">
        <f>I8</f>
        <v>15.117797691189551</v>
      </c>
      <c r="L25" t="e">
        <f>I20</f>
        <v>#DIV/0!</v>
      </c>
      <c r="M25">
        <f t="shared" si="0"/>
        <v>-4.5300798824758015</v>
      </c>
      <c r="N25" t="e">
        <f t="shared" si="1"/>
        <v>#DIV/0!</v>
      </c>
    </row>
    <row r="26" spans="1:14" x14ac:dyDescent="0.2">
      <c r="A26" t="s">
        <v>57</v>
      </c>
      <c r="B26" t="s">
        <v>142</v>
      </c>
      <c r="C26" t="s">
        <v>32</v>
      </c>
      <c r="E26">
        <v>23.769104755618098</v>
      </c>
      <c r="F26" t="s">
        <v>57</v>
      </c>
      <c r="G26" s="4" t="s">
        <v>14</v>
      </c>
      <c r="H26" t="s">
        <v>149</v>
      </c>
      <c r="I26">
        <f t="shared" ref="I26" si="26">AVERAGE(D26:D28)</f>
        <v>30.972193477581648</v>
      </c>
      <c r="J26">
        <f t="shared" ref="J26" si="27">STDEV(D26:D28)</f>
        <v>1.3573189660198528</v>
      </c>
      <c r="K26">
        <f>I2</f>
        <v>18.561442334575197</v>
      </c>
      <c r="L26">
        <f>I14</f>
        <v>19.832149239556248</v>
      </c>
      <c r="M26">
        <f t="shared" si="0"/>
        <v>12.410751143006451</v>
      </c>
      <c r="N26">
        <f t="shared" si="1"/>
        <v>11.1400442380254</v>
      </c>
    </row>
    <row r="27" spans="1:14" x14ac:dyDescent="0.2">
      <c r="A27" t="s">
        <v>58</v>
      </c>
      <c r="B27" t="s">
        <v>142</v>
      </c>
      <c r="C27" t="s">
        <v>32</v>
      </c>
      <c r="D27">
        <v>31.931962922687401</v>
      </c>
      <c r="E27">
        <v>31.931962922687401</v>
      </c>
      <c r="F27" t="s">
        <v>58</v>
      </c>
      <c r="G27" s="4" t="s">
        <v>14</v>
      </c>
      <c r="H27" t="s">
        <v>149</v>
      </c>
      <c r="I27">
        <f t="shared" ref="I27:J27" si="28">I26</f>
        <v>30.972193477581648</v>
      </c>
      <c r="J27">
        <f t="shared" si="28"/>
        <v>1.3573189660198528</v>
      </c>
      <c r="K27">
        <f>I2</f>
        <v>18.561442334575197</v>
      </c>
      <c r="L27">
        <f>I14</f>
        <v>19.832149239556248</v>
      </c>
      <c r="M27">
        <f t="shared" si="0"/>
        <v>12.410751143006451</v>
      </c>
      <c r="N27">
        <f t="shared" si="1"/>
        <v>11.1400442380254</v>
      </c>
    </row>
    <row r="28" spans="1:14" x14ac:dyDescent="0.2">
      <c r="A28" t="s">
        <v>59</v>
      </c>
      <c r="B28" t="s">
        <v>142</v>
      </c>
      <c r="C28" t="s">
        <v>32</v>
      </c>
      <c r="D28">
        <v>30.012424032475899</v>
      </c>
      <c r="E28">
        <v>30.012424032475899</v>
      </c>
      <c r="F28" t="s">
        <v>59</v>
      </c>
      <c r="G28" s="4" t="s">
        <v>14</v>
      </c>
      <c r="H28" t="s">
        <v>149</v>
      </c>
      <c r="I28">
        <f t="shared" ref="I28:J28" si="29">I26</f>
        <v>30.972193477581648</v>
      </c>
      <c r="J28">
        <f t="shared" si="29"/>
        <v>1.3573189660198528</v>
      </c>
      <c r="K28">
        <f>I2</f>
        <v>18.561442334575197</v>
      </c>
      <c r="L28">
        <f>I14</f>
        <v>19.832149239556248</v>
      </c>
      <c r="M28">
        <f t="shared" si="0"/>
        <v>12.410751143006451</v>
      </c>
      <c r="N28">
        <f t="shared" si="1"/>
        <v>11.1400442380254</v>
      </c>
    </row>
    <row r="29" spans="1:14" x14ac:dyDescent="0.2">
      <c r="A29" t="s">
        <v>60</v>
      </c>
      <c r="B29" t="s">
        <v>142</v>
      </c>
      <c r="C29" t="s">
        <v>32</v>
      </c>
      <c r="E29">
        <v>30.252876316915199</v>
      </c>
      <c r="F29" t="s">
        <v>60</v>
      </c>
      <c r="G29" s="1" t="s">
        <v>23</v>
      </c>
      <c r="H29" t="s">
        <v>149</v>
      </c>
      <c r="I29">
        <f t="shared" ref="I29" si="30">AVERAGE(D29:D31)</f>
        <v>29.725329432142349</v>
      </c>
      <c r="J29">
        <f t="shared" ref="J29" si="31">STDEV(D29:D31)</f>
        <v>4.6800288310938624E-2</v>
      </c>
      <c r="K29">
        <f>I2</f>
        <v>18.561442334575197</v>
      </c>
      <c r="L29">
        <f>I14</f>
        <v>19.832149239556248</v>
      </c>
      <c r="M29">
        <f t="shared" si="0"/>
        <v>11.163887097567152</v>
      </c>
      <c r="N29">
        <f t="shared" si="1"/>
        <v>9.8931801925861009</v>
      </c>
    </row>
    <row r="30" spans="1:14" x14ac:dyDescent="0.2">
      <c r="A30" t="s">
        <v>61</v>
      </c>
      <c r="B30" t="s">
        <v>142</v>
      </c>
      <c r="C30" t="s">
        <v>32</v>
      </c>
      <c r="D30">
        <v>29.692236630916199</v>
      </c>
      <c r="E30">
        <v>29.692236630916199</v>
      </c>
      <c r="F30" t="s">
        <v>61</v>
      </c>
      <c r="G30" s="1" t="s">
        <v>23</v>
      </c>
      <c r="H30" t="s">
        <v>149</v>
      </c>
      <c r="I30">
        <f t="shared" ref="I30:J31" si="32">I29</f>
        <v>29.725329432142349</v>
      </c>
      <c r="J30">
        <f t="shared" si="32"/>
        <v>4.6800288310938624E-2</v>
      </c>
      <c r="K30">
        <f>I2</f>
        <v>18.561442334575197</v>
      </c>
      <c r="L30">
        <f>I14</f>
        <v>19.832149239556248</v>
      </c>
      <c r="M30">
        <f t="shared" si="0"/>
        <v>11.163887097567152</v>
      </c>
      <c r="N30">
        <f t="shared" si="1"/>
        <v>9.8931801925861009</v>
      </c>
    </row>
    <row r="31" spans="1:14" x14ac:dyDescent="0.2">
      <c r="A31" t="s">
        <v>62</v>
      </c>
      <c r="B31" t="s">
        <v>142</v>
      </c>
      <c r="C31" t="s">
        <v>32</v>
      </c>
      <c r="D31">
        <v>29.758422233368499</v>
      </c>
      <c r="E31">
        <v>29.758422233368499</v>
      </c>
      <c r="F31" t="s">
        <v>62</v>
      </c>
      <c r="G31" s="1" t="s">
        <v>23</v>
      </c>
      <c r="H31" t="s">
        <v>149</v>
      </c>
      <c r="I31">
        <f t="shared" si="32"/>
        <v>29.725329432142349</v>
      </c>
      <c r="J31">
        <f t="shared" ref="J31" si="33">J29</f>
        <v>4.6800288310938624E-2</v>
      </c>
      <c r="K31">
        <f>I2</f>
        <v>18.561442334575197</v>
      </c>
      <c r="L31">
        <f>I14</f>
        <v>19.832149239556248</v>
      </c>
      <c r="M31">
        <f t="shared" si="0"/>
        <v>11.163887097567152</v>
      </c>
      <c r="N31">
        <f t="shared" si="1"/>
        <v>9.8931801925861009</v>
      </c>
    </row>
    <row r="32" spans="1:14" x14ac:dyDescent="0.2">
      <c r="A32" t="s">
        <v>63</v>
      </c>
      <c r="B32" t="s">
        <v>142</v>
      </c>
      <c r="C32" t="s">
        <v>32</v>
      </c>
      <c r="D32">
        <v>29.3858425324743</v>
      </c>
      <c r="E32">
        <v>29.3858425324743</v>
      </c>
      <c r="F32" t="s">
        <v>63</v>
      </c>
      <c r="G32" s="4" t="s">
        <v>14</v>
      </c>
      <c r="H32" t="s">
        <v>150</v>
      </c>
      <c r="I32">
        <f t="shared" ref="I32" si="34">AVERAGE(D32:D34)</f>
        <v>29.649094629305434</v>
      </c>
      <c r="J32">
        <f t="shared" ref="J32" si="35">STDEV(D32:D34)</f>
        <v>0.29565112836279134</v>
      </c>
      <c r="K32">
        <f>I8</f>
        <v>15.117797691189551</v>
      </c>
      <c r="L32" t="e">
        <f>I20</f>
        <v>#DIV/0!</v>
      </c>
      <c r="M32">
        <f t="shared" si="0"/>
        <v>14.531296938115883</v>
      </c>
      <c r="N32" t="e">
        <f t="shared" si="1"/>
        <v>#DIV/0!</v>
      </c>
    </row>
    <row r="33" spans="1:14" x14ac:dyDescent="0.2">
      <c r="A33" t="s">
        <v>64</v>
      </c>
      <c r="B33" t="s">
        <v>142</v>
      </c>
      <c r="C33" t="s">
        <v>32</v>
      </c>
      <c r="D33">
        <v>29.592483221730699</v>
      </c>
      <c r="E33">
        <v>29.592483221730699</v>
      </c>
      <c r="F33" t="s">
        <v>64</v>
      </c>
      <c r="G33" s="4" t="s">
        <v>14</v>
      </c>
      <c r="H33" t="s">
        <v>150</v>
      </c>
      <c r="I33">
        <f t="shared" ref="I33:J33" si="36">I32</f>
        <v>29.649094629305434</v>
      </c>
      <c r="J33">
        <f t="shared" si="36"/>
        <v>0.29565112836279134</v>
      </c>
      <c r="K33">
        <f>I8</f>
        <v>15.117797691189551</v>
      </c>
      <c r="L33" t="e">
        <f>I20</f>
        <v>#DIV/0!</v>
      </c>
      <c r="M33">
        <f t="shared" si="0"/>
        <v>14.531296938115883</v>
      </c>
      <c r="N33" t="e">
        <f t="shared" si="1"/>
        <v>#DIV/0!</v>
      </c>
    </row>
    <row r="34" spans="1:14" x14ac:dyDescent="0.2">
      <c r="A34" t="s">
        <v>65</v>
      </c>
      <c r="B34" t="s">
        <v>142</v>
      </c>
      <c r="C34" t="s">
        <v>32</v>
      </c>
      <c r="D34">
        <v>29.9689581337113</v>
      </c>
      <c r="E34">
        <v>29.9689581337113</v>
      </c>
      <c r="F34" t="s">
        <v>65</v>
      </c>
      <c r="G34" s="4" t="s">
        <v>14</v>
      </c>
      <c r="H34" t="s">
        <v>150</v>
      </c>
      <c r="I34">
        <f t="shared" ref="I34:J34" si="37">I32</f>
        <v>29.649094629305434</v>
      </c>
      <c r="J34">
        <f t="shared" si="37"/>
        <v>0.29565112836279134</v>
      </c>
      <c r="K34">
        <f>I8</f>
        <v>15.117797691189551</v>
      </c>
      <c r="L34" t="e">
        <f>I20</f>
        <v>#DIV/0!</v>
      </c>
      <c r="M34">
        <f t="shared" si="0"/>
        <v>14.531296938115883</v>
      </c>
      <c r="N34" t="e">
        <f t="shared" si="1"/>
        <v>#DIV/0!</v>
      </c>
    </row>
    <row r="35" spans="1:14" x14ac:dyDescent="0.2">
      <c r="A35" t="s">
        <v>66</v>
      </c>
      <c r="B35" t="s">
        <v>142</v>
      </c>
      <c r="C35" t="s">
        <v>32</v>
      </c>
      <c r="D35">
        <v>30.266084423715199</v>
      </c>
      <c r="E35">
        <v>30.266084423715199</v>
      </c>
      <c r="F35" t="s">
        <v>66</v>
      </c>
      <c r="G35" s="1" t="s">
        <v>23</v>
      </c>
      <c r="H35" t="s">
        <v>150</v>
      </c>
      <c r="I35">
        <f t="shared" ref="I35" si="38">AVERAGE(D35:D37)</f>
        <v>30.499047957365949</v>
      </c>
      <c r="J35">
        <f t="shared" ref="J35" si="39">STDEV(D35:D37)</f>
        <v>0.32946018882725164</v>
      </c>
      <c r="K35">
        <f>I8</f>
        <v>15.117797691189551</v>
      </c>
      <c r="L35" t="e">
        <f>I20</f>
        <v>#DIV/0!</v>
      </c>
      <c r="M35">
        <f t="shared" si="0"/>
        <v>15.381250266176398</v>
      </c>
      <c r="N35" t="e">
        <f t="shared" si="1"/>
        <v>#DIV/0!</v>
      </c>
    </row>
    <row r="36" spans="1:14" x14ac:dyDescent="0.2">
      <c r="A36" t="s">
        <v>67</v>
      </c>
      <c r="B36" t="s">
        <v>142</v>
      </c>
      <c r="C36" t="s">
        <v>32</v>
      </c>
      <c r="D36">
        <v>30.732011491016699</v>
      </c>
      <c r="E36">
        <v>30.732011491016699</v>
      </c>
      <c r="F36" t="s">
        <v>67</v>
      </c>
      <c r="G36" s="1" t="s">
        <v>23</v>
      </c>
      <c r="H36" t="s">
        <v>150</v>
      </c>
      <c r="I36">
        <f t="shared" ref="I36:J37" si="40">I35</f>
        <v>30.499047957365949</v>
      </c>
      <c r="J36">
        <f t="shared" si="40"/>
        <v>0.32946018882725164</v>
      </c>
      <c r="K36">
        <f>I8</f>
        <v>15.117797691189551</v>
      </c>
      <c r="L36" t="e">
        <f>I20</f>
        <v>#DIV/0!</v>
      </c>
      <c r="M36">
        <f t="shared" si="0"/>
        <v>15.381250266176398</v>
      </c>
      <c r="N36" t="e">
        <f t="shared" si="1"/>
        <v>#DIV/0!</v>
      </c>
    </row>
    <row r="37" spans="1:14" x14ac:dyDescent="0.2">
      <c r="A37" t="s">
        <v>68</v>
      </c>
      <c r="B37" t="s">
        <v>142</v>
      </c>
      <c r="C37" t="s">
        <v>32</v>
      </c>
      <c r="E37">
        <v>34.137605962758101</v>
      </c>
      <c r="F37" t="s">
        <v>68</v>
      </c>
      <c r="G37" s="1" t="s">
        <v>23</v>
      </c>
      <c r="H37" t="s">
        <v>150</v>
      </c>
      <c r="I37">
        <f t="shared" si="40"/>
        <v>30.499047957365949</v>
      </c>
      <c r="J37">
        <f t="shared" ref="J37" si="41">J35</f>
        <v>0.32946018882725164</v>
      </c>
      <c r="K37">
        <f>I8</f>
        <v>15.117797691189551</v>
      </c>
      <c r="L37" t="e">
        <f>I20</f>
        <v>#DIV/0!</v>
      </c>
      <c r="M37">
        <f t="shared" si="0"/>
        <v>15.381250266176398</v>
      </c>
      <c r="N37" t="e">
        <f t="shared" si="1"/>
        <v>#DIV/0!</v>
      </c>
    </row>
    <row r="38" spans="1:14" x14ac:dyDescent="0.2">
      <c r="A38" t="s">
        <v>69</v>
      </c>
      <c r="B38" t="s">
        <v>142</v>
      </c>
      <c r="C38" t="s">
        <v>32</v>
      </c>
      <c r="E38">
        <v>30.552581400827801</v>
      </c>
      <c r="F38" t="s">
        <v>69</v>
      </c>
      <c r="G38" s="4" t="s">
        <v>15</v>
      </c>
      <c r="H38" t="s">
        <v>149</v>
      </c>
      <c r="I38">
        <f t="shared" ref="I38" si="42">AVERAGE(D38:D40)</f>
        <v>29.319326217446452</v>
      </c>
      <c r="J38">
        <f t="shared" ref="J38" si="43">STDEV(D38:D40)</f>
        <v>0.19812590618769765</v>
      </c>
      <c r="K38">
        <f>I2</f>
        <v>18.561442334575197</v>
      </c>
      <c r="L38">
        <f>I14</f>
        <v>19.832149239556248</v>
      </c>
      <c r="M38">
        <f t="shared" si="0"/>
        <v>10.757883882871255</v>
      </c>
      <c r="N38">
        <f t="shared" si="1"/>
        <v>9.4871769778902042</v>
      </c>
    </row>
    <row r="39" spans="1:14" x14ac:dyDescent="0.2">
      <c r="A39" t="s">
        <v>70</v>
      </c>
      <c r="B39" t="s">
        <v>142</v>
      </c>
      <c r="C39" t="s">
        <v>32</v>
      </c>
      <c r="D39">
        <v>29.1792300456524</v>
      </c>
      <c r="E39">
        <v>29.1792300456524</v>
      </c>
      <c r="F39" t="s">
        <v>70</v>
      </c>
      <c r="G39" s="4" t="s">
        <v>15</v>
      </c>
      <c r="H39" t="s">
        <v>149</v>
      </c>
      <c r="I39">
        <f t="shared" ref="I39:J39" si="44">I38</f>
        <v>29.319326217446452</v>
      </c>
      <c r="J39">
        <f t="shared" si="44"/>
        <v>0.19812590618769765</v>
      </c>
      <c r="K39">
        <f>I2</f>
        <v>18.561442334575197</v>
      </c>
      <c r="L39">
        <f>I14</f>
        <v>19.832149239556248</v>
      </c>
      <c r="M39">
        <f t="shared" si="0"/>
        <v>10.757883882871255</v>
      </c>
      <c r="N39">
        <f t="shared" si="1"/>
        <v>9.4871769778902042</v>
      </c>
    </row>
    <row r="40" spans="1:14" x14ac:dyDescent="0.2">
      <c r="A40" t="s">
        <v>71</v>
      </c>
      <c r="B40" t="s">
        <v>142</v>
      </c>
      <c r="C40" t="s">
        <v>32</v>
      </c>
      <c r="D40">
        <v>29.459422389240501</v>
      </c>
      <c r="E40">
        <v>29.459422389240501</v>
      </c>
      <c r="F40" t="s">
        <v>71</v>
      </c>
      <c r="G40" s="4" t="s">
        <v>15</v>
      </c>
      <c r="H40" t="s">
        <v>149</v>
      </c>
      <c r="I40">
        <f t="shared" ref="I40:J40" si="45">I38</f>
        <v>29.319326217446452</v>
      </c>
      <c r="J40">
        <f t="shared" si="45"/>
        <v>0.19812590618769765</v>
      </c>
      <c r="K40">
        <f>I2</f>
        <v>18.561442334575197</v>
      </c>
      <c r="L40">
        <f>I14</f>
        <v>19.832149239556248</v>
      </c>
      <c r="M40">
        <f t="shared" si="0"/>
        <v>10.757883882871255</v>
      </c>
      <c r="N40">
        <f t="shared" si="1"/>
        <v>9.4871769778902042</v>
      </c>
    </row>
    <row r="41" spans="1:14" x14ac:dyDescent="0.2">
      <c r="A41" t="s">
        <v>72</v>
      </c>
      <c r="B41" t="s">
        <v>142</v>
      </c>
      <c r="C41" t="s">
        <v>32</v>
      </c>
      <c r="D41">
        <v>30.8479370410952</v>
      </c>
      <c r="E41">
        <v>30.8479370410952</v>
      </c>
      <c r="F41" t="s">
        <v>72</v>
      </c>
      <c r="G41" s="1" t="s">
        <v>22</v>
      </c>
      <c r="H41" t="s">
        <v>149</v>
      </c>
      <c r="I41">
        <f t="shared" ref="I41" si="46">AVERAGE(D41:D43)</f>
        <v>31.096708455415698</v>
      </c>
      <c r="J41">
        <f t="shared" ref="J41" si="47">STDEV(D41:D43)</f>
        <v>0.28594013724883316</v>
      </c>
      <c r="K41">
        <f>I2</f>
        <v>18.561442334575197</v>
      </c>
      <c r="L41">
        <f>I14</f>
        <v>19.832149239556248</v>
      </c>
      <c r="M41">
        <f t="shared" si="0"/>
        <v>12.5352661208405</v>
      </c>
      <c r="N41">
        <f t="shared" si="1"/>
        <v>11.26455921585945</v>
      </c>
    </row>
    <row r="42" spans="1:14" x14ac:dyDescent="0.2">
      <c r="A42" t="s">
        <v>73</v>
      </c>
      <c r="B42" t="s">
        <v>142</v>
      </c>
      <c r="C42" t="s">
        <v>32</v>
      </c>
      <c r="D42">
        <v>31.033087913603701</v>
      </c>
      <c r="E42">
        <v>31.033087913603701</v>
      </c>
      <c r="F42" t="s">
        <v>73</v>
      </c>
      <c r="G42" s="1" t="s">
        <v>22</v>
      </c>
      <c r="H42" t="s">
        <v>149</v>
      </c>
      <c r="I42">
        <f t="shared" ref="I42:J43" si="48">I41</f>
        <v>31.096708455415698</v>
      </c>
      <c r="J42">
        <f t="shared" si="48"/>
        <v>0.28594013724883316</v>
      </c>
      <c r="K42">
        <f>I2</f>
        <v>18.561442334575197</v>
      </c>
      <c r="L42">
        <f>I14</f>
        <v>19.832149239556248</v>
      </c>
      <c r="M42">
        <f t="shared" si="0"/>
        <v>12.5352661208405</v>
      </c>
      <c r="N42">
        <f t="shared" si="1"/>
        <v>11.26455921585945</v>
      </c>
    </row>
    <row r="43" spans="1:14" x14ac:dyDescent="0.2">
      <c r="A43" t="s">
        <v>74</v>
      </c>
      <c r="B43" t="s">
        <v>142</v>
      </c>
      <c r="C43" t="s">
        <v>32</v>
      </c>
      <c r="D43">
        <v>31.409100411548199</v>
      </c>
      <c r="E43">
        <v>31.409100411548199</v>
      </c>
      <c r="F43" t="s">
        <v>74</v>
      </c>
      <c r="G43" s="1" t="s">
        <v>22</v>
      </c>
      <c r="H43" t="s">
        <v>149</v>
      </c>
      <c r="I43">
        <f t="shared" si="48"/>
        <v>31.096708455415698</v>
      </c>
      <c r="J43">
        <f t="shared" ref="J43" si="49">J41</f>
        <v>0.28594013724883316</v>
      </c>
      <c r="K43">
        <f>I2</f>
        <v>18.561442334575197</v>
      </c>
      <c r="L43">
        <f>I14</f>
        <v>19.832149239556248</v>
      </c>
      <c r="M43">
        <f t="shared" si="0"/>
        <v>12.5352661208405</v>
      </c>
      <c r="N43">
        <f t="shared" si="1"/>
        <v>11.26455921585945</v>
      </c>
    </row>
    <row r="44" spans="1:14" x14ac:dyDescent="0.2">
      <c r="A44" t="s">
        <v>75</v>
      </c>
      <c r="B44" t="s">
        <v>142</v>
      </c>
      <c r="C44" t="s">
        <v>32</v>
      </c>
      <c r="D44">
        <v>29.719744754495299</v>
      </c>
      <c r="E44">
        <v>29.719744754495299</v>
      </c>
      <c r="F44" t="s">
        <v>75</v>
      </c>
      <c r="G44" s="4" t="s">
        <v>15</v>
      </c>
      <c r="H44" t="s">
        <v>150</v>
      </c>
      <c r="I44">
        <f t="shared" ref="I44" si="50">AVERAGE(D44:D46)</f>
        <v>29.568639311832548</v>
      </c>
      <c r="J44">
        <f t="shared" ref="J44" si="51">STDEV(D44:D46)</f>
        <v>0.213695366362049</v>
      </c>
      <c r="K44">
        <f>I8</f>
        <v>15.117797691189551</v>
      </c>
      <c r="L44" t="e">
        <f>I20</f>
        <v>#DIV/0!</v>
      </c>
      <c r="M44">
        <f t="shared" si="0"/>
        <v>14.450841620642997</v>
      </c>
      <c r="N44" t="e">
        <f t="shared" si="1"/>
        <v>#DIV/0!</v>
      </c>
    </row>
    <row r="45" spans="1:14" x14ac:dyDescent="0.2">
      <c r="A45" t="s">
        <v>76</v>
      </c>
      <c r="B45" t="s">
        <v>142</v>
      </c>
      <c r="C45" t="s">
        <v>32</v>
      </c>
      <c r="D45">
        <v>29.417533869169802</v>
      </c>
      <c r="E45">
        <v>29.417533869169802</v>
      </c>
      <c r="F45" t="s">
        <v>76</v>
      </c>
      <c r="G45" s="4" t="s">
        <v>15</v>
      </c>
      <c r="H45" t="s">
        <v>150</v>
      </c>
      <c r="I45">
        <f t="shared" ref="I45:J45" si="52">I44</f>
        <v>29.568639311832548</v>
      </c>
      <c r="J45">
        <f t="shared" si="52"/>
        <v>0.213695366362049</v>
      </c>
      <c r="K45">
        <f>I8</f>
        <v>15.117797691189551</v>
      </c>
      <c r="L45" t="e">
        <f>I20</f>
        <v>#DIV/0!</v>
      </c>
      <c r="M45">
        <f t="shared" si="0"/>
        <v>14.450841620642997</v>
      </c>
      <c r="N45" t="e">
        <f t="shared" si="1"/>
        <v>#DIV/0!</v>
      </c>
    </row>
    <row r="46" spans="1:14" x14ac:dyDescent="0.2">
      <c r="A46" t="s">
        <v>77</v>
      </c>
      <c r="B46" t="s">
        <v>142</v>
      </c>
      <c r="C46" t="s">
        <v>32</v>
      </c>
      <c r="E46">
        <v>28.9753079257782</v>
      </c>
      <c r="F46" t="s">
        <v>77</v>
      </c>
      <c r="G46" s="4" t="s">
        <v>15</v>
      </c>
      <c r="H46" t="s">
        <v>150</v>
      </c>
      <c r="I46">
        <f t="shared" ref="I46:J46" si="53">I44</f>
        <v>29.568639311832548</v>
      </c>
      <c r="J46">
        <f t="shared" si="53"/>
        <v>0.213695366362049</v>
      </c>
      <c r="K46">
        <f>I8</f>
        <v>15.117797691189551</v>
      </c>
      <c r="L46" t="e">
        <f>I20</f>
        <v>#DIV/0!</v>
      </c>
      <c r="M46">
        <f t="shared" si="0"/>
        <v>14.450841620642997</v>
      </c>
      <c r="N46" t="e">
        <f t="shared" si="1"/>
        <v>#DIV/0!</v>
      </c>
    </row>
    <row r="47" spans="1:14" x14ac:dyDescent="0.2">
      <c r="A47" t="s">
        <v>78</v>
      </c>
      <c r="B47" t="s">
        <v>142</v>
      </c>
      <c r="C47" t="s">
        <v>32</v>
      </c>
      <c r="E47">
        <v>30.926015047406398</v>
      </c>
      <c r="F47" t="s">
        <v>78</v>
      </c>
      <c r="G47" s="1" t="s">
        <v>22</v>
      </c>
      <c r="H47" t="s">
        <v>150</v>
      </c>
      <c r="I47">
        <f t="shared" ref="I47" si="54">AVERAGE(D47:D49)</f>
        <v>31.857760922147499</v>
      </c>
      <c r="J47">
        <f t="shared" ref="J47" si="55">STDEV(D47:D49)</f>
        <v>4.1443567931318571E-2</v>
      </c>
      <c r="K47">
        <f>I8</f>
        <v>15.117797691189551</v>
      </c>
      <c r="L47" t="e">
        <f>I20</f>
        <v>#DIV/0!</v>
      </c>
      <c r="M47">
        <f t="shared" si="0"/>
        <v>16.739963230957947</v>
      </c>
      <c r="N47" t="e">
        <f t="shared" si="1"/>
        <v>#DIV/0!</v>
      </c>
    </row>
    <row r="48" spans="1:14" x14ac:dyDescent="0.2">
      <c r="A48" t="s">
        <v>79</v>
      </c>
      <c r="B48" t="s">
        <v>142</v>
      </c>
      <c r="C48" t="s">
        <v>32</v>
      </c>
      <c r="D48">
        <v>31.8284558942267</v>
      </c>
      <c r="E48">
        <v>31.8284558942267</v>
      </c>
      <c r="F48" t="s">
        <v>79</v>
      </c>
      <c r="G48" s="1" t="s">
        <v>22</v>
      </c>
      <c r="H48" t="s">
        <v>150</v>
      </c>
      <c r="I48">
        <f t="shared" ref="I48:J49" si="56">I47</f>
        <v>31.857760922147499</v>
      </c>
      <c r="J48">
        <f t="shared" si="56"/>
        <v>4.1443567931318571E-2</v>
      </c>
      <c r="K48">
        <f>I8</f>
        <v>15.117797691189551</v>
      </c>
      <c r="L48" t="e">
        <f>I20</f>
        <v>#DIV/0!</v>
      </c>
      <c r="M48">
        <f t="shared" si="0"/>
        <v>16.739963230957947</v>
      </c>
      <c r="N48" t="e">
        <f t="shared" si="1"/>
        <v>#DIV/0!</v>
      </c>
    </row>
    <row r="49" spans="1:14" x14ac:dyDescent="0.2">
      <c r="A49" t="s">
        <v>80</v>
      </c>
      <c r="B49" t="s">
        <v>142</v>
      </c>
      <c r="C49" t="s">
        <v>32</v>
      </c>
      <c r="D49">
        <v>31.887065950068301</v>
      </c>
      <c r="E49">
        <v>31.887065950068301</v>
      </c>
      <c r="F49" t="s">
        <v>80</v>
      </c>
      <c r="G49" s="1" t="s">
        <v>22</v>
      </c>
      <c r="H49" t="s">
        <v>150</v>
      </c>
      <c r="I49">
        <f t="shared" si="56"/>
        <v>31.857760922147499</v>
      </c>
      <c r="J49">
        <f t="shared" ref="J49" si="57">J47</f>
        <v>4.1443567931318571E-2</v>
      </c>
      <c r="K49">
        <f>I8</f>
        <v>15.117797691189551</v>
      </c>
      <c r="L49" t="e">
        <f>I20</f>
        <v>#DIV/0!</v>
      </c>
      <c r="M49">
        <f t="shared" si="0"/>
        <v>16.739963230957947</v>
      </c>
      <c r="N49" t="e">
        <f t="shared" si="1"/>
        <v>#DIV/0!</v>
      </c>
    </row>
    <row r="50" spans="1:14" x14ac:dyDescent="0.2">
      <c r="A50" t="s">
        <v>81</v>
      </c>
      <c r="B50" t="s">
        <v>142</v>
      </c>
      <c r="C50" t="s">
        <v>32</v>
      </c>
      <c r="D50">
        <v>29.228853741574898</v>
      </c>
      <c r="E50">
        <v>29.228853741574898</v>
      </c>
      <c r="F50" t="s">
        <v>81</v>
      </c>
      <c r="G50" s="4" t="s">
        <v>16</v>
      </c>
      <c r="H50" t="s">
        <v>149</v>
      </c>
      <c r="I50">
        <f t="shared" ref="I50" si="58">AVERAGE(D50:D52)</f>
        <v>28.962796831743365</v>
      </c>
      <c r="J50">
        <f t="shared" ref="J50" si="59">STDEV(D50:D52)</f>
        <v>0.26078848610475019</v>
      </c>
      <c r="K50">
        <f>I2</f>
        <v>18.561442334575197</v>
      </c>
      <c r="L50">
        <f>I14</f>
        <v>19.832149239556248</v>
      </c>
      <c r="M50">
        <f t="shared" si="0"/>
        <v>10.401354497168168</v>
      </c>
      <c r="N50">
        <f t="shared" si="1"/>
        <v>9.1306475921871169</v>
      </c>
    </row>
    <row r="51" spans="1:14" x14ac:dyDescent="0.2">
      <c r="A51" t="s">
        <v>82</v>
      </c>
      <c r="B51" t="s">
        <v>142</v>
      </c>
      <c r="C51" t="s">
        <v>32</v>
      </c>
      <c r="D51">
        <v>28.707617138467199</v>
      </c>
      <c r="E51">
        <v>28.707617138467199</v>
      </c>
      <c r="F51" t="s">
        <v>82</v>
      </c>
      <c r="G51" s="4" t="s">
        <v>16</v>
      </c>
      <c r="H51" t="s">
        <v>149</v>
      </c>
      <c r="I51">
        <f t="shared" ref="I51:J51" si="60">I50</f>
        <v>28.962796831743365</v>
      </c>
      <c r="J51">
        <f t="shared" si="60"/>
        <v>0.26078848610475019</v>
      </c>
      <c r="K51">
        <f>I2</f>
        <v>18.561442334575197</v>
      </c>
      <c r="L51">
        <f>I14</f>
        <v>19.832149239556248</v>
      </c>
      <c r="M51">
        <f t="shared" si="0"/>
        <v>10.401354497168168</v>
      </c>
      <c r="N51">
        <f t="shared" si="1"/>
        <v>9.1306475921871169</v>
      </c>
    </row>
    <row r="52" spans="1:14" x14ac:dyDescent="0.2">
      <c r="A52" t="s">
        <v>83</v>
      </c>
      <c r="B52" t="s">
        <v>142</v>
      </c>
      <c r="C52" t="s">
        <v>32</v>
      </c>
      <c r="D52">
        <v>28.951919615188</v>
      </c>
      <c r="E52">
        <v>28.951919615188</v>
      </c>
      <c r="F52" t="s">
        <v>83</v>
      </c>
      <c r="G52" s="4" t="s">
        <v>16</v>
      </c>
      <c r="H52" t="s">
        <v>149</v>
      </c>
      <c r="I52">
        <f t="shared" ref="I52:J52" si="61">I50</f>
        <v>28.962796831743365</v>
      </c>
      <c r="J52">
        <f t="shared" si="61"/>
        <v>0.26078848610475019</v>
      </c>
      <c r="K52">
        <f>I2</f>
        <v>18.561442334575197</v>
      </c>
      <c r="L52">
        <f>I14</f>
        <v>19.832149239556248</v>
      </c>
      <c r="M52">
        <f t="shared" si="0"/>
        <v>10.401354497168168</v>
      </c>
      <c r="N52">
        <f t="shared" si="1"/>
        <v>9.1306475921871169</v>
      </c>
    </row>
    <row r="53" spans="1:14" x14ac:dyDescent="0.2">
      <c r="A53" t="s">
        <v>84</v>
      </c>
      <c r="B53" t="s">
        <v>142</v>
      </c>
      <c r="C53" t="s">
        <v>32</v>
      </c>
      <c r="E53">
        <v>31.8041163518829</v>
      </c>
      <c r="F53" t="s">
        <v>84</v>
      </c>
      <c r="G53" s="1" t="s">
        <v>24</v>
      </c>
      <c r="H53" t="s">
        <v>149</v>
      </c>
      <c r="I53">
        <f t="shared" ref="I53" si="62">AVERAGE(D53:D55)</f>
        <v>32.447411481426954</v>
      </c>
      <c r="J53">
        <f t="shared" ref="J53" si="63">STDEV(D53:D55)</f>
        <v>0.16725837647729921</v>
      </c>
      <c r="K53">
        <f>I2</f>
        <v>18.561442334575197</v>
      </c>
      <c r="L53">
        <f>I14</f>
        <v>19.832149239556248</v>
      </c>
      <c r="M53">
        <f t="shared" si="0"/>
        <v>13.885969146851757</v>
      </c>
      <c r="N53">
        <f t="shared" si="1"/>
        <v>12.615262241870706</v>
      </c>
    </row>
    <row r="54" spans="1:14" x14ac:dyDescent="0.2">
      <c r="A54" t="s">
        <v>85</v>
      </c>
      <c r="B54" t="s">
        <v>142</v>
      </c>
      <c r="C54" t="s">
        <v>32</v>
      </c>
      <c r="D54">
        <v>32.565681013644301</v>
      </c>
      <c r="E54">
        <v>32.565681013644301</v>
      </c>
      <c r="F54" t="s">
        <v>85</v>
      </c>
      <c r="G54" s="1" t="s">
        <v>24</v>
      </c>
      <c r="H54" t="s">
        <v>149</v>
      </c>
      <c r="I54">
        <f t="shared" ref="I54:J55" si="64">I53</f>
        <v>32.447411481426954</v>
      </c>
      <c r="J54">
        <f t="shared" si="64"/>
        <v>0.16725837647729921</v>
      </c>
      <c r="K54">
        <f>I2</f>
        <v>18.561442334575197</v>
      </c>
      <c r="L54">
        <f>I14</f>
        <v>19.832149239556248</v>
      </c>
      <c r="M54">
        <f t="shared" si="0"/>
        <v>13.885969146851757</v>
      </c>
      <c r="N54">
        <f t="shared" si="1"/>
        <v>12.615262241870706</v>
      </c>
    </row>
    <row r="55" spans="1:14" x14ac:dyDescent="0.2">
      <c r="A55" t="s">
        <v>86</v>
      </c>
      <c r="B55" t="s">
        <v>142</v>
      </c>
      <c r="C55" t="s">
        <v>32</v>
      </c>
      <c r="D55">
        <v>32.3291419492096</v>
      </c>
      <c r="E55">
        <v>32.3291419492096</v>
      </c>
      <c r="F55" t="s">
        <v>86</v>
      </c>
      <c r="G55" s="1" t="s">
        <v>24</v>
      </c>
      <c r="H55" t="s">
        <v>149</v>
      </c>
      <c r="I55">
        <f t="shared" si="64"/>
        <v>32.447411481426954</v>
      </c>
      <c r="J55">
        <f t="shared" ref="J55" si="65">J53</f>
        <v>0.16725837647729921</v>
      </c>
      <c r="K55">
        <f>I2</f>
        <v>18.561442334575197</v>
      </c>
      <c r="L55">
        <f>I14</f>
        <v>19.832149239556248</v>
      </c>
      <c r="M55">
        <f t="shared" si="0"/>
        <v>13.885969146851757</v>
      </c>
      <c r="N55">
        <f t="shared" si="1"/>
        <v>12.615262241870706</v>
      </c>
    </row>
    <row r="56" spans="1:14" x14ac:dyDescent="0.2">
      <c r="A56" t="s">
        <v>87</v>
      </c>
      <c r="B56" t="s">
        <v>142</v>
      </c>
      <c r="C56" t="s">
        <v>32</v>
      </c>
      <c r="E56">
        <v>27.933702746482702</v>
      </c>
      <c r="F56" t="s">
        <v>87</v>
      </c>
      <c r="G56" s="4" t="s">
        <v>16</v>
      </c>
      <c r="H56" t="s">
        <v>150</v>
      </c>
      <c r="I56">
        <f t="shared" ref="I56" si="66">AVERAGE(D56:D58)</f>
        <v>28.636079757906199</v>
      </c>
      <c r="J56">
        <f t="shared" ref="J56" si="67">STDEV(D56:D58)</f>
        <v>0.30628729327779314</v>
      </c>
      <c r="K56">
        <f>I8</f>
        <v>15.117797691189551</v>
      </c>
      <c r="L56" t="e">
        <f>I20</f>
        <v>#DIV/0!</v>
      </c>
      <c r="M56">
        <f t="shared" si="0"/>
        <v>13.518282066716647</v>
      </c>
      <c r="N56" t="e">
        <f t="shared" si="1"/>
        <v>#DIV/0!</v>
      </c>
    </row>
    <row r="57" spans="1:14" x14ac:dyDescent="0.2">
      <c r="A57" t="s">
        <v>88</v>
      </c>
      <c r="B57" t="s">
        <v>142</v>
      </c>
      <c r="C57" t="s">
        <v>32</v>
      </c>
      <c r="D57">
        <v>28.852657579974199</v>
      </c>
      <c r="E57">
        <v>28.852657579974199</v>
      </c>
      <c r="F57" t="s">
        <v>88</v>
      </c>
      <c r="G57" s="4" t="s">
        <v>16</v>
      </c>
      <c r="H57" t="s">
        <v>150</v>
      </c>
      <c r="I57">
        <f t="shared" ref="I57:J57" si="68">I56</f>
        <v>28.636079757906199</v>
      </c>
      <c r="J57">
        <f t="shared" si="68"/>
        <v>0.30628729327779314</v>
      </c>
      <c r="K57">
        <f>I8</f>
        <v>15.117797691189551</v>
      </c>
      <c r="L57" t="e">
        <f>I20</f>
        <v>#DIV/0!</v>
      </c>
      <c r="M57">
        <f t="shared" si="0"/>
        <v>13.518282066716647</v>
      </c>
      <c r="N57" t="e">
        <f t="shared" si="1"/>
        <v>#DIV/0!</v>
      </c>
    </row>
    <row r="58" spans="1:14" x14ac:dyDescent="0.2">
      <c r="A58" t="s">
        <v>89</v>
      </c>
      <c r="B58" t="s">
        <v>142</v>
      </c>
      <c r="C58" t="s">
        <v>32</v>
      </c>
      <c r="D58">
        <v>28.419501935838198</v>
      </c>
      <c r="E58">
        <v>28.419501935838198</v>
      </c>
      <c r="F58" t="s">
        <v>89</v>
      </c>
      <c r="G58" s="4" t="s">
        <v>16</v>
      </c>
      <c r="H58" t="s">
        <v>150</v>
      </c>
      <c r="I58">
        <f t="shared" ref="I58:J58" si="69">I56</f>
        <v>28.636079757906199</v>
      </c>
      <c r="J58">
        <f t="shared" si="69"/>
        <v>0.30628729327779314</v>
      </c>
      <c r="K58">
        <f>I8</f>
        <v>15.117797691189551</v>
      </c>
      <c r="L58" t="e">
        <f>I20</f>
        <v>#DIV/0!</v>
      </c>
      <c r="M58">
        <f t="shared" si="0"/>
        <v>13.518282066716647</v>
      </c>
      <c r="N58" t="e">
        <f t="shared" si="1"/>
        <v>#DIV/0!</v>
      </c>
    </row>
    <row r="59" spans="1:14" x14ac:dyDescent="0.2">
      <c r="A59" t="s">
        <v>90</v>
      </c>
      <c r="B59" t="s">
        <v>142</v>
      </c>
      <c r="C59" t="s">
        <v>32</v>
      </c>
      <c r="D59">
        <v>29.954782282160799</v>
      </c>
      <c r="E59">
        <v>29.954782282160799</v>
      </c>
      <c r="F59" t="s">
        <v>90</v>
      </c>
      <c r="G59" s="1" t="s">
        <v>24</v>
      </c>
      <c r="H59" t="s">
        <v>150</v>
      </c>
      <c r="I59">
        <f t="shared" ref="I59" si="70">AVERAGE(D59:D61)</f>
        <v>29.723182245095899</v>
      </c>
      <c r="J59">
        <f t="shared" ref="J59" si="71">STDEV(D59:D61)</f>
        <v>0.20198237483210449</v>
      </c>
      <c r="K59">
        <f>I8</f>
        <v>15.117797691189551</v>
      </c>
      <c r="L59" t="e">
        <f>I20</f>
        <v>#DIV/0!</v>
      </c>
      <c r="M59">
        <f t="shared" si="0"/>
        <v>14.605384553906347</v>
      </c>
      <c r="N59" t="e">
        <f t="shared" si="1"/>
        <v>#DIV/0!</v>
      </c>
    </row>
    <row r="60" spans="1:14" x14ac:dyDescent="0.2">
      <c r="A60" t="s">
        <v>91</v>
      </c>
      <c r="B60" t="s">
        <v>142</v>
      </c>
      <c r="C60" t="s">
        <v>32</v>
      </c>
      <c r="D60">
        <v>29.583550590730599</v>
      </c>
      <c r="E60">
        <v>29.583550590730599</v>
      </c>
      <c r="F60" t="s">
        <v>91</v>
      </c>
      <c r="G60" s="1" t="s">
        <v>24</v>
      </c>
      <c r="H60" t="s">
        <v>150</v>
      </c>
      <c r="I60">
        <f t="shared" ref="I60:J61" si="72">I59</f>
        <v>29.723182245095899</v>
      </c>
      <c r="J60">
        <f t="shared" si="72"/>
        <v>0.20198237483210449</v>
      </c>
      <c r="K60">
        <f>I8</f>
        <v>15.117797691189551</v>
      </c>
      <c r="L60" t="e">
        <f>I20</f>
        <v>#DIV/0!</v>
      </c>
      <c r="M60">
        <f t="shared" si="0"/>
        <v>14.605384553906347</v>
      </c>
      <c r="N60" t="e">
        <f t="shared" si="1"/>
        <v>#DIV/0!</v>
      </c>
    </row>
    <row r="61" spans="1:14" x14ac:dyDescent="0.2">
      <c r="A61" t="s">
        <v>92</v>
      </c>
      <c r="B61" t="s">
        <v>142</v>
      </c>
      <c r="C61" t="s">
        <v>32</v>
      </c>
      <c r="D61">
        <v>29.631213862396301</v>
      </c>
      <c r="E61">
        <v>29.631213862396301</v>
      </c>
      <c r="F61" t="s">
        <v>92</v>
      </c>
      <c r="G61" s="1" t="s">
        <v>24</v>
      </c>
      <c r="H61" t="s">
        <v>150</v>
      </c>
      <c r="I61">
        <f t="shared" si="72"/>
        <v>29.723182245095899</v>
      </c>
      <c r="J61">
        <f t="shared" ref="J61" si="73">J59</f>
        <v>0.20198237483210449</v>
      </c>
      <c r="K61">
        <f>I8</f>
        <v>15.117797691189551</v>
      </c>
      <c r="L61" t="e">
        <f>I20</f>
        <v>#DIV/0!</v>
      </c>
      <c r="M61">
        <f t="shared" si="0"/>
        <v>14.605384553906347</v>
      </c>
      <c r="N61" t="e">
        <f t="shared" si="1"/>
        <v>#DIV/0!</v>
      </c>
    </row>
    <row r="62" spans="1:14" x14ac:dyDescent="0.2">
      <c r="A62" t="s">
        <v>93</v>
      </c>
      <c r="B62" t="s">
        <v>142</v>
      </c>
      <c r="C62" t="s">
        <v>32</v>
      </c>
      <c r="E62">
        <v>28.159001099624099</v>
      </c>
      <c r="F62" t="s">
        <v>93</v>
      </c>
      <c r="G62" s="4" t="s">
        <v>17</v>
      </c>
      <c r="H62" t="s">
        <v>149</v>
      </c>
      <c r="I62">
        <f t="shared" ref="I62" si="74">AVERAGE(D62:D64)</f>
        <v>29.530412719890201</v>
      </c>
      <c r="J62">
        <f t="shared" ref="J62" si="75">STDEV(D62:D64)</f>
        <v>1.7789865083307582E-2</v>
      </c>
      <c r="K62">
        <f>I2</f>
        <v>18.561442334575197</v>
      </c>
      <c r="L62">
        <f>I14</f>
        <v>19.832149239556248</v>
      </c>
      <c r="M62">
        <f t="shared" si="0"/>
        <v>10.968970385315004</v>
      </c>
      <c r="N62">
        <f t="shared" si="1"/>
        <v>9.6982634803339529</v>
      </c>
    </row>
    <row r="63" spans="1:14" x14ac:dyDescent="0.2">
      <c r="A63" t="s">
        <v>94</v>
      </c>
      <c r="B63" t="s">
        <v>142</v>
      </c>
      <c r="C63" t="s">
        <v>32</v>
      </c>
      <c r="D63">
        <v>29.5178333856534</v>
      </c>
      <c r="E63">
        <v>29.5178333856534</v>
      </c>
      <c r="F63" t="s">
        <v>94</v>
      </c>
      <c r="G63" s="4" t="s">
        <v>17</v>
      </c>
      <c r="H63" t="s">
        <v>149</v>
      </c>
      <c r="I63">
        <f t="shared" ref="I63:J63" si="76">I62</f>
        <v>29.530412719890201</v>
      </c>
      <c r="J63">
        <f t="shared" si="76"/>
        <v>1.7789865083307582E-2</v>
      </c>
      <c r="K63">
        <f>I2</f>
        <v>18.561442334575197</v>
      </c>
      <c r="L63">
        <f>I14</f>
        <v>19.832149239556248</v>
      </c>
      <c r="M63">
        <f t="shared" si="0"/>
        <v>10.968970385315004</v>
      </c>
      <c r="N63">
        <f t="shared" si="1"/>
        <v>9.6982634803339529</v>
      </c>
    </row>
    <row r="64" spans="1:14" x14ac:dyDescent="0.2">
      <c r="A64" t="s">
        <v>95</v>
      </c>
      <c r="B64" t="s">
        <v>142</v>
      </c>
      <c r="C64" t="s">
        <v>32</v>
      </c>
      <c r="D64">
        <v>29.542992054127001</v>
      </c>
      <c r="E64">
        <v>29.542992054127001</v>
      </c>
      <c r="F64" t="s">
        <v>95</v>
      </c>
      <c r="G64" s="4" t="s">
        <v>17</v>
      </c>
      <c r="H64" t="s">
        <v>149</v>
      </c>
      <c r="I64">
        <f t="shared" ref="I64:J64" si="77">I62</f>
        <v>29.530412719890201</v>
      </c>
      <c r="J64">
        <f t="shared" si="77"/>
        <v>1.7789865083307582E-2</v>
      </c>
      <c r="K64">
        <f>I2</f>
        <v>18.561442334575197</v>
      </c>
      <c r="L64">
        <f>I14</f>
        <v>19.832149239556248</v>
      </c>
      <c r="M64">
        <f t="shared" si="0"/>
        <v>10.968970385315004</v>
      </c>
      <c r="N64">
        <f t="shared" si="1"/>
        <v>9.6982634803339529</v>
      </c>
    </row>
    <row r="65" spans="1:14" x14ac:dyDescent="0.2">
      <c r="A65" t="s">
        <v>96</v>
      </c>
      <c r="B65" t="s">
        <v>142</v>
      </c>
      <c r="C65" t="s">
        <v>32</v>
      </c>
      <c r="D65">
        <v>29.249478981724899</v>
      </c>
      <c r="E65">
        <v>29.249478981724899</v>
      </c>
      <c r="F65" t="s">
        <v>96</v>
      </c>
      <c r="G65" s="1" t="s">
        <v>25</v>
      </c>
      <c r="H65" t="s">
        <v>149</v>
      </c>
      <c r="I65">
        <f t="shared" ref="I65" si="78">AVERAGE(D65:D67)</f>
        <v>29.410299684555998</v>
      </c>
      <c r="J65">
        <f t="shared" ref="J65" si="79">STDEV(D65:D67)</f>
        <v>0.22344591073606834</v>
      </c>
      <c r="K65">
        <f>I2</f>
        <v>18.561442334575197</v>
      </c>
      <c r="L65">
        <f>I14</f>
        <v>19.832149239556248</v>
      </c>
      <c r="M65">
        <f t="shared" si="0"/>
        <v>10.848857349980801</v>
      </c>
      <c r="N65">
        <f t="shared" si="1"/>
        <v>9.5781504449997499</v>
      </c>
    </row>
    <row r="66" spans="1:14" x14ac:dyDescent="0.2">
      <c r="A66" t="s">
        <v>97</v>
      </c>
      <c r="B66" t="s">
        <v>142</v>
      </c>
      <c r="C66" t="s">
        <v>32</v>
      </c>
      <c r="D66">
        <v>29.6654401168974</v>
      </c>
      <c r="E66">
        <v>29.6654401168974</v>
      </c>
      <c r="F66" t="s">
        <v>97</v>
      </c>
      <c r="G66" s="1" t="s">
        <v>25</v>
      </c>
      <c r="H66" t="s">
        <v>149</v>
      </c>
      <c r="I66">
        <f t="shared" ref="I66:J67" si="80">I65</f>
        <v>29.410299684555998</v>
      </c>
      <c r="J66">
        <f t="shared" si="80"/>
        <v>0.22344591073606834</v>
      </c>
      <c r="K66">
        <f>I2</f>
        <v>18.561442334575197</v>
      </c>
      <c r="L66">
        <f>I14</f>
        <v>19.832149239556248</v>
      </c>
      <c r="M66">
        <f t="shared" si="0"/>
        <v>10.848857349980801</v>
      </c>
      <c r="N66">
        <f t="shared" si="1"/>
        <v>9.5781504449997499</v>
      </c>
    </row>
    <row r="67" spans="1:14" x14ac:dyDescent="0.2">
      <c r="A67" t="s">
        <v>98</v>
      </c>
      <c r="B67" t="s">
        <v>142</v>
      </c>
      <c r="C67" t="s">
        <v>32</v>
      </c>
      <c r="D67">
        <v>29.315979955045702</v>
      </c>
      <c r="E67">
        <v>29.315979955045702</v>
      </c>
      <c r="F67" t="s">
        <v>98</v>
      </c>
      <c r="G67" s="1" t="s">
        <v>25</v>
      </c>
      <c r="H67" t="s">
        <v>149</v>
      </c>
      <c r="I67">
        <f t="shared" si="80"/>
        <v>29.410299684555998</v>
      </c>
      <c r="J67">
        <f t="shared" ref="J67" si="81">J65</f>
        <v>0.22344591073606834</v>
      </c>
      <c r="K67">
        <f>I2</f>
        <v>18.561442334575197</v>
      </c>
      <c r="L67">
        <f>I14</f>
        <v>19.832149239556248</v>
      </c>
      <c r="M67">
        <f t="shared" ref="M67:M97" si="82">I67-K67</f>
        <v>10.848857349980801</v>
      </c>
      <c r="N67">
        <f t="shared" ref="N67:N97" si="83">I67-L67</f>
        <v>9.5781504449997499</v>
      </c>
    </row>
    <row r="68" spans="1:14" x14ac:dyDescent="0.2">
      <c r="A68" t="s">
        <v>99</v>
      </c>
      <c r="B68" t="s">
        <v>142</v>
      </c>
      <c r="C68" t="s">
        <v>32</v>
      </c>
      <c r="D68">
        <v>29.6810753213726</v>
      </c>
      <c r="E68">
        <v>29.6810753213726</v>
      </c>
      <c r="F68" t="s">
        <v>99</v>
      </c>
      <c r="G68" s="4" t="s">
        <v>17</v>
      </c>
      <c r="H68" t="s">
        <v>150</v>
      </c>
      <c r="I68">
        <f t="shared" ref="I68" si="84">AVERAGE(D68:D70)</f>
        <v>29.494465074464401</v>
      </c>
      <c r="J68">
        <f t="shared" ref="J68" si="85">STDEV(D68:D70)</f>
        <v>0.26390674205536907</v>
      </c>
      <c r="K68">
        <f>I8</f>
        <v>15.117797691189551</v>
      </c>
      <c r="L68" t="e">
        <f>I20</f>
        <v>#DIV/0!</v>
      </c>
      <c r="M68">
        <f t="shared" si="82"/>
        <v>14.376667383274849</v>
      </c>
      <c r="N68" t="e">
        <f t="shared" si="83"/>
        <v>#DIV/0!</v>
      </c>
    </row>
    <row r="69" spans="1:14" x14ac:dyDescent="0.2">
      <c r="A69" t="s">
        <v>100</v>
      </c>
      <c r="B69" t="s">
        <v>142</v>
      </c>
      <c r="C69" t="s">
        <v>32</v>
      </c>
      <c r="E69">
        <v>30.820871917007299</v>
      </c>
      <c r="F69" t="s">
        <v>100</v>
      </c>
      <c r="G69" s="4" t="s">
        <v>17</v>
      </c>
      <c r="H69" t="s">
        <v>150</v>
      </c>
      <c r="I69">
        <f t="shared" ref="I69:J69" si="86">I68</f>
        <v>29.494465074464401</v>
      </c>
      <c r="J69">
        <f t="shared" si="86"/>
        <v>0.26390674205536907</v>
      </c>
      <c r="K69">
        <f>I8</f>
        <v>15.117797691189551</v>
      </c>
      <c r="L69" t="e">
        <f>I20</f>
        <v>#DIV/0!</v>
      </c>
      <c r="M69">
        <f t="shared" si="82"/>
        <v>14.376667383274849</v>
      </c>
      <c r="N69" t="e">
        <f t="shared" si="83"/>
        <v>#DIV/0!</v>
      </c>
    </row>
    <row r="70" spans="1:14" x14ac:dyDescent="0.2">
      <c r="A70" t="s">
        <v>101</v>
      </c>
      <c r="B70" t="s">
        <v>142</v>
      </c>
      <c r="C70" t="s">
        <v>32</v>
      </c>
      <c r="D70">
        <v>29.307854827556199</v>
      </c>
      <c r="E70">
        <v>29.307854827556199</v>
      </c>
      <c r="F70" t="s">
        <v>101</v>
      </c>
      <c r="G70" s="4" t="s">
        <v>17</v>
      </c>
      <c r="H70" t="s">
        <v>150</v>
      </c>
      <c r="I70">
        <f t="shared" ref="I70:J70" si="87">I68</f>
        <v>29.494465074464401</v>
      </c>
      <c r="J70">
        <f t="shared" si="87"/>
        <v>0.26390674205536907</v>
      </c>
      <c r="K70">
        <f>I8</f>
        <v>15.117797691189551</v>
      </c>
      <c r="L70" t="e">
        <f>I20</f>
        <v>#DIV/0!</v>
      </c>
      <c r="M70">
        <f t="shared" si="82"/>
        <v>14.376667383274849</v>
      </c>
      <c r="N70" t="e">
        <f t="shared" si="83"/>
        <v>#DIV/0!</v>
      </c>
    </row>
    <row r="71" spans="1:14" x14ac:dyDescent="0.2">
      <c r="A71" t="s">
        <v>102</v>
      </c>
      <c r="B71" t="s">
        <v>142</v>
      </c>
      <c r="C71" t="s">
        <v>32</v>
      </c>
      <c r="D71">
        <v>29.476885274839599</v>
      </c>
      <c r="E71">
        <v>29.476885274839599</v>
      </c>
      <c r="F71" t="s">
        <v>102</v>
      </c>
      <c r="G71" s="1" t="s">
        <v>25</v>
      </c>
      <c r="H71" t="s">
        <v>150</v>
      </c>
      <c r="I71">
        <f t="shared" ref="I71" si="88">AVERAGE(D71:D73)</f>
        <v>29.610648242473999</v>
      </c>
      <c r="J71">
        <f t="shared" ref="J71" si="89">STDEV(D71:D73)</f>
        <v>0.18916940297184198</v>
      </c>
      <c r="K71">
        <f>I8</f>
        <v>15.117797691189551</v>
      </c>
      <c r="L71" t="e">
        <f>I20</f>
        <v>#DIV/0!</v>
      </c>
      <c r="M71">
        <f t="shared" si="82"/>
        <v>14.492850551284448</v>
      </c>
      <c r="N71" t="e">
        <f t="shared" si="83"/>
        <v>#DIV/0!</v>
      </c>
    </row>
    <row r="72" spans="1:14" x14ac:dyDescent="0.2">
      <c r="A72" t="s">
        <v>103</v>
      </c>
      <c r="B72" t="s">
        <v>142</v>
      </c>
      <c r="C72" t="s">
        <v>32</v>
      </c>
      <c r="E72">
        <v>28.9239644697561</v>
      </c>
      <c r="F72" t="s">
        <v>103</v>
      </c>
      <c r="G72" s="1" t="s">
        <v>25</v>
      </c>
      <c r="H72" t="s">
        <v>150</v>
      </c>
      <c r="I72">
        <f t="shared" ref="I72:J73" si="90">I71</f>
        <v>29.610648242473999</v>
      </c>
      <c r="J72">
        <f t="shared" si="90"/>
        <v>0.18916940297184198</v>
      </c>
      <c r="K72">
        <f>I8</f>
        <v>15.117797691189551</v>
      </c>
      <c r="L72" t="e">
        <f>I20</f>
        <v>#DIV/0!</v>
      </c>
      <c r="M72">
        <f t="shared" si="82"/>
        <v>14.492850551284448</v>
      </c>
      <c r="N72" t="e">
        <f t="shared" si="83"/>
        <v>#DIV/0!</v>
      </c>
    </row>
    <row r="73" spans="1:14" x14ac:dyDescent="0.2">
      <c r="A73" t="s">
        <v>104</v>
      </c>
      <c r="B73" t="s">
        <v>142</v>
      </c>
      <c r="C73" t="s">
        <v>32</v>
      </c>
      <c r="D73">
        <v>29.7444112101084</v>
      </c>
      <c r="E73">
        <v>29.7444112101084</v>
      </c>
      <c r="F73" t="s">
        <v>104</v>
      </c>
      <c r="G73" s="1" t="s">
        <v>25</v>
      </c>
      <c r="H73" t="s">
        <v>150</v>
      </c>
      <c r="I73">
        <f t="shared" si="90"/>
        <v>29.610648242473999</v>
      </c>
      <c r="J73">
        <f t="shared" ref="J73" si="91">J71</f>
        <v>0.18916940297184198</v>
      </c>
      <c r="K73">
        <f>I8</f>
        <v>15.117797691189551</v>
      </c>
      <c r="L73" t="e">
        <f>I20</f>
        <v>#DIV/0!</v>
      </c>
      <c r="M73">
        <f t="shared" si="82"/>
        <v>14.492850551284448</v>
      </c>
      <c r="N73" t="e">
        <f t="shared" si="83"/>
        <v>#DIV/0!</v>
      </c>
    </row>
    <row r="74" spans="1:14" x14ac:dyDescent="0.2">
      <c r="A74" t="s">
        <v>105</v>
      </c>
      <c r="B74" t="s">
        <v>142</v>
      </c>
      <c r="C74" t="s">
        <v>32</v>
      </c>
      <c r="D74">
        <v>31.843141845814198</v>
      </c>
      <c r="E74">
        <v>31.843141845814198</v>
      </c>
      <c r="F74" t="s">
        <v>105</v>
      </c>
      <c r="G74" s="4" t="s">
        <v>18</v>
      </c>
      <c r="H74" t="s">
        <v>149</v>
      </c>
      <c r="I74">
        <f t="shared" ref="I74" si="92">AVERAGE(D74:D76)</f>
        <v>31.997630534430698</v>
      </c>
      <c r="J74">
        <f>STDEV(D74:D76)</f>
        <v>0.21847999867469017</v>
      </c>
      <c r="K74">
        <f>I2</f>
        <v>18.561442334575197</v>
      </c>
      <c r="L74">
        <f>I14</f>
        <v>19.832149239556248</v>
      </c>
      <c r="M74">
        <f t="shared" si="82"/>
        <v>13.436188199855501</v>
      </c>
      <c r="N74">
        <f t="shared" si="83"/>
        <v>12.16548129487445</v>
      </c>
    </row>
    <row r="75" spans="1:14" x14ac:dyDescent="0.2">
      <c r="A75" t="s">
        <v>106</v>
      </c>
      <c r="B75" t="s">
        <v>142</v>
      </c>
      <c r="C75" t="s">
        <v>32</v>
      </c>
      <c r="D75">
        <v>32.152119223047201</v>
      </c>
      <c r="E75">
        <v>32.152119223047201</v>
      </c>
      <c r="F75" t="s">
        <v>106</v>
      </c>
      <c r="G75" s="4" t="s">
        <v>18</v>
      </c>
      <c r="H75" t="s">
        <v>149</v>
      </c>
      <c r="I75">
        <f t="shared" ref="I75:J75" si="93">I74</f>
        <v>31.997630534430698</v>
      </c>
      <c r="J75">
        <f t="shared" si="93"/>
        <v>0.21847999867469017</v>
      </c>
      <c r="K75">
        <f>I2</f>
        <v>18.561442334575197</v>
      </c>
      <c r="L75">
        <f>I14</f>
        <v>19.832149239556248</v>
      </c>
      <c r="M75">
        <f t="shared" si="82"/>
        <v>13.436188199855501</v>
      </c>
      <c r="N75">
        <f t="shared" si="83"/>
        <v>12.16548129487445</v>
      </c>
    </row>
    <row r="76" spans="1:14" x14ac:dyDescent="0.2">
      <c r="A76" t="s">
        <v>107</v>
      </c>
      <c r="B76" t="s">
        <v>142</v>
      </c>
      <c r="C76" t="s">
        <v>32</v>
      </c>
      <c r="E76">
        <v>30.473191069200301</v>
      </c>
      <c r="F76" t="s">
        <v>107</v>
      </c>
      <c r="G76" s="4" t="s">
        <v>18</v>
      </c>
      <c r="H76" t="s">
        <v>149</v>
      </c>
      <c r="I76">
        <f t="shared" ref="I76:J76" si="94">I74</f>
        <v>31.997630534430698</v>
      </c>
      <c r="J76">
        <f t="shared" si="94"/>
        <v>0.21847999867469017</v>
      </c>
      <c r="K76">
        <f>I2</f>
        <v>18.561442334575197</v>
      </c>
      <c r="L76">
        <f>I14</f>
        <v>19.832149239556248</v>
      </c>
      <c r="M76">
        <f t="shared" si="82"/>
        <v>13.436188199855501</v>
      </c>
      <c r="N76">
        <f t="shared" si="83"/>
        <v>12.16548129487445</v>
      </c>
    </row>
    <row r="77" spans="1:14" x14ac:dyDescent="0.2">
      <c r="A77" t="s">
        <v>108</v>
      </c>
      <c r="B77" t="s">
        <v>142</v>
      </c>
      <c r="C77" t="s">
        <v>32</v>
      </c>
      <c r="D77" t="s">
        <v>141</v>
      </c>
      <c r="E77" t="s">
        <v>141</v>
      </c>
      <c r="F77" t="s">
        <v>108</v>
      </c>
      <c r="I77" t="e">
        <f t="shared" ref="I77" si="95">AVERAGE(D77:D79)</f>
        <v>#DIV/0!</v>
      </c>
      <c r="J77" t="e">
        <f t="shared" ref="J77" si="96">STDEV(D77:D79)</f>
        <v>#DIV/0!</v>
      </c>
      <c r="K77">
        <f>I2</f>
        <v>18.561442334575197</v>
      </c>
      <c r="L77">
        <f>I14</f>
        <v>19.832149239556248</v>
      </c>
      <c r="M77" t="e">
        <f t="shared" si="82"/>
        <v>#DIV/0!</v>
      </c>
      <c r="N77" t="e">
        <f t="shared" si="83"/>
        <v>#DIV/0!</v>
      </c>
    </row>
    <row r="78" spans="1:14" x14ac:dyDescent="0.2">
      <c r="A78" t="s">
        <v>109</v>
      </c>
      <c r="B78" t="s">
        <v>142</v>
      </c>
      <c r="C78" t="s">
        <v>32</v>
      </c>
      <c r="D78" t="s">
        <v>141</v>
      </c>
      <c r="E78" t="s">
        <v>141</v>
      </c>
      <c r="F78" t="s">
        <v>109</v>
      </c>
      <c r="I78" t="e">
        <f t="shared" ref="I78:J79" si="97">I77</f>
        <v>#DIV/0!</v>
      </c>
      <c r="J78" t="e">
        <f t="shared" si="97"/>
        <v>#DIV/0!</v>
      </c>
      <c r="K78">
        <f>I2</f>
        <v>18.561442334575197</v>
      </c>
      <c r="L78">
        <f>I14</f>
        <v>19.832149239556248</v>
      </c>
      <c r="M78" t="e">
        <f t="shared" si="82"/>
        <v>#DIV/0!</v>
      </c>
      <c r="N78" t="e">
        <f t="shared" si="83"/>
        <v>#DIV/0!</v>
      </c>
    </row>
    <row r="79" spans="1:14" x14ac:dyDescent="0.2">
      <c r="A79" t="s">
        <v>110</v>
      </c>
      <c r="B79" t="s">
        <v>142</v>
      </c>
      <c r="C79" t="s">
        <v>32</v>
      </c>
      <c r="D79" t="s">
        <v>141</v>
      </c>
      <c r="E79" t="s">
        <v>141</v>
      </c>
      <c r="F79" t="s">
        <v>110</v>
      </c>
      <c r="I79" t="e">
        <f t="shared" si="97"/>
        <v>#DIV/0!</v>
      </c>
      <c r="J79" t="e">
        <f t="shared" ref="J79" si="98">J77</f>
        <v>#DIV/0!</v>
      </c>
      <c r="K79">
        <f>I2</f>
        <v>18.561442334575197</v>
      </c>
      <c r="L79">
        <f>I14</f>
        <v>19.832149239556248</v>
      </c>
      <c r="M79" t="e">
        <f t="shared" si="82"/>
        <v>#DIV/0!</v>
      </c>
      <c r="N79" t="e">
        <f t="shared" si="83"/>
        <v>#DIV/0!</v>
      </c>
    </row>
    <row r="80" spans="1:14" x14ac:dyDescent="0.2">
      <c r="A80" t="s">
        <v>111</v>
      </c>
      <c r="B80" t="s">
        <v>142</v>
      </c>
      <c r="C80" t="s">
        <v>32</v>
      </c>
      <c r="D80">
        <v>29.851962672779401</v>
      </c>
      <c r="E80">
        <v>29.851962672779401</v>
      </c>
      <c r="F80" t="s">
        <v>111</v>
      </c>
      <c r="G80" s="4" t="s">
        <v>18</v>
      </c>
      <c r="H80" t="s">
        <v>150</v>
      </c>
      <c r="I80">
        <f t="shared" ref="I80" si="99">AVERAGE(D80:D82)</f>
        <v>29.733412820239749</v>
      </c>
      <c r="J80">
        <f t="shared" ref="J80" si="100">STDEV(D80:D82)</f>
        <v>0.16765480927890511</v>
      </c>
      <c r="K80">
        <f>I8</f>
        <v>15.117797691189551</v>
      </c>
      <c r="L80" t="e">
        <f>I20</f>
        <v>#DIV/0!</v>
      </c>
      <c r="M80">
        <f t="shared" si="82"/>
        <v>14.615615129050198</v>
      </c>
      <c r="N80" t="e">
        <f t="shared" si="83"/>
        <v>#DIV/0!</v>
      </c>
    </row>
    <row r="81" spans="1:14" x14ac:dyDescent="0.2">
      <c r="A81" t="s">
        <v>112</v>
      </c>
      <c r="B81" t="s">
        <v>142</v>
      </c>
      <c r="C81" t="s">
        <v>32</v>
      </c>
      <c r="E81">
        <v>30.399331833445999</v>
      </c>
      <c r="F81" t="s">
        <v>112</v>
      </c>
      <c r="G81" s="4" t="s">
        <v>18</v>
      </c>
      <c r="H81" t="s">
        <v>150</v>
      </c>
      <c r="I81">
        <f t="shared" ref="I81:J81" si="101">I80</f>
        <v>29.733412820239749</v>
      </c>
      <c r="J81">
        <f t="shared" si="101"/>
        <v>0.16765480927890511</v>
      </c>
      <c r="K81">
        <f>I8</f>
        <v>15.117797691189551</v>
      </c>
      <c r="L81" t="e">
        <f>I20</f>
        <v>#DIV/0!</v>
      </c>
      <c r="M81">
        <f t="shared" si="82"/>
        <v>14.615615129050198</v>
      </c>
      <c r="N81" t="e">
        <f t="shared" si="83"/>
        <v>#DIV/0!</v>
      </c>
    </row>
    <row r="82" spans="1:14" x14ac:dyDescent="0.2">
      <c r="A82" t="s">
        <v>113</v>
      </c>
      <c r="B82" t="s">
        <v>142</v>
      </c>
      <c r="C82" t="s">
        <v>32</v>
      </c>
      <c r="D82">
        <v>29.614862967700098</v>
      </c>
      <c r="E82">
        <v>29.614862967700098</v>
      </c>
      <c r="F82" t="s">
        <v>113</v>
      </c>
      <c r="G82" s="4" t="s">
        <v>18</v>
      </c>
      <c r="H82" t="s">
        <v>150</v>
      </c>
      <c r="I82">
        <f t="shared" ref="I82:J82" si="102">I80</f>
        <v>29.733412820239749</v>
      </c>
      <c r="J82">
        <f t="shared" si="102"/>
        <v>0.16765480927890511</v>
      </c>
      <c r="K82">
        <f>I8</f>
        <v>15.117797691189551</v>
      </c>
      <c r="L82" t="e">
        <f>I20</f>
        <v>#DIV/0!</v>
      </c>
      <c r="M82">
        <f t="shared" si="82"/>
        <v>14.615615129050198</v>
      </c>
      <c r="N82" t="e">
        <f t="shared" si="83"/>
        <v>#DIV/0!</v>
      </c>
    </row>
    <row r="83" spans="1:14" x14ac:dyDescent="0.2">
      <c r="A83" t="s">
        <v>114</v>
      </c>
      <c r="B83" t="s">
        <v>142</v>
      </c>
      <c r="C83" t="s">
        <v>32</v>
      </c>
      <c r="D83" t="s">
        <v>141</v>
      </c>
      <c r="E83" t="s">
        <v>141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15.117797691189551</v>
      </c>
      <c r="L83" t="e">
        <f>I20</f>
        <v>#DIV/0!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142</v>
      </c>
      <c r="C84" t="s">
        <v>32</v>
      </c>
      <c r="D84" t="s">
        <v>141</v>
      </c>
      <c r="E84" t="s">
        <v>141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15.117797691189551</v>
      </c>
      <c r="L84" t="e">
        <f>I20</f>
        <v>#DIV/0!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142</v>
      </c>
      <c r="C85" t="s">
        <v>32</v>
      </c>
      <c r="D85" t="s">
        <v>141</v>
      </c>
      <c r="E85" t="s">
        <v>141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15.117797691189551</v>
      </c>
      <c r="L85" t="e">
        <f>I20</f>
        <v>#DIV/0!</v>
      </c>
      <c r="M85" t="e">
        <f t="shared" si="82"/>
        <v>#DIV/0!</v>
      </c>
      <c r="N85" t="e">
        <f t="shared" si="83"/>
        <v>#DIV/0!</v>
      </c>
    </row>
    <row r="86" spans="1:14" ht="17" thickBot="1" x14ac:dyDescent="0.25">
      <c r="A86" t="s">
        <v>117</v>
      </c>
      <c r="B86" t="s">
        <v>142</v>
      </c>
      <c r="C86" t="s">
        <v>32</v>
      </c>
      <c r="D86">
        <v>32.860992412241501</v>
      </c>
      <c r="E86">
        <v>32.860992412241501</v>
      </c>
      <c r="F86" t="s">
        <v>117</v>
      </c>
      <c r="G86" s="6" t="s">
        <v>19</v>
      </c>
      <c r="H86" t="s">
        <v>149</v>
      </c>
      <c r="I86">
        <f t="shared" ref="I86" si="107">AVERAGE(D86:D88)</f>
        <v>32.932759717110898</v>
      </c>
      <c r="J86">
        <f t="shared" ref="J86" si="108">STDEV(D86:D88)</f>
        <v>0.10149429588127058</v>
      </c>
      <c r="K86">
        <f>I2</f>
        <v>18.561442334575197</v>
      </c>
      <c r="L86">
        <f>I14</f>
        <v>19.832149239556248</v>
      </c>
      <c r="M86">
        <f t="shared" si="82"/>
        <v>14.3713173825357</v>
      </c>
      <c r="N86">
        <f t="shared" si="83"/>
        <v>13.10061047755465</v>
      </c>
    </row>
    <row r="87" spans="1:14" ht="17" thickBot="1" x14ac:dyDescent="0.25">
      <c r="A87" t="s">
        <v>118</v>
      </c>
      <c r="B87" t="s">
        <v>142</v>
      </c>
      <c r="C87" t="s">
        <v>32</v>
      </c>
      <c r="E87">
        <v>31.291364397222399</v>
      </c>
      <c r="F87" t="s">
        <v>118</v>
      </c>
      <c r="G87" s="6" t="s">
        <v>19</v>
      </c>
      <c r="H87" t="s">
        <v>149</v>
      </c>
      <c r="I87">
        <f t="shared" ref="I87:J87" si="109">I86</f>
        <v>32.932759717110898</v>
      </c>
      <c r="J87">
        <f t="shared" si="109"/>
        <v>0.10149429588127058</v>
      </c>
      <c r="K87">
        <f>I2</f>
        <v>18.561442334575197</v>
      </c>
      <c r="L87">
        <f>I14</f>
        <v>19.832149239556248</v>
      </c>
      <c r="M87">
        <f t="shared" si="82"/>
        <v>14.3713173825357</v>
      </c>
      <c r="N87">
        <f t="shared" si="83"/>
        <v>13.10061047755465</v>
      </c>
    </row>
    <row r="88" spans="1:14" ht="17" thickBot="1" x14ac:dyDescent="0.25">
      <c r="A88" t="s">
        <v>119</v>
      </c>
      <c r="B88" t="s">
        <v>142</v>
      </c>
      <c r="C88" t="s">
        <v>32</v>
      </c>
      <c r="D88">
        <v>33.004527021980302</v>
      </c>
      <c r="E88">
        <v>33.004527021980302</v>
      </c>
      <c r="F88" t="s">
        <v>119</v>
      </c>
      <c r="G88" s="6" t="s">
        <v>19</v>
      </c>
      <c r="H88" t="s">
        <v>149</v>
      </c>
      <c r="I88">
        <f t="shared" ref="I88:J88" si="110">I86</f>
        <v>32.932759717110898</v>
      </c>
      <c r="J88">
        <f t="shared" si="110"/>
        <v>0.10149429588127058</v>
      </c>
      <c r="K88">
        <f>I2</f>
        <v>18.561442334575197</v>
      </c>
      <c r="L88">
        <f>I14</f>
        <v>19.832149239556248</v>
      </c>
      <c r="M88">
        <f t="shared" si="82"/>
        <v>14.3713173825357</v>
      </c>
      <c r="N88">
        <f t="shared" si="83"/>
        <v>13.10061047755465</v>
      </c>
    </row>
    <row r="89" spans="1:14" x14ac:dyDescent="0.2">
      <c r="A89" t="s">
        <v>120</v>
      </c>
      <c r="B89" t="s">
        <v>142</v>
      </c>
      <c r="C89" t="s">
        <v>32</v>
      </c>
      <c r="D89" t="s">
        <v>141</v>
      </c>
      <c r="E89" t="s">
        <v>141</v>
      </c>
      <c r="F89" t="s">
        <v>120</v>
      </c>
      <c r="I89" t="e">
        <f t="shared" ref="I89" si="111">AVERAGE(D89:D91)</f>
        <v>#DIV/0!</v>
      </c>
      <c r="J89" t="e">
        <f t="shared" ref="J89" si="112">STDEV(D89:D91)</f>
        <v>#DIV/0!</v>
      </c>
      <c r="K89">
        <f>I2</f>
        <v>18.561442334575197</v>
      </c>
      <c r="L89">
        <f>I14</f>
        <v>19.832149239556248</v>
      </c>
      <c r="M89" t="e">
        <f t="shared" si="82"/>
        <v>#DIV/0!</v>
      </c>
      <c r="N89" t="e">
        <f t="shared" si="83"/>
        <v>#DIV/0!</v>
      </c>
    </row>
    <row r="90" spans="1:14" x14ac:dyDescent="0.2">
      <c r="A90" t="s">
        <v>121</v>
      </c>
      <c r="B90" t="s">
        <v>142</v>
      </c>
      <c r="C90" t="s">
        <v>32</v>
      </c>
      <c r="D90" t="s">
        <v>141</v>
      </c>
      <c r="E90" t="s">
        <v>141</v>
      </c>
      <c r="F90" t="s">
        <v>121</v>
      </c>
      <c r="I90" t="e">
        <f t="shared" ref="I90:J91" si="113">I89</f>
        <v>#DIV/0!</v>
      </c>
      <c r="J90" t="e">
        <f t="shared" si="113"/>
        <v>#DIV/0!</v>
      </c>
      <c r="K90">
        <f>I2</f>
        <v>18.561442334575197</v>
      </c>
      <c r="L90">
        <f>I14</f>
        <v>19.832149239556248</v>
      </c>
      <c r="M90" t="e">
        <f t="shared" si="82"/>
        <v>#DIV/0!</v>
      </c>
      <c r="N90" t="e">
        <f t="shared" si="83"/>
        <v>#DIV/0!</v>
      </c>
    </row>
    <row r="91" spans="1:14" x14ac:dyDescent="0.2">
      <c r="A91" t="s">
        <v>122</v>
      </c>
      <c r="B91" t="s">
        <v>142</v>
      </c>
      <c r="C91" t="s">
        <v>32</v>
      </c>
      <c r="D91" t="s">
        <v>141</v>
      </c>
      <c r="E91" t="s">
        <v>141</v>
      </c>
      <c r="F91" t="s">
        <v>122</v>
      </c>
      <c r="I91" t="e">
        <f t="shared" si="113"/>
        <v>#DIV/0!</v>
      </c>
      <c r="J91" t="e">
        <f t="shared" ref="J91" si="114">J89</f>
        <v>#DIV/0!</v>
      </c>
      <c r="K91">
        <f>I2</f>
        <v>18.561442334575197</v>
      </c>
      <c r="L91">
        <f>I14</f>
        <v>19.832149239556248</v>
      </c>
      <c r="M91" t="e">
        <f t="shared" si="82"/>
        <v>#DIV/0!</v>
      </c>
      <c r="N91" t="e">
        <f t="shared" si="83"/>
        <v>#DIV/0!</v>
      </c>
    </row>
    <row r="92" spans="1:14" ht="17" thickBot="1" x14ac:dyDescent="0.25">
      <c r="A92" t="s">
        <v>123</v>
      </c>
      <c r="B92" t="s">
        <v>142</v>
      </c>
      <c r="C92" t="s">
        <v>32</v>
      </c>
      <c r="D92">
        <v>30.165469113330801</v>
      </c>
      <c r="E92">
        <v>30.165469113330801</v>
      </c>
      <c r="F92" t="s">
        <v>123</v>
      </c>
      <c r="G92" s="6" t="s">
        <v>19</v>
      </c>
      <c r="H92" t="s">
        <v>150</v>
      </c>
      <c r="I92">
        <f t="shared" ref="I92" si="115">AVERAGE(D92:D94)</f>
        <v>30.044623461004633</v>
      </c>
      <c r="J92">
        <f t="shared" ref="J92" si="116">STDEV(D92:D94)</f>
        <v>0.10546391787221787</v>
      </c>
      <c r="K92">
        <f>I8</f>
        <v>15.117797691189551</v>
      </c>
      <c r="L92" t="e">
        <f>I20</f>
        <v>#DIV/0!</v>
      </c>
      <c r="M92">
        <f t="shared" si="82"/>
        <v>14.926825769815082</v>
      </c>
      <c r="N92" t="e">
        <f t="shared" si="83"/>
        <v>#DIV/0!</v>
      </c>
    </row>
    <row r="93" spans="1:14" ht="17" thickBot="1" x14ac:dyDescent="0.25">
      <c r="A93" t="s">
        <v>124</v>
      </c>
      <c r="B93" t="s">
        <v>142</v>
      </c>
      <c r="C93" t="s">
        <v>32</v>
      </c>
      <c r="D93">
        <v>29.997234598488699</v>
      </c>
      <c r="E93">
        <v>29.997234598488699</v>
      </c>
      <c r="F93" t="s">
        <v>124</v>
      </c>
      <c r="G93" s="6" t="s">
        <v>19</v>
      </c>
      <c r="H93" t="s">
        <v>150</v>
      </c>
      <c r="I93">
        <f t="shared" ref="I93:J93" si="117">I92</f>
        <v>30.044623461004633</v>
      </c>
      <c r="J93">
        <f t="shared" si="117"/>
        <v>0.10546391787221787</v>
      </c>
      <c r="K93">
        <f>I8</f>
        <v>15.117797691189551</v>
      </c>
      <c r="L93" t="e">
        <f>I20</f>
        <v>#DIV/0!</v>
      </c>
      <c r="M93">
        <f t="shared" si="82"/>
        <v>14.926825769815082</v>
      </c>
      <c r="N93" t="e">
        <f t="shared" si="83"/>
        <v>#DIV/0!</v>
      </c>
    </row>
    <row r="94" spans="1:14" ht="17" thickBot="1" x14ac:dyDescent="0.25">
      <c r="A94" t="s">
        <v>125</v>
      </c>
      <c r="B94" t="s">
        <v>142</v>
      </c>
      <c r="C94" t="s">
        <v>32</v>
      </c>
      <c r="D94">
        <v>29.9711666711944</v>
      </c>
      <c r="E94">
        <v>29.9711666711944</v>
      </c>
      <c r="F94" t="s">
        <v>125</v>
      </c>
      <c r="G94" s="6" t="s">
        <v>19</v>
      </c>
      <c r="H94" t="s">
        <v>150</v>
      </c>
      <c r="I94">
        <f t="shared" ref="I94:J94" si="118">I92</f>
        <v>30.044623461004633</v>
      </c>
      <c r="J94">
        <f t="shared" si="118"/>
        <v>0.10546391787221787</v>
      </c>
      <c r="K94">
        <f>I8</f>
        <v>15.117797691189551</v>
      </c>
      <c r="L94" t="e">
        <f>I20</f>
        <v>#DIV/0!</v>
      </c>
      <c r="M94">
        <f t="shared" si="82"/>
        <v>14.926825769815082</v>
      </c>
      <c r="N94" t="e">
        <f t="shared" si="83"/>
        <v>#DIV/0!</v>
      </c>
    </row>
    <row r="95" spans="1:14" x14ac:dyDescent="0.2">
      <c r="A95" t="s">
        <v>126</v>
      </c>
      <c r="B95" t="s">
        <v>142</v>
      </c>
      <c r="C95" t="s">
        <v>32</v>
      </c>
      <c r="D95" t="s">
        <v>141</v>
      </c>
      <c r="E95" t="s">
        <v>141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15.117797691189551</v>
      </c>
      <c r="L95" t="e">
        <f>I20</f>
        <v>#DIV/0!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142</v>
      </c>
      <c r="C96" t="s">
        <v>32</v>
      </c>
      <c r="D96" t="s">
        <v>141</v>
      </c>
      <c r="E96" t="s">
        <v>141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15.117797691189551</v>
      </c>
      <c r="L96" t="e">
        <f>I20</f>
        <v>#DIV/0!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142</v>
      </c>
      <c r="C97" t="s">
        <v>32</v>
      </c>
      <c r="D97" t="s">
        <v>141</v>
      </c>
      <c r="E97" t="s">
        <v>141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15.117797691189551</v>
      </c>
      <c r="L97" t="e">
        <f>I20</f>
        <v>#DIV/0!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9" priority="1" operator="greaterThan">
      <formula>0.3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D6CE-9CB5-8643-8354-A755D140E902}">
  <dimension ref="A1:N97"/>
  <sheetViews>
    <sheetView workbookViewId="0">
      <selection activeCell="A41" sqref="A41:XFD43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29.3933101985332</v>
      </c>
      <c r="E2">
        <v>33.635159732418998</v>
      </c>
      <c r="F2" t="s">
        <v>31</v>
      </c>
      <c r="G2" s="9" t="s">
        <v>9</v>
      </c>
      <c r="H2">
        <v>1702</v>
      </c>
      <c r="I2">
        <f>AVERAGE(D2:D4)</f>
        <v>29.744974230693099</v>
      </c>
      <c r="J2">
        <f>STDEV(D2:D4)</f>
        <v>0.47588543837636044</v>
      </c>
      <c r="K2">
        <f>I2</f>
        <v>29.744974230693099</v>
      </c>
      <c r="L2">
        <f>I14</f>
        <v>15.702167087090499</v>
      </c>
      <c r="M2">
        <f>I2-K2</f>
        <v>0</v>
      </c>
      <c r="N2">
        <f>I2-L2</f>
        <v>14.0428071436026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29.555133911447498</v>
      </c>
      <c r="E3" t="s">
        <v>141</v>
      </c>
      <c r="F3" t="s">
        <v>34</v>
      </c>
      <c r="G3" s="9" t="s">
        <v>9</v>
      </c>
      <c r="H3">
        <v>1702</v>
      </c>
      <c r="I3">
        <f>I2</f>
        <v>29.744974230693099</v>
      </c>
      <c r="J3">
        <f>J2</f>
        <v>0.47588543837636044</v>
      </c>
      <c r="K3">
        <f>I2</f>
        <v>29.744974230693099</v>
      </c>
      <c r="L3">
        <f>I14</f>
        <v>15.702167087090499</v>
      </c>
      <c r="M3">
        <f t="shared" ref="M3:M66" si="0">I3-K3</f>
        <v>0</v>
      </c>
      <c r="N3">
        <f t="shared" ref="N3:N66" si="1">I3-L3</f>
        <v>14.0428071436026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30.286478582098599</v>
      </c>
      <c r="E4">
        <v>34.998848182655301</v>
      </c>
      <c r="F4" t="s">
        <v>35</v>
      </c>
      <c r="G4" s="9" t="s">
        <v>9</v>
      </c>
      <c r="H4">
        <v>1702</v>
      </c>
      <c r="I4">
        <f>I2</f>
        <v>29.744974230693099</v>
      </c>
      <c r="J4">
        <f>J2</f>
        <v>0.47588543837636044</v>
      </c>
      <c r="K4">
        <f>I2</f>
        <v>29.744974230693099</v>
      </c>
      <c r="L4">
        <f>I14</f>
        <v>15.702167087090499</v>
      </c>
      <c r="M4">
        <f t="shared" si="0"/>
        <v>0</v>
      </c>
      <c r="N4">
        <f t="shared" si="1"/>
        <v>14.0428071436026</v>
      </c>
    </row>
    <row r="5" spans="1:14" s="17" customFormat="1" ht="17" thickBot="1" x14ac:dyDescent="0.25">
      <c r="A5" s="17" t="s">
        <v>36</v>
      </c>
      <c r="B5" s="17" t="s">
        <v>129</v>
      </c>
      <c r="C5" s="17" t="s">
        <v>32</v>
      </c>
      <c r="E5" s="17" t="s">
        <v>141</v>
      </c>
      <c r="F5" s="17" t="s">
        <v>36</v>
      </c>
      <c r="G5" s="18" t="s">
        <v>20</v>
      </c>
      <c r="H5" s="17">
        <v>1702</v>
      </c>
      <c r="I5" s="17" t="e">
        <f>AVERAGE(D5:D7)</f>
        <v>#DIV/0!</v>
      </c>
      <c r="J5" s="17" t="e">
        <f>STDEV(D5:D7)</f>
        <v>#DIV/0!</v>
      </c>
      <c r="K5" s="17">
        <f>I2</f>
        <v>29.744974230693099</v>
      </c>
      <c r="L5" s="17">
        <f>I14</f>
        <v>15.702167087090499</v>
      </c>
      <c r="M5" s="17" t="e">
        <f t="shared" si="0"/>
        <v>#DIV/0!</v>
      </c>
      <c r="N5" s="17" t="e">
        <f t="shared" si="1"/>
        <v>#DIV/0!</v>
      </c>
    </row>
    <row r="6" spans="1:14" s="17" customFormat="1" ht="17" thickBot="1" x14ac:dyDescent="0.25">
      <c r="A6" s="17" t="s">
        <v>37</v>
      </c>
      <c r="B6" s="17" t="s">
        <v>129</v>
      </c>
      <c r="C6" s="17" t="s">
        <v>32</v>
      </c>
      <c r="E6" s="17" t="s">
        <v>141</v>
      </c>
      <c r="F6" s="17" t="s">
        <v>37</v>
      </c>
      <c r="G6" s="18" t="s">
        <v>20</v>
      </c>
      <c r="H6" s="17">
        <v>1702</v>
      </c>
      <c r="I6" s="17" t="e">
        <f>I5</f>
        <v>#DIV/0!</v>
      </c>
      <c r="J6" s="17" t="e">
        <f>J5</f>
        <v>#DIV/0!</v>
      </c>
      <c r="K6" s="17">
        <f>I2</f>
        <v>29.744974230693099</v>
      </c>
      <c r="L6" s="17">
        <f>I14</f>
        <v>15.702167087090499</v>
      </c>
      <c r="M6" s="17" t="e">
        <f t="shared" si="0"/>
        <v>#DIV/0!</v>
      </c>
      <c r="N6" s="17" t="e">
        <f t="shared" si="1"/>
        <v>#DIV/0!</v>
      </c>
    </row>
    <row r="7" spans="1:14" s="17" customFormat="1" ht="17" thickBot="1" x14ac:dyDescent="0.25">
      <c r="A7" s="17" t="s">
        <v>38</v>
      </c>
      <c r="B7" s="17" t="s">
        <v>129</v>
      </c>
      <c r="C7" s="17" t="s">
        <v>32</v>
      </c>
      <c r="E7" s="17" t="s">
        <v>141</v>
      </c>
      <c r="F7" s="17" t="s">
        <v>38</v>
      </c>
      <c r="G7" s="18" t="s">
        <v>20</v>
      </c>
      <c r="H7" s="17">
        <v>1702</v>
      </c>
      <c r="I7" s="17" t="e">
        <f>I6</f>
        <v>#DIV/0!</v>
      </c>
      <c r="J7" s="17" t="e">
        <f>J5</f>
        <v>#DIV/0!</v>
      </c>
      <c r="K7" s="17">
        <f>I2</f>
        <v>29.744974230693099</v>
      </c>
      <c r="L7" s="17">
        <f>I14</f>
        <v>15.702167087090499</v>
      </c>
      <c r="M7" s="17" t="e">
        <f t="shared" si="0"/>
        <v>#DIV/0!</v>
      </c>
      <c r="N7" s="17" t="e">
        <f t="shared" si="1"/>
        <v>#DIV/0!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31.7291487644505</v>
      </c>
      <c r="E8">
        <v>12.505547107387301</v>
      </c>
      <c r="F8" t="s">
        <v>39</v>
      </c>
      <c r="G8" s="9" t="s">
        <v>9</v>
      </c>
      <c r="H8">
        <v>1703</v>
      </c>
      <c r="I8">
        <f t="shared" ref="I8" si="2">AVERAGE(D8:D10)</f>
        <v>31.748588765712199</v>
      </c>
      <c r="J8">
        <f t="shared" ref="J8" si="3">STDEV(D8:D10)</f>
        <v>2.7492313436845561E-2</v>
      </c>
      <c r="K8">
        <f>I8</f>
        <v>31.748588765712199</v>
      </c>
      <c r="L8">
        <f>I20</f>
        <v>18.370008043036297</v>
      </c>
      <c r="M8">
        <f t="shared" si="0"/>
        <v>0</v>
      </c>
      <c r="N8">
        <f t="shared" si="1"/>
        <v>13.378580722675903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31.768028766973899</v>
      </c>
      <c r="E9">
        <v>5.0927884814376396</v>
      </c>
      <c r="F9" t="s">
        <v>40</v>
      </c>
      <c r="G9" s="9" t="s">
        <v>9</v>
      </c>
      <c r="H9">
        <v>1703</v>
      </c>
      <c r="I9">
        <f t="shared" ref="I9:J9" si="4">I8</f>
        <v>31.748588765712199</v>
      </c>
      <c r="J9">
        <f t="shared" si="4"/>
        <v>2.7492313436845561E-2</v>
      </c>
      <c r="K9">
        <f>I8</f>
        <v>31.748588765712199</v>
      </c>
      <c r="L9">
        <f>I20</f>
        <v>18.370008043036297</v>
      </c>
      <c r="M9">
        <f t="shared" si="0"/>
        <v>0</v>
      </c>
      <c r="N9">
        <f t="shared" si="1"/>
        <v>13.378580722675903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8.3408993166449008</v>
      </c>
      <c r="F10" t="s">
        <v>41</v>
      </c>
      <c r="G10" s="9" t="s">
        <v>9</v>
      </c>
      <c r="H10">
        <v>1703</v>
      </c>
      <c r="I10">
        <f t="shared" ref="I10:J10" si="5">I8</f>
        <v>31.748588765712199</v>
      </c>
      <c r="J10">
        <f t="shared" si="5"/>
        <v>2.7492313436845561E-2</v>
      </c>
      <c r="K10">
        <f>I8</f>
        <v>31.748588765712199</v>
      </c>
      <c r="L10">
        <f>I20</f>
        <v>18.370008043036297</v>
      </c>
      <c r="M10">
        <f t="shared" si="0"/>
        <v>0</v>
      </c>
      <c r="N10">
        <f t="shared" si="1"/>
        <v>13.378580722675903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6.7770308692935703</v>
      </c>
      <c r="F11" s="17" t="s">
        <v>42</v>
      </c>
      <c r="G11" s="18" t="s">
        <v>20</v>
      </c>
      <c r="H11" s="17">
        <v>1703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31.748588765712199</v>
      </c>
      <c r="L11" s="17">
        <f>I20</f>
        <v>18.370008043036297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>
        <v>12.3564367680743</v>
      </c>
      <c r="F12" s="17" t="s">
        <v>43</v>
      </c>
      <c r="G12" s="18" t="s">
        <v>20</v>
      </c>
      <c r="H12" s="17">
        <v>1703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31.748588765712199</v>
      </c>
      <c r="L12" s="17">
        <f>I20</f>
        <v>18.370008043036297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 t="s">
        <v>141</v>
      </c>
      <c r="F13" s="17" t="s">
        <v>44</v>
      </c>
      <c r="G13" s="18" t="s">
        <v>20</v>
      </c>
      <c r="H13" s="17">
        <v>1703</v>
      </c>
      <c r="I13" s="17" t="e">
        <f t="shared" si="8"/>
        <v>#DIV/0!</v>
      </c>
      <c r="J13" s="17" t="e">
        <f t="shared" ref="J13" si="9">J11</f>
        <v>#DIV/0!</v>
      </c>
      <c r="K13" s="17">
        <f>I8</f>
        <v>31.748588765712199</v>
      </c>
      <c r="L13" s="17">
        <f>I20</f>
        <v>18.370008043036297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15.9595205318819</v>
      </c>
      <c r="E14" t="s">
        <v>141</v>
      </c>
      <c r="F14" t="s">
        <v>45</v>
      </c>
      <c r="G14" s="11" t="s">
        <v>8</v>
      </c>
      <c r="H14">
        <v>1702</v>
      </c>
      <c r="I14">
        <f t="shared" ref="I14" si="10">AVERAGE(D14:D16)</f>
        <v>15.702167087090499</v>
      </c>
      <c r="J14">
        <f t="shared" ref="J14" si="11">STDEV(D14:D16)</f>
        <v>0.36395273194743388</v>
      </c>
      <c r="K14">
        <f>I2</f>
        <v>29.744974230693099</v>
      </c>
      <c r="L14">
        <f>I14</f>
        <v>15.702167087090499</v>
      </c>
      <c r="M14">
        <f t="shared" si="0"/>
        <v>-14.0428071436026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E15" t="s">
        <v>141</v>
      </c>
      <c r="F15" t="s">
        <v>46</v>
      </c>
      <c r="G15" s="11" t="s">
        <v>8</v>
      </c>
      <c r="H15">
        <v>1702</v>
      </c>
      <c r="I15">
        <f t="shared" ref="I15:J15" si="12">I14</f>
        <v>15.702167087090499</v>
      </c>
      <c r="J15">
        <f t="shared" si="12"/>
        <v>0.36395273194743388</v>
      </c>
      <c r="K15">
        <f>I2</f>
        <v>29.744974230693099</v>
      </c>
      <c r="L15">
        <f>I14</f>
        <v>15.702167087090499</v>
      </c>
      <c r="M15">
        <f t="shared" si="0"/>
        <v>-14.0428071436026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15.444813642299099</v>
      </c>
      <c r="E16" t="s">
        <v>141</v>
      </c>
      <c r="F16" t="s">
        <v>47</v>
      </c>
      <c r="G16" s="11" t="s">
        <v>8</v>
      </c>
      <c r="H16">
        <v>1702</v>
      </c>
      <c r="I16">
        <f t="shared" ref="I16:J16" si="13">I14</f>
        <v>15.702167087090499</v>
      </c>
      <c r="J16">
        <f t="shared" si="13"/>
        <v>0.36395273194743388</v>
      </c>
      <c r="K16">
        <f>I2</f>
        <v>29.744974230693099</v>
      </c>
      <c r="L16">
        <f>I14</f>
        <v>15.702167087090499</v>
      </c>
      <c r="M16">
        <f t="shared" si="0"/>
        <v>-14.0428071436026</v>
      </c>
      <c r="N16">
        <f t="shared" si="1"/>
        <v>0</v>
      </c>
    </row>
    <row r="17" spans="1:14" s="17" customFormat="1" x14ac:dyDescent="0.2">
      <c r="A17" s="17" t="s">
        <v>48</v>
      </c>
      <c r="B17" s="17" t="s">
        <v>129</v>
      </c>
      <c r="C17" s="17" t="s">
        <v>32</v>
      </c>
      <c r="E17" s="17">
        <v>10.469563871691699</v>
      </c>
      <c r="F17" s="17" t="s">
        <v>48</v>
      </c>
      <c r="G17" s="19" t="s">
        <v>21</v>
      </c>
      <c r="H17" s="17">
        <v>1702</v>
      </c>
      <c r="I17" s="17" t="e">
        <f t="shared" ref="I17" si="14">AVERAGE(D17:D19)</f>
        <v>#DIV/0!</v>
      </c>
      <c r="J17" s="17" t="e">
        <f t="shared" ref="J17" si="15">STDEV(D17:D19)</f>
        <v>#DIV/0!</v>
      </c>
      <c r="K17" s="17">
        <f>I2</f>
        <v>29.744974230693099</v>
      </c>
      <c r="L17" s="17">
        <f>I14</f>
        <v>15.702167087090499</v>
      </c>
      <c r="M17" s="17" t="e">
        <f t="shared" si="0"/>
        <v>#DIV/0!</v>
      </c>
      <c r="N17" s="17" t="e">
        <f t="shared" si="1"/>
        <v>#DIV/0!</v>
      </c>
    </row>
    <row r="18" spans="1:14" s="17" customFormat="1" x14ac:dyDescent="0.2">
      <c r="A18" s="17" t="s">
        <v>49</v>
      </c>
      <c r="B18" s="17" t="s">
        <v>129</v>
      </c>
      <c r="C18" s="17" t="s">
        <v>32</v>
      </c>
      <c r="E18" s="17" t="s">
        <v>141</v>
      </c>
      <c r="F18" s="17" t="s">
        <v>49</v>
      </c>
      <c r="G18" s="19" t="s">
        <v>21</v>
      </c>
      <c r="H18" s="17">
        <v>1702</v>
      </c>
      <c r="I18" s="17" t="e">
        <f t="shared" ref="I18:J19" si="16">I17</f>
        <v>#DIV/0!</v>
      </c>
      <c r="J18" s="17" t="e">
        <f t="shared" si="16"/>
        <v>#DIV/0!</v>
      </c>
      <c r="K18" s="17">
        <f>I2</f>
        <v>29.744974230693099</v>
      </c>
      <c r="L18" s="17">
        <f>I14</f>
        <v>15.702167087090499</v>
      </c>
      <c r="M18" s="17" t="e">
        <f t="shared" si="0"/>
        <v>#DIV/0!</v>
      </c>
      <c r="N18" s="17" t="e">
        <f t="shared" si="1"/>
        <v>#DIV/0!</v>
      </c>
    </row>
    <row r="19" spans="1:14" s="17" customFormat="1" x14ac:dyDescent="0.2">
      <c r="A19" s="17" t="s">
        <v>50</v>
      </c>
      <c r="B19" s="17" t="s">
        <v>129</v>
      </c>
      <c r="C19" s="17" t="s">
        <v>32</v>
      </c>
      <c r="E19" s="17">
        <v>32.759836728901</v>
      </c>
      <c r="F19" s="17" t="s">
        <v>50</v>
      </c>
      <c r="G19" s="19" t="s">
        <v>21</v>
      </c>
      <c r="H19" s="17">
        <v>1702</v>
      </c>
      <c r="I19" s="17" t="e">
        <f t="shared" si="16"/>
        <v>#DIV/0!</v>
      </c>
      <c r="J19" s="17" t="e">
        <f t="shared" ref="J19" si="17">J17</f>
        <v>#DIV/0!</v>
      </c>
      <c r="K19" s="17">
        <f>I2</f>
        <v>29.744974230693099</v>
      </c>
      <c r="L19" s="17">
        <f>I14</f>
        <v>15.702167087090499</v>
      </c>
      <c r="M19" s="17" t="e">
        <f t="shared" si="0"/>
        <v>#DIV/0!</v>
      </c>
      <c r="N19" s="17" t="e">
        <f t="shared" si="1"/>
        <v>#DIV/0!</v>
      </c>
    </row>
    <row r="20" spans="1:14" x14ac:dyDescent="0.2">
      <c r="A20" t="s">
        <v>51</v>
      </c>
      <c r="B20" t="s">
        <v>129</v>
      </c>
      <c r="C20" t="s">
        <v>32</v>
      </c>
      <c r="D20">
        <v>18.4490739140799</v>
      </c>
      <c r="E20" t="s">
        <v>141</v>
      </c>
      <c r="F20" t="s">
        <v>51</v>
      </c>
      <c r="G20" s="11" t="s">
        <v>8</v>
      </c>
      <c r="H20">
        <v>1703</v>
      </c>
      <c r="I20">
        <f t="shared" ref="I20" si="18">AVERAGE(D20:D22)</f>
        <v>18.370008043036297</v>
      </c>
      <c r="J20">
        <f t="shared" ref="J20" si="19">STDEV(D20:D22)</f>
        <v>6.847527505238872E-2</v>
      </c>
      <c r="K20">
        <f>I8</f>
        <v>31.748588765712199</v>
      </c>
      <c r="L20">
        <f>I20</f>
        <v>18.370008043036297</v>
      </c>
      <c r="M20">
        <f t="shared" si="0"/>
        <v>-13.378580722675903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18.329923454917498</v>
      </c>
      <c r="E21">
        <v>32.737327378984098</v>
      </c>
      <c r="F21" t="s">
        <v>52</v>
      </c>
      <c r="G21" s="11" t="s">
        <v>8</v>
      </c>
      <c r="H21">
        <v>1703</v>
      </c>
      <c r="I21">
        <f t="shared" ref="I21:J21" si="20">I20</f>
        <v>18.370008043036297</v>
      </c>
      <c r="J21">
        <f t="shared" si="20"/>
        <v>6.847527505238872E-2</v>
      </c>
      <c r="K21">
        <f>I8</f>
        <v>31.748588765712199</v>
      </c>
      <c r="L21">
        <f>I20</f>
        <v>18.370008043036297</v>
      </c>
      <c r="M21">
        <f t="shared" si="0"/>
        <v>-13.378580722675903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18.331026760111499</v>
      </c>
      <c r="E22" t="s">
        <v>141</v>
      </c>
      <c r="F22" t="s">
        <v>53</v>
      </c>
      <c r="G22" s="11" t="s">
        <v>8</v>
      </c>
      <c r="H22">
        <v>1703</v>
      </c>
      <c r="I22">
        <f t="shared" ref="I22:J22" si="21">I20</f>
        <v>18.370008043036297</v>
      </c>
      <c r="J22">
        <f t="shared" si="21"/>
        <v>6.847527505238872E-2</v>
      </c>
      <c r="K22">
        <f>I8</f>
        <v>31.748588765712199</v>
      </c>
      <c r="L22">
        <f>I20</f>
        <v>18.370008043036297</v>
      </c>
      <c r="M22">
        <f t="shared" si="0"/>
        <v>-13.378580722675903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12.9092988842027</v>
      </c>
      <c r="E23">
        <v>12.9092988842027</v>
      </c>
      <c r="F23" t="s">
        <v>54</v>
      </c>
      <c r="G23" s="1" t="s">
        <v>21</v>
      </c>
      <c r="H23">
        <v>1703</v>
      </c>
      <c r="I23">
        <f t="shared" ref="I23" si="22">AVERAGE(D23:D25)</f>
        <v>12.722260081993749</v>
      </c>
      <c r="J23">
        <f t="shared" ref="J23" si="23">STDEV(D23:D25)</f>
        <v>0.26451281077391614</v>
      </c>
      <c r="K23">
        <f>I8</f>
        <v>31.748588765712199</v>
      </c>
      <c r="L23">
        <f>I20</f>
        <v>18.370008043036297</v>
      </c>
      <c r="M23">
        <f t="shared" si="0"/>
        <v>-19.02632868371845</v>
      </c>
      <c r="N23">
        <f t="shared" si="1"/>
        <v>-5.6477479610425476</v>
      </c>
    </row>
    <row r="24" spans="1:14" x14ac:dyDescent="0.2">
      <c r="A24" t="s">
        <v>55</v>
      </c>
      <c r="B24" t="s">
        <v>129</v>
      </c>
      <c r="C24" t="s">
        <v>32</v>
      </c>
      <c r="E24">
        <v>21.842843418125199</v>
      </c>
      <c r="F24" t="s">
        <v>55</v>
      </c>
      <c r="G24" s="1" t="s">
        <v>21</v>
      </c>
      <c r="H24">
        <v>1703</v>
      </c>
      <c r="I24">
        <f t="shared" ref="I24:J25" si="24">I23</f>
        <v>12.722260081993749</v>
      </c>
      <c r="J24">
        <f t="shared" si="24"/>
        <v>0.26451281077391614</v>
      </c>
      <c r="K24">
        <f>I8</f>
        <v>31.748588765712199</v>
      </c>
      <c r="L24">
        <f>I20</f>
        <v>18.370008043036297</v>
      </c>
      <c r="M24">
        <f t="shared" si="0"/>
        <v>-19.02632868371845</v>
      </c>
      <c r="N24">
        <f t="shared" si="1"/>
        <v>-5.6477479610425476</v>
      </c>
    </row>
    <row r="25" spans="1:14" x14ac:dyDescent="0.2">
      <c r="A25" t="s">
        <v>56</v>
      </c>
      <c r="B25" t="s">
        <v>129</v>
      </c>
      <c r="C25" t="s">
        <v>32</v>
      </c>
      <c r="D25">
        <v>12.5352212797848</v>
      </c>
      <c r="E25">
        <v>12.5352212797848</v>
      </c>
      <c r="F25" t="s">
        <v>56</v>
      </c>
      <c r="G25" s="1" t="s">
        <v>21</v>
      </c>
      <c r="H25">
        <v>1703</v>
      </c>
      <c r="I25">
        <f t="shared" si="24"/>
        <v>12.722260081993749</v>
      </c>
      <c r="J25">
        <f t="shared" ref="J25" si="25">J23</f>
        <v>0.26451281077391614</v>
      </c>
      <c r="K25">
        <f>I8</f>
        <v>31.748588765712199</v>
      </c>
      <c r="L25">
        <f>I20</f>
        <v>18.370008043036297</v>
      </c>
      <c r="M25">
        <f t="shared" si="0"/>
        <v>-19.02632868371845</v>
      </c>
      <c r="N25">
        <f t="shared" si="1"/>
        <v>-5.6477479610425476</v>
      </c>
    </row>
    <row r="26" spans="1:14" x14ac:dyDescent="0.2">
      <c r="A26" t="s">
        <v>57</v>
      </c>
      <c r="B26" t="s">
        <v>129</v>
      </c>
      <c r="C26" t="s">
        <v>32</v>
      </c>
      <c r="E26" t="s">
        <v>141</v>
      </c>
      <c r="F26" t="s">
        <v>57</v>
      </c>
      <c r="G26" s="4" t="s">
        <v>14</v>
      </c>
      <c r="H26">
        <v>1702</v>
      </c>
      <c r="I26">
        <f t="shared" ref="I26" si="26">AVERAGE(D26:D28)</f>
        <v>32.105558089922454</v>
      </c>
      <c r="J26">
        <f t="shared" ref="J26" si="27">STDEV(D26:D28)</f>
        <v>0.31932932791742019</v>
      </c>
      <c r="K26">
        <f>I2</f>
        <v>29.744974230693099</v>
      </c>
      <c r="L26">
        <f>I14</f>
        <v>15.702167087090499</v>
      </c>
      <c r="M26">
        <f t="shared" si="0"/>
        <v>2.3605838592293544</v>
      </c>
      <c r="N26">
        <f t="shared" si="1"/>
        <v>16.403391002831953</v>
      </c>
    </row>
    <row r="27" spans="1:14" x14ac:dyDescent="0.2">
      <c r="A27" t="s">
        <v>58</v>
      </c>
      <c r="B27" t="s">
        <v>129</v>
      </c>
      <c r="C27" t="s">
        <v>32</v>
      </c>
      <c r="D27">
        <v>31.8797581567203</v>
      </c>
      <c r="E27">
        <v>31.8797581567203</v>
      </c>
      <c r="F27" t="s">
        <v>58</v>
      </c>
      <c r="G27" s="4" t="s">
        <v>14</v>
      </c>
      <c r="H27">
        <v>1702</v>
      </c>
      <c r="I27">
        <f t="shared" ref="I27:J27" si="28">I26</f>
        <v>32.105558089922454</v>
      </c>
      <c r="J27">
        <f t="shared" si="28"/>
        <v>0.31932932791742019</v>
      </c>
      <c r="K27">
        <f>I2</f>
        <v>29.744974230693099</v>
      </c>
      <c r="L27">
        <f>I14</f>
        <v>15.702167087090499</v>
      </c>
      <c r="M27">
        <f t="shared" si="0"/>
        <v>2.3605838592293544</v>
      </c>
      <c r="N27">
        <f t="shared" si="1"/>
        <v>16.403391002831953</v>
      </c>
    </row>
    <row r="28" spans="1:14" x14ac:dyDescent="0.2">
      <c r="A28" t="s">
        <v>59</v>
      </c>
      <c r="B28" t="s">
        <v>129</v>
      </c>
      <c r="C28" t="s">
        <v>32</v>
      </c>
      <c r="D28">
        <v>32.331358023124601</v>
      </c>
      <c r="E28">
        <v>32.331358023124601</v>
      </c>
      <c r="F28" t="s">
        <v>59</v>
      </c>
      <c r="G28" s="4" t="s">
        <v>14</v>
      </c>
      <c r="H28">
        <v>1702</v>
      </c>
      <c r="I28">
        <f t="shared" ref="I28:J28" si="29">I26</f>
        <v>32.105558089922454</v>
      </c>
      <c r="J28">
        <f t="shared" si="29"/>
        <v>0.31932932791742019</v>
      </c>
      <c r="K28">
        <f>I2</f>
        <v>29.744974230693099</v>
      </c>
      <c r="L28">
        <f>I14</f>
        <v>15.702167087090499</v>
      </c>
      <c r="M28">
        <f t="shared" si="0"/>
        <v>2.3605838592293544</v>
      </c>
      <c r="N28">
        <f t="shared" si="1"/>
        <v>16.403391002831953</v>
      </c>
    </row>
    <row r="29" spans="1:14" x14ac:dyDescent="0.2">
      <c r="A29" t="s">
        <v>60</v>
      </c>
      <c r="B29" t="s">
        <v>129</v>
      </c>
      <c r="C29" t="s">
        <v>32</v>
      </c>
      <c r="D29">
        <v>31.583559445593401</v>
      </c>
      <c r="E29">
        <v>31.583559445593401</v>
      </c>
      <c r="F29" t="s">
        <v>60</v>
      </c>
      <c r="G29" s="1" t="s">
        <v>23</v>
      </c>
      <c r="H29">
        <v>1702</v>
      </c>
      <c r="I29">
        <f t="shared" ref="I29" si="30">AVERAGE(D29:D31)</f>
        <v>31.703905459453001</v>
      </c>
      <c r="J29">
        <f t="shared" ref="J29" si="31">STDEV(D29:D31)</f>
        <v>0.1701949649777858</v>
      </c>
      <c r="K29">
        <f>I2</f>
        <v>29.744974230693099</v>
      </c>
      <c r="L29">
        <f>I14</f>
        <v>15.702167087090499</v>
      </c>
      <c r="M29">
        <f t="shared" si="0"/>
        <v>1.9589312287599014</v>
      </c>
      <c r="N29">
        <f t="shared" si="1"/>
        <v>16.001738372362503</v>
      </c>
    </row>
    <row r="30" spans="1:14" x14ac:dyDescent="0.2">
      <c r="A30" t="s">
        <v>61</v>
      </c>
      <c r="B30" t="s">
        <v>129</v>
      </c>
      <c r="C30" t="s">
        <v>32</v>
      </c>
      <c r="E30">
        <v>33.430464696975797</v>
      </c>
      <c r="F30" t="s">
        <v>61</v>
      </c>
      <c r="G30" s="1" t="s">
        <v>23</v>
      </c>
      <c r="H30">
        <v>1702</v>
      </c>
      <c r="I30">
        <f t="shared" ref="I30:J31" si="32">I29</f>
        <v>31.703905459453001</v>
      </c>
      <c r="J30">
        <f t="shared" si="32"/>
        <v>0.1701949649777858</v>
      </c>
      <c r="K30">
        <f>I2</f>
        <v>29.744974230693099</v>
      </c>
      <c r="L30">
        <f>I14</f>
        <v>15.702167087090499</v>
      </c>
      <c r="M30">
        <f t="shared" si="0"/>
        <v>1.9589312287599014</v>
      </c>
      <c r="N30">
        <f t="shared" si="1"/>
        <v>16.001738372362503</v>
      </c>
    </row>
    <row r="31" spans="1:14" x14ac:dyDescent="0.2">
      <c r="A31" t="s">
        <v>62</v>
      </c>
      <c r="B31" t="s">
        <v>129</v>
      </c>
      <c r="C31" t="s">
        <v>32</v>
      </c>
      <c r="D31">
        <v>31.8242514733126</v>
      </c>
      <c r="E31">
        <v>31.8242514733126</v>
      </c>
      <c r="F31" t="s">
        <v>62</v>
      </c>
      <c r="G31" s="1" t="s">
        <v>23</v>
      </c>
      <c r="H31">
        <v>1702</v>
      </c>
      <c r="I31">
        <f t="shared" si="32"/>
        <v>31.703905459453001</v>
      </c>
      <c r="J31">
        <f t="shared" ref="J31" si="33">J29</f>
        <v>0.1701949649777858</v>
      </c>
      <c r="K31">
        <f>I2</f>
        <v>29.744974230693099</v>
      </c>
      <c r="L31">
        <f>I14</f>
        <v>15.702167087090499</v>
      </c>
      <c r="M31">
        <f t="shared" si="0"/>
        <v>1.9589312287599014</v>
      </c>
      <c r="N31">
        <f t="shared" si="1"/>
        <v>16.001738372362503</v>
      </c>
    </row>
    <row r="32" spans="1:14" s="17" customFormat="1" x14ac:dyDescent="0.2">
      <c r="A32" s="17" t="s">
        <v>63</v>
      </c>
      <c r="B32" s="17" t="s">
        <v>129</v>
      </c>
      <c r="C32" s="17" t="s">
        <v>32</v>
      </c>
      <c r="E32" s="17">
        <v>28.623504895979</v>
      </c>
      <c r="F32" s="17" t="s">
        <v>63</v>
      </c>
      <c r="G32" s="20" t="s">
        <v>14</v>
      </c>
      <c r="H32" s="17">
        <v>1703</v>
      </c>
      <c r="I32" s="17" t="e">
        <f t="shared" ref="I32" si="34">AVERAGE(D32:D34)</f>
        <v>#DIV/0!</v>
      </c>
      <c r="J32" s="17" t="e">
        <f t="shared" ref="J32" si="35">STDEV(D32:D34)</f>
        <v>#DIV/0!</v>
      </c>
      <c r="K32" s="17">
        <f>I8</f>
        <v>31.748588765712199</v>
      </c>
      <c r="L32" s="17">
        <f>I20</f>
        <v>18.370008043036297</v>
      </c>
      <c r="M32" s="17" t="e">
        <f t="shared" si="0"/>
        <v>#DIV/0!</v>
      </c>
      <c r="N32" s="17" t="e">
        <f t="shared" si="1"/>
        <v>#DIV/0!</v>
      </c>
    </row>
    <row r="33" spans="1:14" s="17" customFormat="1" x14ac:dyDescent="0.2">
      <c r="A33" s="17" t="s">
        <v>64</v>
      </c>
      <c r="B33" s="17" t="s">
        <v>129</v>
      </c>
      <c r="C33" s="17" t="s">
        <v>32</v>
      </c>
      <c r="E33" s="17">
        <v>34.716877409591199</v>
      </c>
      <c r="F33" s="17" t="s">
        <v>64</v>
      </c>
      <c r="G33" s="20" t="s">
        <v>14</v>
      </c>
      <c r="H33" s="17">
        <v>1703</v>
      </c>
      <c r="I33" s="17" t="e">
        <f t="shared" ref="I33:J33" si="36">I32</f>
        <v>#DIV/0!</v>
      </c>
      <c r="J33" s="17" t="e">
        <f t="shared" si="36"/>
        <v>#DIV/0!</v>
      </c>
      <c r="K33" s="17">
        <f>I8</f>
        <v>31.748588765712199</v>
      </c>
      <c r="L33" s="17">
        <f>I20</f>
        <v>18.370008043036297</v>
      </c>
      <c r="M33" s="17" t="e">
        <f t="shared" si="0"/>
        <v>#DIV/0!</v>
      </c>
      <c r="N33" s="17" t="e">
        <f t="shared" si="1"/>
        <v>#DIV/0!</v>
      </c>
    </row>
    <row r="34" spans="1:14" s="17" customFormat="1" x14ac:dyDescent="0.2">
      <c r="A34" s="17" t="s">
        <v>65</v>
      </c>
      <c r="B34" s="17" t="s">
        <v>129</v>
      </c>
      <c r="C34" s="17" t="s">
        <v>32</v>
      </c>
      <c r="E34" s="17">
        <v>31.447856061700499</v>
      </c>
      <c r="F34" s="17" t="s">
        <v>65</v>
      </c>
      <c r="G34" s="20" t="s">
        <v>14</v>
      </c>
      <c r="H34" s="17">
        <v>1703</v>
      </c>
      <c r="I34" s="17" t="e">
        <f t="shared" ref="I34:J34" si="37">I32</f>
        <v>#DIV/0!</v>
      </c>
      <c r="J34" s="17" t="e">
        <f t="shared" si="37"/>
        <v>#DIV/0!</v>
      </c>
      <c r="K34" s="17">
        <f>I8</f>
        <v>31.748588765712199</v>
      </c>
      <c r="L34" s="17">
        <f>I20</f>
        <v>18.370008043036297</v>
      </c>
      <c r="M34" s="17" t="e">
        <f t="shared" si="0"/>
        <v>#DIV/0!</v>
      </c>
      <c r="N34" s="17" t="e">
        <f t="shared" si="1"/>
        <v>#DIV/0!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33.340512060957302</v>
      </c>
      <c r="F35" s="17" t="s">
        <v>66</v>
      </c>
      <c r="G35" s="19" t="s">
        <v>23</v>
      </c>
      <c r="H35" s="17">
        <v>1703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>
        <f>I8</f>
        <v>31.748588765712199</v>
      </c>
      <c r="L35" s="17">
        <f>I20</f>
        <v>18.370008043036297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32.007016866928097</v>
      </c>
      <c r="F36" s="17" t="s">
        <v>67</v>
      </c>
      <c r="G36" s="19" t="s">
        <v>23</v>
      </c>
      <c r="H36" s="17">
        <v>1703</v>
      </c>
      <c r="I36" s="17" t="e">
        <f t="shared" ref="I36:J37" si="40">I35</f>
        <v>#DIV/0!</v>
      </c>
      <c r="J36" s="17" t="e">
        <f t="shared" si="40"/>
        <v>#DIV/0!</v>
      </c>
      <c r="K36" s="17">
        <f>I8</f>
        <v>31.748588765712199</v>
      </c>
      <c r="L36" s="17">
        <f>I20</f>
        <v>18.370008043036297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 t="s">
        <v>141</v>
      </c>
      <c r="F37" s="17" t="s">
        <v>68</v>
      </c>
      <c r="G37" s="19" t="s">
        <v>23</v>
      </c>
      <c r="H37" s="17">
        <v>1703</v>
      </c>
      <c r="I37" s="17" t="e">
        <f t="shared" si="40"/>
        <v>#DIV/0!</v>
      </c>
      <c r="J37" s="17" t="e">
        <f t="shared" ref="J37" si="41">J35</f>
        <v>#DIV/0!</v>
      </c>
      <c r="K37" s="17">
        <f>I8</f>
        <v>31.748588765712199</v>
      </c>
      <c r="L37" s="17">
        <f>I20</f>
        <v>18.370008043036297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D38">
        <v>29.921705547398901</v>
      </c>
      <c r="E38">
        <v>29.921705547398901</v>
      </c>
      <c r="F38" t="s">
        <v>69</v>
      </c>
      <c r="G38" s="4" t="s">
        <v>15</v>
      </c>
      <c r="H38">
        <v>1702</v>
      </c>
      <c r="I38">
        <f t="shared" ref="I38" si="42">AVERAGE(D38:D40)</f>
        <v>29.874763750126466</v>
      </c>
      <c r="J38">
        <f t="shared" ref="J38" si="43">STDEV(D38:D40)</f>
        <v>0.12661698416229017</v>
      </c>
      <c r="K38">
        <f>I2</f>
        <v>29.744974230693099</v>
      </c>
      <c r="L38">
        <f>I14</f>
        <v>15.702167087090499</v>
      </c>
      <c r="M38">
        <f t="shared" si="0"/>
        <v>0.12978951943336625</v>
      </c>
      <c r="N38">
        <f t="shared" si="1"/>
        <v>14.172596663035966</v>
      </c>
    </row>
    <row r="39" spans="1:14" x14ac:dyDescent="0.2">
      <c r="A39" t="s">
        <v>70</v>
      </c>
      <c r="B39" t="s">
        <v>129</v>
      </c>
      <c r="C39" t="s">
        <v>32</v>
      </c>
      <c r="D39">
        <v>29.971206201164001</v>
      </c>
      <c r="E39">
        <v>29.971206201164001</v>
      </c>
      <c r="F39" t="s">
        <v>70</v>
      </c>
      <c r="G39" s="4" t="s">
        <v>15</v>
      </c>
      <c r="H39">
        <v>1702</v>
      </c>
      <c r="I39">
        <f t="shared" ref="I39:J39" si="44">I38</f>
        <v>29.874763750126466</v>
      </c>
      <c r="J39">
        <f t="shared" si="44"/>
        <v>0.12661698416229017</v>
      </c>
      <c r="K39">
        <f>I2</f>
        <v>29.744974230693099</v>
      </c>
      <c r="L39">
        <f>I14</f>
        <v>15.702167087090499</v>
      </c>
      <c r="M39">
        <f t="shared" si="0"/>
        <v>0.12978951943336625</v>
      </c>
      <c r="N39">
        <f t="shared" si="1"/>
        <v>14.172596663035966</v>
      </c>
    </row>
    <row r="40" spans="1:14" x14ac:dyDescent="0.2">
      <c r="A40" t="s">
        <v>71</v>
      </c>
      <c r="B40" t="s">
        <v>129</v>
      </c>
      <c r="C40" t="s">
        <v>32</v>
      </c>
      <c r="D40">
        <v>29.731379501816502</v>
      </c>
      <c r="E40">
        <v>29.731379501816502</v>
      </c>
      <c r="F40" t="s">
        <v>71</v>
      </c>
      <c r="G40" s="4" t="s">
        <v>15</v>
      </c>
      <c r="H40">
        <v>1702</v>
      </c>
      <c r="I40">
        <f t="shared" ref="I40:J40" si="45">I38</f>
        <v>29.874763750126466</v>
      </c>
      <c r="J40">
        <f t="shared" si="45"/>
        <v>0.12661698416229017</v>
      </c>
      <c r="K40">
        <f>I2</f>
        <v>29.744974230693099</v>
      </c>
      <c r="L40">
        <f>I14</f>
        <v>15.702167087090499</v>
      </c>
      <c r="M40">
        <f t="shared" si="0"/>
        <v>0.12978951943336625</v>
      </c>
      <c r="N40">
        <f t="shared" si="1"/>
        <v>14.172596663035966</v>
      </c>
    </row>
    <row r="41" spans="1:14" s="17" customFormat="1" x14ac:dyDescent="0.2">
      <c r="A41" s="17" t="s">
        <v>72</v>
      </c>
      <c r="B41" s="17" t="s">
        <v>129</v>
      </c>
      <c r="C41" s="17" t="s">
        <v>32</v>
      </c>
      <c r="E41" s="17">
        <v>30.729191882983599</v>
      </c>
      <c r="F41" s="17" t="s">
        <v>72</v>
      </c>
      <c r="G41" s="19" t="s">
        <v>22</v>
      </c>
      <c r="H41" s="17">
        <v>1702</v>
      </c>
      <c r="I41" s="17" t="e">
        <f t="shared" ref="I41" si="46">AVERAGE(D41:D43)</f>
        <v>#DIV/0!</v>
      </c>
      <c r="J41" s="17" t="e">
        <f t="shared" ref="J41" si="47">STDEV(D41:D43)</f>
        <v>#DIV/0!</v>
      </c>
      <c r="K41" s="17">
        <f>I2</f>
        <v>29.744974230693099</v>
      </c>
      <c r="L41" s="17">
        <f>I14</f>
        <v>15.702167087090499</v>
      </c>
      <c r="M41" s="17" t="e">
        <f t="shared" si="0"/>
        <v>#DIV/0!</v>
      </c>
      <c r="N41" s="17" t="e">
        <f t="shared" si="1"/>
        <v>#DIV/0!</v>
      </c>
    </row>
    <row r="42" spans="1:14" s="17" customFormat="1" x14ac:dyDescent="0.2">
      <c r="A42" s="17" t="s">
        <v>73</v>
      </c>
      <c r="B42" s="17" t="s">
        <v>129</v>
      </c>
      <c r="C42" s="17" t="s">
        <v>32</v>
      </c>
      <c r="E42" s="17">
        <v>31.684882607471302</v>
      </c>
      <c r="F42" s="17" t="s">
        <v>73</v>
      </c>
      <c r="G42" s="19" t="s">
        <v>22</v>
      </c>
      <c r="H42" s="17">
        <v>1702</v>
      </c>
      <c r="I42" s="17" t="e">
        <f t="shared" ref="I42:J43" si="48">I41</f>
        <v>#DIV/0!</v>
      </c>
      <c r="J42" s="17" t="e">
        <f t="shared" si="48"/>
        <v>#DIV/0!</v>
      </c>
      <c r="K42" s="17">
        <f>I2</f>
        <v>29.744974230693099</v>
      </c>
      <c r="L42" s="17">
        <f>I14</f>
        <v>15.702167087090499</v>
      </c>
      <c r="M42" s="17" t="e">
        <f t="shared" si="0"/>
        <v>#DIV/0!</v>
      </c>
      <c r="N42" s="17" t="e">
        <f t="shared" si="1"/>
        <v>#DIV/0!</v>
      </c>
    </row>
    <row r="43" spans="1:14" s="17" customFormat="1" x14ac:dyDescent="0.2">
      <c r="A43" s="17" t="s">
        <v>74</v>
      </c>
      <c r="B43" s="17" t="s">
        <v>129</v>
      </c>
      <c r="C43" s="17" t="s">
        <v>32</v>
      </c>
      <c r="E43" s="17">
        <v>29.8867543210396</v>
      </c>
      <c r="F43" s="17" t="s">
        <v>74</v>
      </c>
      <c r="G43" s="19" t="s">
        <v>22</v>
      </c>
      <c r="H43" s="17">
        <v>1702</v>
      </c>
      <c r="I43" s="17" t="e">
        <f t="shared" si="48"/>
        <v>#DIV/0!</v>
      </c>
      <c r="J43" s="17" t="e">
        <f t="shared" ref="J43" si="49">J41</f>
        <v>#DIV/0!</v>
      </c>
      <c r="K43" s="17">
        <f>I2</f>
        <v>29.744974230693099</v>
      </c>
      <c r="L43" s="17">
        <f>I14</f>
        <v>15.702167087090499</v>
      </c>
      <c r="M43" s="17" t="e">
        <f t="shared" si="0"/>
        <v>#DIV/0!</v>
      </c>
      <c r="N43" s="17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D44">
        <v>31.5131611746875</v>
      </c>
      <c r="E44">
        <v>31.5131611746875</v>
      </c>
      <c r="F44" t="s">
        <v>75</v>
      </c>
      <c r="G44" s="4" t="s">
        <v>15</v>
      </c>
      <c r="H44">
        <v>1703</v>
      </c>
      <c r="I44">
        <f t="shared" ref="I44" si="50">AVERAGE(D44:D46)</f>
        <v>31.604516729738101</v>
      </c>
      <c r="J44">
        <f t="shared" ref="J44" si="51">STDEV(D44:D46)</f>
        <v>0.12919626495067948</v>
      </c>
      <c r="K44">
        <f>I8</f>
        <v>31.748588765712199</v>
      </c>
      <c r="L44">
        <f>I20</f>
        <v>18.370008043036297</v>
      </c>
      <c r="M44">
        <f t="shared" si="0"/>
        <v>-0.1440720359740979</v>
      </c>
      <c r="N44">
        <f t="shared" si="1"/>
        <v>13.234508686701805</v>
      </c>
    </row>
    <row r="45" spans="1:14" x14ac:dyDescent="0.2">
      <c r="A45" t="s">
        <v>76</v>
      </c>
      <c r="B45" t="s">
        <v>129</v>
      </c>
      <c r="C45" t="s">
        <v>32</v>
      </c>
      <c r="D45">
        <v>31.695872284788699</v>
      </c>
      <c r="E45">
        <v>31.695872284788699</v>
      </c>
      <c r="F45" t="s">
        <v>76</v>
      </c>
      <c r="G45" s="4" t="s">
        <v>15</v>
      </c>
      <c r="H45">
        <v>1703</v>
      </c>
      <c r="I45">
        <f t="shared" ref="I45:J45" si="52">I44</f>
        <v>31.604516729738101</v>
      </c>
      <c r="J45">
        <f t="shared" si="52"/>
        <v>0.12919626495067948</v>
      </c>
      <c r="K45">
        <f>I8</f>
        <v>31.748588765712199</v>
      </c>
      <c r="L45">
        <f>I20</f>
        <v>18.370008043036297</v>
      </c>
      <c r="M45">
        <f t="shared" si="0"/>
        <v>-0.1440720359740979</v>
      </c>
      <c r="N45">
        <f t="shared" si="1"/>
        <v>13.234508686701805</v>
      </c>
    </row>
    <row r="46" spans="1:14" x14ac:dyDescent="0.2">
      <c r="A46" t="s">
        <v>77</v>
      </c>
      <c r="B46" t="s">
        <v>129</v>
      </c>
      <c r="C46" t="s">
        <v>32</v>
      </c>
      <c r="E46">
        <v>33.720150511470003</v>
      </c>
      <c r="F46" t="s">
        <v>77</v>
      </c>
      <c r="G46" s="4" t="s">
        <v>15</v>
      </c>
      <c r="H46">
        <v>1703</v>
      </c>
      <c r="I46">
        <f t="shared" ref="I46:J46" si="53">I44</f>
        <v>31.604516729738101</v>
      </c>
      <c r="J46">
        <f t="shared" si="53"/>
        <v>0.12919626495067948</v>
      </c>
      <c r="K46">
        <f>I8</f>
        <v>31.748588765712199</v>
      </c>
      <c r="L46">
        <f>I20</f>
        <v>18.370008043036297</v>
      </c>
      <c r="M46">
        <f t="shared" si="0"/>
        <v>-0.1440720359740979</v>
      </c>
      <c r="N46">
        <f t="shared" si="1"/>
        <v>13.234508686701805</v>
      </c>
    </row>
    <row r="47" spans="1:14" x14ac:dyDescent="0.2">
      <c r="A47" t="s">
        <v>78</v>
      </c>
      <c r="B47" t="s">
        <v>129</v>
      </c>
      <c r="C47" t="s">
        <v>32</v>
      </c>
      <c r="D47">
        <v>33.347133373592797</v>
      </c>
      <c r="E47">
        <v>33.347133373592797</v>
      </c>
      <c r="F47" t="s">
        <v>78</v>
      </c>
      <c r="G47" s="1" t="s">
        <v>22</v>
      </c>
      <c r="H47">
        <v>1703</v>
      </c>
      <c r="I47">
        <f t="shared" ref="I47" si="54">AVERAGE(D47:D49)</f>
        <v>33.071871926791147</v>
      </c>
      <c r="J47">
        <f t="shared" ref="J47" si="55">STDEV(D47:D49)</f>
        <v>0.38927847126532905</v>
      </c>
      <c r="K47">
        <f>I8</f>
        <v>31.748588765712199</v>
      </c>
      <c r="L47">
        <f>I20</f>
        <v>18.370008043036297</v>
      </c>
      <c r="M47">
        <f t="shared" si="0"/>
        <v>1.3232831610789475</v>
      </c>
      <c r="N47">
        <f t="shared" si="1"/>
        <v>14.70186388375485</v>
      </c>
    </row>
    <row r="48" spans="1:14" x14ac:dyDescent="0.2">
      <c r="A48" t="s">
        <v>79</v>
      </c>
      <c r="B48" t="s">
        <v>129</v>
      </c>
      <c r="C48" t="s">
        <v>32</v>
      </c>
      <c r="E48">
        <v>36.087366835414997</v>
      </c>
      <c r="F48" t="s">
        <v>79</v>
      </c>
      <c r="G48" s="1" t="s">
        <v>22</v>
      </c>
      <c r="H48">
        <v>1703</v>
      </c>
      <c r="I48">
        <f t="shared" ref="I48:J49" si="56">I47</f>
        <v>33.071871926791147</v>
      </c>
      <c r="J48">
        <f t="shared" si="56"/>
        <v>0.38927847126532905</v>
      </c>
      <c r="K48">
        <f>I8</f>
        <v>31.748588765712199</v>
      </c>
      <c r="L48">
        <f>I20</f>
        <v>18.370008043036297</v>
      </c>
      <c r="M48">
        <f t="shared" si="0"/>
        <v>1.3232831610789475</v>
      </c>
      <c r="N48">
        <f t="shared" si="1"/>
        <v>14.70186388375485</v>
      </c>
    </row>
    <row r="49" spans="1:14" x14ac:dyDescent="0.2">
      <c r="A49" t="s">
        <v>80</v>
      </c>
      <c r="B49" t="s">
        <v>129</v>
      </c>
      <c r="C49" t="s">
        <v>32</v>
      </c>
      <c r="D49">
        <v>32.796610479989504</v>
      </c>
      <c r="E49">
        <v>32.796610479989504</v>
      </c>
      <c r="F49" t="s">
        <v>80</v>
      </c>
      <c r="G49" s="1" t="s">
        <v>22</v>
      </c>
      <c r="H49">
        <v>1703</v>
      </c>
      <c r="I49">
        <f t="shared" si="56"/>
        <v>33.071871926791147</v>
      </c>
      <c r="J49">
        <f t="shared" ref="J49" si="57">J47</f>
        <v>0.38927847126532905</v>
      </c>
      <c r="K49">
        <f>I8</f>
        <v>31.748588765712199</v>
      </c>
      <c r="L49">
        <f>I20</f>
        <v>18.370008043036297</v>
      </c>
      <c r="M49">
        <f t="shared" si="0"/>
        <v>1.3232831610789475</v>
      </c>
      <c r="N49">
        <f t="shared" si="1"/>
        <v>14.70186388375485</v>
      </c>
    </row>
    <row r="50" spans="1:14" x14ac:dyDescent="0.2">
      <c r="A50" t="s">
        <v>81</v>
      </c>
      <c r="B50" t="s">
        <v>129</v>
      </c>
      <c r="C50" t="s">
        <v>32</v>
      </c>
      <c r="D50">
        <v>29.1379862866848</v>
      </c>
      <c r="E50">
        <v>29.1379862866848</v>
      </c>
      <c r="F50" t="s">
        <v>81</v>
      </c>
      <c r="G50" s="4" t="s">
        <v>16</v>
      </c>
      <c r="H50">
        <v>1702</v>
      </c>
      <c r="I50">
        <f t="shared" ref="I50" si="58">AVERAGE(D50:D52)</f>
        <v>29.119977951274599</v>
      </c>
      <c r="J50">
        <f t="shared" ref="J50" si="59">STDEV(D50:D52)</f>
        <v>2.5467632172867353E-2</v>
      </c>
      <c r="K50">
        <f>I2</f>
        <v>29.744974230693099</v>
      </c>
      <c r="L50">
        <f>I14</f>
        <v>15.702167087090499</v>
      </c>
      <c r="M50">
        <f t="shared" si="0"/>
        <v>-0.62499627941850022</v>
      </c>
      <c r="N50">
        <f t="shared" si="1"/>
        <v>13.4178108641841</v>
      </c>
    </row>
    <row r="51" spans="1:14" x14ac:dyDescent="0.2">
      <c r="A51" t="s">
        <v>82</v>
      </c>
      <c r="B51" t="s">
        <v>129</v>
      </c>
      <c r="C51" t="s">
        <v>32</v>
      </c>
      <c r="D51">
        <v>29.101969615864402</v>
      </c>
      <c r="E51">
        <v>29.101969615864402</v>
      </c>
      <c r="F51" t="s">
        <v>82</v>
      </c>
      <c r="G51" s="4" t="s">
        <v>16</v>
      </c>
      <c r="H51">
        <v>1702</v>
      </c>
      <c r="I51">
        <f t="shared" ref="I51:J51" si="60">I50</f>
        <v>29.119977951274599</v>
      </c>
      <c r="J51">
        <f t="shared" si="60"/>
        <v>2.5467632172867353E-2</v>
      </c>
      <c r="K51">
        <f>I2</f>
        <v>29.744974230693099</v>
      </c>
      <c r="L51">
        <f>I14</f>
        <v>15.702167087090499</v>
      </c>
      <c r="M51">
        <f t="shared" si="0"/>
        <v>-0.62499627941850022</v>
      </c>
      <c r="N51">
        <f t="shared" si="1"/>
        <v>13.4178108641841</v>
      </c>
    </row>
    <row r="52" spans="1:14" x14ac:dyDescent="0.2">
      <c r="A52" t="s">
        <v>83</v>
      </c>
      <c r="B52" t="s">
        <v>129</v>
      </c>
      <c r="C52" t="s">
        <v>32</v>
      </c>
      <c r="E52">
        <v>29.7868402045059</v>
      </c>
      <c r="F52" t="s">
        <v>83</v>
      </c>
      <c r="G52" s="4" t="s">
        <v>16</v>
      </c>
      <c r="H52">
        <v>1702</v>
      </c>
      <c r="I52">
        <f t="shared" ref="I52:J52" si="61">I50</f>
        <v>29.119977951274599</v>
      </c>
      <c r="J52">
        <f t="shared" si="61"/>
        <v>2.5467632172867353E-2</v>
      </c>
      <c r="K52">
        <f>I2</f>
        <v>29.744974230693099</v>
      </c>
      <c r="L52">
        <f>I14</f>
        <v>15.702167087090499</v>
      </c>
      <c r="M52">
        <f t="shared" si="0"/>
        <v>-0.62499627941850022</v>
      </c>
      <c r="N52">
        <f t="shared" si="1"/>
        <v>13.4178108641841</v>
      </c>
    </row>
    <row r="53" spans="1:14" x14ac:dyDescent="0.2">
      <c r="A53" t="s">
        <v>84</v>
      </c>
      <c r="B53" t="s">
        <v>129</v>
      </c>
      <c r="C53" t="s">
        <v>32</v>
      </c>
      <c r="D53">
        <v>29.328008730867101</v>
      </c>
      <c r="E53">
        <v>29.328008730867101</v>
      </c>
      <c r="F53" t="s">
        <v>84</v>
      </c>
      <c r="G53" s="1" t="s">
        <v>24</v>
      </c>
      <c r="H53">
        <v>1702</v>
      </c>
      <c r="I53">
        <f t="shared" ref="I53" si="62">AVERAGE(D53:D55)</f>
        <v>29.259142724870099</v>
      </c>
      <c r="J53">
        <f t="shared" ref="J53" si="63">STDEV(D53:D55)</f>
        <v>0.1442515036760556</v>
      </c>
      <c r="K53">
        <f>I2</f>
        <v>29.744974230693099</v>
      </c>
      <c r="L53">
        <f>I14</f>
        <v>15.702167087090499</v>
      </c>
      <c r="M53">
        <f t="shared" si="0"/>
        <v>-0.4858315058230005</v>
      </c>
      <c r="N53">
        <f t="shared" si="1"/>
        <v>13.556975637779599</v>
      </c>
    </row>
    <row r="54" spans="1:14" x14ac:dyDescent="0.2">
      <c r="A54" t="s">
        <v>85</v>
      </c>
      <c r="B54" t="s">
        <v>129</v>
      </c>
      <c r="C54" t="s">
        <v>32</v>
      </c>
      <c r="D54">
        <v>29.356055072860201</v>
      </c>
      <c r="E54">
        <v>29.356055072860201</v>
      </c>
      <c r="F54" t="s">
        <v>85</v>
      </c>
      <c r="G54" s="1" t="s">
        <v>24</v>
      </c>
      <c r="H54">
        <v>1702</v>
      </c>
      <c r="I54">
        <f t="shared" ref="I54:J55" si="64">I53</f>
        <v>29.259142724870099</v>
      </c>
      <c r="J54">
        <f t="shared" si="64"/>
        <v>0.1442515036760556</v>
      </c>
      <c r="K54">
        <f>I2</f>
        <v>29.744974230693099</v>
      </c>
      <c r="L54">
        <f>I14</f>
        <v>15.702167087090499</v>
      </c>
      <c r="M54">
        <f t="shared" si="0"/>
        <v>-0.4858315058230005</v>
      </c>
      <c r="N54">
        <f t="shared" si="1"/>
        <v>13.556975637779599</v>
      </c>
    </row>
    <row r="55" spans="1:14" x14ac:dyDescent="0.2">
      <c r="A55" t="s">
        <v>86</v>
      </c>
      <c r="B55" t="s">
        <v>129</v>
      </c>
      <c r="C55" t="s">
        <v>32</v>
      </c>
      <c r="D55">
        <v>29.093364370882998</v>
      </c>
      <c r="E55">
        <v>29.093364370882998</v>
      </c>
      <c r="F55" t="s">
        <v>86</v>
      </c>
      <c r="G55" s="1" t="s">
        <v>24</v>
      </c>
      <c r="H55">
        <v>1702</v>
      </c>
      <c r="I55">
        <f t="shared" si="64"/>
        <v>29.259142724870099</v>
      </c>
      <c r="J55">
        <f t="shared" ref="J55" si="65">J53</f>
        <v>0.1442515036760556</v>
      </c>
      <c r="K55">
        <f>I2</f>
        <v>29.744974230693099</v>
      </c>
      <c r="L55">
        <f>I14</f>
        <v>15.702167087090499</v>
      </c>
      <c r="M55">
        <f t="shared" si="0"/>
        <v>-0.4858315058230005</v>
      </c>
      <c r="N55">
        <f t="shared" si="1"/>
        <v>13.556975637779599</v>
      </c>
    </row>
    <row r="56" spans="1:14" x14ac:dyDescent="0.2">
      <c r="A56" t="s">
        <v>87</v>
      </c>
      <c r="B56" t="s">
        <v>129</v>
      </c>
      <c r="C56" t="s">
        <v>32</v>
      </c>
      <c r="D56">
        <v>30.432237865351699</v>
      </c>
      <c r="E56">
        <v>30.432237865351699</v>
      </c>
      <c r="F56" t="s">
        <v>87</v>
      </c>
      <c r="G56" s="4" t="s">
        <v>16</v>
      </c>
      <c r="H56">
        <v>1703</v>
      </c>
      <c r="I56">
        <f t="shared" ref="I56" si="66">AVERAGE(D56:D58)</f>
        <v>30.521310128361698</v>
      </c>
      <c r="J56">
        <f t="shared" ref="J56" si="67">STDEV(D56:D58)</f>
        <v>0.12596720238000697</v>
      </c>
      <c r="K56">
        <f>I8</f>
        <v>31.748588765712199</v>
      </c>
      <c r="L56">
        <f>I20</f>
        <v>18.370008043036297</v>
      </c>
      <c r="M56">
        <f t="shared" si="0"/>
        <v>-1.2272786373505014</v>
      </c>
      <c r="N56">
        <f t="shared" si="1"/>
        <v>12.151302085325401</v>
      </c>
    </row>
    <row r="57" spans="1:14" x14ac:dyDescent="0.2">
      <c r="A57" t="s">
        <v>88</v>
      </c>
      <c r="B57" t="s">
        <v>129</v>
      </c>
      <c r="C57" t="s">
        <v>32</v>
      </c>
      <c r="D57">
        <v>30.610382391371701</v>
      </c>
      <c r="E57">
        <v>30.610382391371701</v>
      </c>
      <c r="F57" t="s">
        <v>88</v>
      </c>
      <c r="G57" s="4" t="s">
        <v>16</v>
      </c>
      <c r="H57">
        <v>1703</v>
      </c>
      <c r="I57">
        <f t="shared" ref="I57:J57" si="68">I56</f>
        <v>30.521310128361698</v>
      </c>
      <c r="J57">
        <f t="shared" si="68"/>
        <v>0.12596720238000697</v>
      </c>
      <c r="K57">
        <f>I8</f>
        <v>31.748588765712199</v>
      </c>
      <c r="L57">
        <f>I20</f>
        <v>18.370008043036297</v>
      </c>
      <c r="M57">
        <f t="shared" si="0"/>
        <v>-1.2272786373505014</v>
      </c>
      <c r="N57">
        <f t="shared" si="1"/>
        <v>12.151302085325401</v>
      </c>
    </row>
    <row r="58" spans="1:14" x14ac:dyDescent="0.2">
      <c r="A58" t="s">
        <v>89</v>
      </c>
      <c r="B58" t="s">
        <v>129</v>
      </c>
      <c r="C58" t="s">
        <v>32</v>
      </c>
      <c r="E58">
        <v>32.469954475016401</v>
      </c>
      <c r="F58" t="s">
        <v>89</v>
      </c>
      <c r="G58" s="4" t="s">
        <v>16</v>
      </c>
      <c r="H58">
        <v>1703</v>
      </c>
      <c r="I58">
        <f t="shared" ref="I58:J58" si="69">I56</f>
        <v>30.521310128361698</v>
      </c>
      <c r="J58">
        <f t="shared" si="69"/>
        <v>0.12596720238000697</v>
      </c>
      <c r="K58">
        <f>I8</f>
        <v>31.748588765712199</v>
      </c>
      <c r="L58">
        <f>I20</f>
        <v>18.370008043036297</v>
      </c>
      <c r="M58">
        <f t="shared" si="0"/>
        <v>-1.2272786373505014</v>
      </c>
      <c r="N58">
        <f t="shared" si="1"/>
        <v>12.151302085325401</v>
      </c>
    </row>
    <row r="59" spans="1:14" x14ac:dyDescent="0.2">
      <c r="A59" t="s">
        <v>90</v>
      </c>
      <c r="B59" t="s">
        <v>129</v>
      </c>
      <c r="C59" t="s">
        <v>32</v>
      </c>
      <c r="E59">
        <v>36.096758185505301</v>
      </c>
      <c r="F59" t="s">
        <v>90</v>
      </c>
      <c r="G59" s="1" t="s">
        <v>24</v>
      </c>
      <c r="H59">
        <v>1703</v>
      </c>
      <c r="I59">
        <f t="shared" ref="I59" si="70">AVERAGE(D59:D61)</f>
        <v>31.014782161686401</v>
      </c>
      <c r="J59">
        <f t="shared" ref="J59" si="71">STDEV(D59:D61)</f>
        <v>8.0527027763021273E-4</v>
      </c>
      <c r="K59">
        <f>I8</f>
        <v>31.748588765712199</v>
      </c>
      <c r="L59">
        <f>I20</f>
        <v>18.370008043036297</v>
      </c>
      <c r="M59">
        <f t="shared" si="0"/>
        <v>-0.73380660402579778</v>
      </c>
      <c r="N59">
        <f t="shared" si="1"/>
        <v>12.644774118650105</v>
      </c>
    </row>
    <row r="60" spans="1:14" x14ac:dyDescent="0.2">
      <c r="A60" t="s">
        <v>91</v>
      </c>
      <c r="B60" t="s">
        <v>129</v>
      </c>
      <c r="C60" t="s">
        <v>32</v>
      </c>
      <c r="D60">
        <v>31.014212749612401</v>
      </c>
      <c r="E60">
        <v>31.014212749612401</v>
      </c>
      <c r="F60" t="s">
        <v>91</v>
      </c>
      <c r="G60" s="1" t="s">
        <v>24</v>
      </c>
      <c r="H60">
        <v>1703</v>
      </c>
      <c r="I60">
        <f t="shared" ref="I60:J61" si="72">I59</f>
        <v>31.014782161686401</v>
      </c>
      <c r="J60">
        <f t="shared" si="72"/>
        <v>8.0527027763021273E-4</v>
      </c>
      <c r="K60">
        <f>I8</f>
        <v>31.748588765712199</v>
      </c>
      <c r="L60">
        <f>I20</f>
        <v>18.370008043036297</v>
      </c>
      <c r="M60">
        <f t="shared" si="0"/>
        <v>-0.73380660402579778</v>
      </c>
      <c r="N60">
        <f t="shared" si="1"/>
        <v>12.644774118650105</v>
      </c>
    </row>
    <row r="61" spans="1:14" x14ac:dyDescent="0.2">
      <c r="A61" t="s">
        <v>92</v>
      </c>
      <c r="B61" t="s">
        <v>129</v>
      </c>
      <c r="C61" t="s">
        <v>32</v>
      </c>
      <c r="D61">
        <v>31.015351573760402</v>
      </c>
      <c r="E61">
        <v>31.015351573760402</v>
      </c>
      <c r="F61" t="s">
        <v>92</v>
      </c>
      <c r="G61" s="1" t="s">
        <v>24</v>
      </c>
      <c r="H61">
        <v>1703</v>
      </c>
      <c r="I61">
        <f t="shared" si="72"/>
        <v>31.014782161686401</v>
      </c>
      <c r="J61">
        <f t="shared" ref="J61" si="73">J59</f>
        <v>8.0527027763021273E-4</v>
      </c>
      <c r="K61">
        <f>I8</f>
        <v>31.748588765712199</v>
      </c>
      <c r="L61">
        <f>I20</f>
        <v>18.370008043036297</v>
      </c>
      <c r="M61">
        <f t="shared" si="0"/>
        <v>-0.73380660402579778</v>
      </c>
      <c r="N61">
        <f t="shared" si="1"/>
        <v>12.644774118650105</v>
      </c>
    </row>
    <row r="62" spans="1:14" x14ac:dyDescent="0.2">
      <c r="A62" t="s">
        <v>93</v>
      </c>
      <c r="B62" t="s">
        <v>129</v>
      </c>
      <c r="C62" t="s">
        <v>32</v>
      </c>
      <c r="D62">
        <v>30.400153546077799</v>
      </c>
      <c r="E62">
        <v>30.400153546077799</v>
      </c>
      <c r="F62" t="s">
        <v>93</v>
      </c>
      <c r="G62" s="4" t="s">
        <v>17</v>
      </c>
      <c r="H62">
        <v>1702</v>
      </c>
      <c r="I62">
        <f t="shared" ref="I62" si="74">AVERAGE(D62:D64)</f>
        <v>30.646652024799099</v>
      </c>
      <c r="J62">
        <f t="shared" ref="J62" si="75">STDEV(D62:D64)</f>
        <v>0.348601491711998</v>
      </c>
      <c r="K62">
        <f>I2</f>
        <v>29.744974230693099</v>
      </c>
      <c r="L62">
        <f>I14</f>
        <v>15.702167087090499</v>
      </c>
      <c r="M62">
        <f t="shared" si="0"/>
        <v>0.90167779410599991</v>
      </c>
      <c r="N62">
        <f t="shared" si="1"/>
        <v>14.9444849377086</v>
      </c>
    </row>
    <row r="63" spans="1:14" x14ac:dyDescent="0.2">
      <c r="A63" t="s">
        <v>94</v>
      </c>
      <c r="B63" t="s">
        <v>129</v>
      </c>
      <c r="C63" t="s">
        <v>32</v>
      </c>
      <c r="E63">
        <v>29.835331045508699</v>
      </c>
      <c r="F63" t="s">
        <v>94</v>
      </c>
      <c r="G63" s="4" t="s">
        <v>17</v>
      </c>
      <c r="H63">
        <v>1702</v>
      </c>
      <c r="I63">
        <f t="shared" ref="I63:J63" si="76">I62</f>
        <v>30.646652024799099</v>
      </c>
      <c r="J63">
        <f t="shared" si="76"/>
        <v>0.348601491711998</v>
      </c>
      <c r="K63">
        <f>I2</f>
        <v>29.744974230693099</v>
      </c>
      <c r="L63">
        <f>I14</f>
        <v>15.702167087090499</v>
      </c>
      <c r="M63">
        <f t="shared" si="0"/>
        <v>0.90167779410599991</v>
      </c>
      <c r="N63">
        <f t="shared" si="1"/>
        <v>14.9444849377086</v>
      </c>
    </row>
    <row r="64" spans="1:14" x14ac:dyDescent="0.2">
      <c r="A64" t="s">
        <v>95</v>
      </c>
      <c r="B64" t="s">
        <v>129</v>
      </c>
      <c r="C64" t="s">
        <v>32</v>
      </c>
      <c r="D64">
        <v>30.893150503520399</v>
      </c>
      <c r="E64">
        <v>30.893150503520399</v>
      </c>
      <c r="F64" t="s">
        <v>95</v>
      </c>
      <c r="G64" s="4" t="s">
        <v>17</v>
      </c>
      <c r="H64">
        <v>1702</v>
      </c>
      <c r="I64">
        <f t="shared" ref="I64:J64" si="77">I62</f>
        <v>30.646652024799099</v>
      </c>
      <c r="J64">
        <f t="shared" si="77"/>
        <v>0.348601491711998</v>
      </c>
      <c r="K64">
        <f>I2</f>
        <v>29.744974230693099</v>
      </c>
      <c r="L64">
        <f>I14</f>
        <v>15.702167087090499</v>
      </c>
      <c r="M64">
        <f t="shared" si="0"/>
        <v>0.90167779410599991</v>
      </c>
      <c r="N64">
        <f t="shared" si="1"/>
        <v>14.9444849377086</v>
      </c>
    </row>
    <row r="65" spans="1:14" x14ac:dyDescent="0.2">
      <c r="A65" t="s">
        <v>96</v>
      </c>
      <c r="B65" t="s">
        <v>129</v>
      </c>
      <c r="C65" t="s">
        <v>32</v>
      </c>
      <c r="D65">
        <v>29.4178387897561</v>
      </c>
      <c r="E65">
        <v>29.4178387897561</v>
      </c>
      <c r="F65" t="s">
        <v>96</v>
      </c>
      <c r="G65" s="1" t="s">
        <v>25</v>
      </c>
      <c r="H65">
        <v>1702</v>
      </c>
      <c r="I65">
        <f t="shared" ref="I65" si="78">AVERAGE(D65:D67)</f>
        <v>29.441922664358071</v>
      </c>
      <c r="J65">
        <f t="shared" ref="J65" si="79">STDEV(D65:D67)</f>
        <v>5.7959179217121126E-2</v>
      </c>
      <c r="K65">
        <f>I2</f>
        <v>29.744974230693099</v>
      </c>
      <c r="L65">
        <f>I14</f>
        <v>15.702167087090499</v>
      </c>
      <c r="M65">
        <f t="shared" si="0"/>
        <v>-0.30305156633502861</v>
      </c>
      <c r="N65">
        <f t="shared" si="1"/>
        <v>13.739755577267571</v>
      </c>
    </row>
    <row r="66" spans="1:14" x14ac:dyDescent="0.2">
      <c r="A66" t="s">
        <v>97</v>
      </c>
      <c r="B66" t="s">
        <v>129</v>
      </c>
      <c r="C66" t="s">
        <v>32</v>
      </c>
      <c r="D66">
        <v>29.508040859791802</v>
      </c>
      <c r="E66">
        <v>29.508040859791802</v>
      </c>
      <c r="F66" t="s">
        <v>97</v>
      </c>
      <c r="G66" s="1" t="s">
        <v>25</v>
      </c>
      <c r="H66">
        <v>1702</v>
      </c>
      <c r="I66">
        <f t="shared" ref="I66:J67" si="80">I65</f>
        <v>29.441922664358071</v>
      </c>
      <c r="J66">
        <f t="shared" si="80"/>
        <v>5.7959179217121126E-2</v>
      </c>
      <c r="K66">
        <f>I2</f>
        <v>29.744974230693099</v>
      </c>
      <c r="L66">
        <f>I14</f>
        <v>15.702167087090499</v>
      </c>
      <c r="M66">
        <f t="shared" si="0"/>
        <v>-0.30305156633502861</v>
      </c>
      <c r="N66">
        <f t="shared" si="1"/>
        <v>13.739755577267571</v>
      </c>
    </row>
    <row r="67" spans="1:14" x14ac:dyDescent="0.2">
      <c r="A67" t="s">
        <v>98</v>
      </c>
      <c r="B67" t="s">
        <v>129</v>
      </c>
      <c r="C67" t="s">
        <v>32</v>
      </c>
      <c r="D67">
        <v>29.3998883435263</v>
      </c>
      <c r="E67">
        <v>29.3998883435263</v>
      </c>
      <c r="F67" t="s">
        <v>98</v>
      </c>
      <c r="G67" s="1" t="s">
        <v>25</v>
      </c>
      <c r="H67">
        <v>1702</v>
      </c>
      <c r="I67">
        <f t="shared" si="80"/>
        <v>29.441922664358071</v>
      </c>
      <c r="J67">
        <f t="shared" ref="J67" si="81">J65</f>
        <v>5.7959179217121126E-2</v>
      </c>
      <c r="K67">
        <f>I2</f>
        <v>29.744974230693099</v>
      </c>
      <c r="L67">
        <f>I14</f>
        <v>15.702167087090499</v>
      </c>
      <c r="M67">
        <f t="shared" ref="M67:M97" si="82">I67-K67</f>
        <v>-0.30305156633502861</v>
      </c>
      <c r="N67">
        <f t="shared" ref="N67:N97" si="83">I67-L67</f>
        <v>13.739755577267571</v>
      </c>
    </row>
    <row r="68" spans="1:14" x14ac:dyDescent="0.2">
      <c r="A68" t="s">
        <v>99</v>
      </c>
      <c r="B68" t="s">
        <v>129</v>
      </c>
      <c r="C68" t="s">
        <v>32</v>
      </c>
      <c r="D68">
        <v>30.886918658297901</v>
      </c>
      <c r="E68">
        <v>30.886918658297901</v>
      </c>
      <c r="F68" t="s">
        <v>99</v>
      </c>
      <c r="G68" s="4" t="s">
        <v>17</v>
      </c>
      <c r="H68">
        <v>1703</v>
      </c>
      <c r="I68">
        <f t="shared" ref="I68" si="84">AVERAGE(D68:D70)</f>
        <v>31.104252097610498</v>
      </c>
      <c r="J68">
        <f t="shared" ref="J68" si="85">STDEV(D68:D70)</f>
        <v>0.30735589743306713</v>
      </c>
      <c r="K68">
        <f>I8</f>
        <v>31.748588765712199</v>
      </c>
      <c r="L68">
        <f>I20</f>
        <v>18.370008043036297</v>
      </c>
      <c r="M68">
        <f t="shared" si="82"/>
        <v>-0.64433666810170109</v>
      </c>
      <c r="N68">
        <f t="shared" si="83"/>
        <v>12.734244054574201</v>
      </c>
    </row>
    <row r="69" spans="1:14" x14ac:dyDescent="0.2">
      <c r="A69" t="s">
        <v>100</v>
      </c>
      <c r="B69" t="s">
        <v>129</v>
      </c>
      <c r="C69" t="s">
        <v>32</v>
      </c>
      <c r="E69">
        <v>32.154151831870799</v>
      </c>
      <c r="F69" t="s">
        <v>100</v>
      </c>
      <c r="G69" s="4" t="s">
        <v>17</v>
      </c>
      <c r="H69">
        <v>1703</v>
      </c>
      <c r="I69">
        <f t="shared" ref="I69:J69" si="86">I68</f>
        <v>31.104252097610498</v>
      </c>
      <c r="J69">
        <f t="shared" si="86"/>
        <v>0.30735589743306713</v>
      </c>
      <c r="K69">
        <f>I8</f>
        <v>31.748588765712199</v>
      </c>
      <c r="L69">
        <f>I20</f>
        <v>18.370008043036297</v>
      </c>
      <c r="M69">
        <f t="shared" si="82"/>
        <v>-0.64433666810170109</v>
      </c>
      <c r="N69">
        <f t="shared" si="83"/>
        <v>12.734244054574201</v>
      </c>
    </row>
    <row r="70" spans="1:14" x14ac:dyDescent="0.2">
      <c r="A70" t="s">
        <v>101</v>
      </c>
      <c r="B70" t="s">
        <v>129</v>
      </c>
      <c r="C70" t="s">
        <v>32</v>
      </c>
      <c r="D70">
        <v>31.321585536923099</v>
      </c>
      <c r="E70">
        <v>31.321585536923099</v>
      </c>
      <c r="F70" t="s">
        <v>101</v>
      </c>
      <c r="G70" s="4" t="s">
        <v>17</v>
      </c>
      <c r="H70">
        <v>1703</v>
      </c>
      <c r="I70">
        <f t="shared" ref="I70:J70" si="87">I68</f>
        <v>31.104252097610498</v>
      </c>
      <c r="J70">
        <f t="shared" si="87"/>
        <v>0.30735589743306713</v>
      </c>
      <c r="K70">
        <f>I8</f>
        <v>31.748588765712199</v>
      </c>
      <c r="L70">
        <f>I20</f>
        <v>18.370008043036297</v>
      </c>
      <c r="M70">
        <f t="shared" si="82"/>
        <v>-0.64433666810170109</v>
      </c>
      <c r="N70">
        <f t="shared" si="83"/>
        <v>12.734244054574201</v>
      </c>
    </row>
    <row r="71" spans="1:14" x14ac:dyDescent="0.2">
      <c r="A71" t="s">
        <v>102</v>
      </c>
      <c r="B71" t="s">
        <v>129</v>
      </c>
      <c r="C71" t="s">
        <v>32</v>
      </c>
      <c r="D71">
        <v>31.644047565184</v>
      </c>
      <c r="E71">
        <v>31.644047565184</v>
      </c>
      <c r="F71" t="s">
        <v>102</v>
      </c>
      <c r="G71" s="1" t="s">
        <v>25</v>
      </c>
      <c r="H71">
        <v>1703</v>
      </c>
      <c r="I71">
        <f t="shared" ref="I71" si="88">AVERAGE(D71:D73)</f>
        <v>31.58734784884707</v>
      </c>
      <c r="J71">
        <f t="shared" ref="J71" si="89">STDEV(D71:D73)</f>
        <v>0.26885882481524526</v>
      </c>
      <c r="K71">
        <f>I8</f>
        <v>31.748588765712199</v>
      </c>
      <c r="L71">
        <f>I20</f>
        <v>18.370008043036297</v>
      </c>
      <c r="M71">
        <f t="shared" si="82"/>
        <v>-0.16124091686512898</v>
      </c>
      <c r="N71">
        <f t="shared" si="83"/>
        <v>13.217339805810774</v>
      </c>
    </row>
    <row r="72" spans="1:14" x14ac:dyDescent="0.2">
      <c r="A72" t="s">
        <v>103</v>
      </c>
      <c r="B72" t="s">
        <v>129</v>
      </c>
      <c r="C72" t="s">
        <v>32</v>
      </c>
      <c r="D72">
        <v>31.294661227615801</v>
      </c>
      <c r="E72">
        <v>31.294661227615801</v>
      </c>
      <c r="F72" t="s">
        <v>103</v>
      </c>
      <c r="G72" s="1" t="s">
        <v>25</v>
      </c>
      <c r="H72">
        <v>1703</v>
      </c>
      <c r="I72">
        <f t="shared" ref="I72:J73" si="90">I71</f>
        <v>31.58734784884707</v>
      </c>
      <c r="J72">
        <f t="shared" si="90"/>
        <v>0.26885882481524526</v>
      </c>
      <c r="K72">
        <f>I8</f>
        <v>31.748588765712199</v>
      </c>
      <c r="L72">
        <f>I20</f>
        <v>18.370008043036297</v>
      </c>
      <c r="M72">
        <f t="shared" si="82"/>
        <v>-0.16124091686512898</v>
      </c>
      <c r="N72">
        <f t="shared" si="83"/>
        <v>13.217339805810774</v>
      </c>
    </row>
    <row r="73" spans="1:14" x14ac:dyDescent="0.2">
      <c r="A73" t="s">
        <v>104</v>
      </c>
      <c r="B73" t="s">
        <v>129</v>
      </c>
      <c r="C73" t="s">
        <v>32</v>
      </c>
      <c r="D73">
        <v>31.823334753741399</v>
      </c>
      <c r="E73">
        <v>31.823334753741399</v>
      </c>
      <c r="F73" t="s">
        <v>104</v>
      </c>
      <c r="G73" s="1" t="s">
        <v>25</v>
      </c>
      <c r="H73">
        <v>1703</v>
      </c>
      <c r="I73">
        <f t="shared" si="90"/>
        <v>31.58734784884707</v>
      </c>
      <c r="J73">
        <f t="shared" ref="J73" si="91">J71</f>
        <v>0.26885882481524526</v>
      </c>
      <c r="K73">
        <f>I8</f>
        <v>31.748588765712199</v>
      </c>
      <c r="L73">
        <f>I20</f>
        <v>18.370008043036297</v>
      </c>
      <c r="M73">
        <f t="shared" si="82"/>
        <v>-0.16124091686512898</v>
      </c>
      <c r="N73">
        <f t="shared" si="83"/>
        <v>13.217339805810774</v>
      </c>
    </row>
    <row r="74" spans="1:14" x14ac:dyDescent="0.2">
      <c r="A74" t="s">
        <v>105</v>
      </c>
      <c r="B74" t="s">
        <v>129</v>
      </c>
      <c r="C74" t="s">
        <v>32</v>
      </c>
      <c r="D74">
        <v>29.544808077460001</v>
      </c>
      <c r="E74">
        <v>29.544808077460001</v>
      </c>
      <c r="F74" t="s">
        <v>105</v>
      </c>
      <c r="G74" s="4" t="s">
        <v>18</v>
      </c>
      <c r="H74">
        <v>1702</v>
      </c>
      <c r="I74">
        <f t="shared" ref="I74" si="92">AVERAGE(D74:D76)</f>
        <v>29.637230405387651</v>
      </c>
      <c r="J74">
        <f>STDEV(D74:D76)</f>
        <v>0.13070490962137682</v>
      </c>
      <c r="K74">
        <f>I2</f>
        <v>29.744974230693099</v>
      </c>
      <c r="L74">
        <f>I14</f>
        <v>15.702167087090499</v>
      </c>
      <c r="M74">
        <f t="shared" si="82"/>
        <v>-0.10774382530544813</v>
      </c>
      <c r="N74">
        <f t="shared" si="83"/>
        <v>13.935063318297152</v>
      </c>
    </row>
    <row r="75" spans="1:14" x14ac:dyDescent="0.2">
      <c r="A75" t="s">
        <v>106</v>
      </c>
      <c r="B75" t="s">
        <v>129</v>
      </c>
      <c r="C75" t="s">
        <v>32</v>
      </c>
      <c r="E75">
        <v>30.563142793796601</v>
      </c>
      <c r="F75" t="s">
        <v>106</v>
      </c>
      <c r="G75" s="4" t="s">
        <v>18</v>
      </c>
      <c r="H75">
        <v>1702</v>
      </c>
      <c r="I75">
        <f t="shared" ref="I75:J75" si="93">I74</f>
        <v>29.637230405387651</v>
      </c>
      <c r="J75">
        <f t="shared" si="93"/>
        <v>0.13070490962137682</v>
      </c>
      <c r="K75">
        <f>I2</f>
        <v>29.744974230693099</v>
      </c>
      <c r="L75">
        <f>I14</f>
        <v>15.702167087090499</v>
      </c>
      <c r="M75">
        <f t="shared" si="82"/>
        <v>-0.10774382530544813</v>
      </c>
      <c r="N75">
        <f t="shared" si="83"/>
        <v>13.935063318297152</v>
      </c>
    </row>
    <row r="76" spans="1:14" x14ac:dyDescent="0.2">
      <c r="A76" t="s">
        <v>107</v>
      </c>
      <c r="B76" t="s">
        <v>129</v>
      </c>
      <c r="C76" t="s">
        <v>32</v>
      </c>
      <c r="D76">
        <v>29.729652733315302</v>
      </c>
      <c r="E76">
        <v>29.729652733315302</v>
      </c>
      <c r="F76" t="s">
        <v>107</v>
      </c>
      <c r="G76" s="4" t="s">
        <v>18</v>
      </c>
      <c r="H76">
        <v>1702</v>
      </c>
      <c r="I76">
        <f t="shared" ref="I76:J76" si="94">I74</f>
        <v>29.637230405387651</v>
      </c>
      <c r="J76">
        <f t="shared" si="94"/>
        <v>0.13070490962137682</v>
      </c>
      <c r="K76">
        <f>I2</f>
        <v>29.744974230693099</v>
      </c>
      <c r="L76">
        <f>I14</f>
        <v>15.702167087090499</v>
      </c>
      <c r="M76">
        <f t="shared" si="82"/>
        <v>-0.10774382530544813</v>
      </c>
      <c r="N76">
        <f t="shared" si="83"/>
        <v>13.935063318297152</v>
      </c>
    </row>
    <row r="77" spans="1:14" x14ac:dyDescent="0.2">
      <c r="A77" t="s">
        <v>108</v>
      </c>
      <c r="B77" t="s">
        <v>129</v>
      </c>
      <c r="C77" t="s">
        <v>32</v>
      </c>
      <c r="D77">
        <v>29.3933101985332</v>
      </c>
      <c r="E77">
        <v>29.3933101985332</v>
      </c>
      <c r="F77" t="s">
        <v>108</v>
      </c>
      <c r="I77">
        <f t="shared" ref="I77" si="95">AVERAGE(D77:D79)</f>
        <v>29.744974230693099</v>
      </c>
      <c r="J77">
        <f t="shared" ref="J77" si="96">STDEV(D77:D79)</f>
        <v>0.47588543837636044</v>
      </c>
      <c r="K77">
        <f>I2</f>
        <v>29.744974230693099</v>
      </c>
      <c r="L77">
        <f>I14</f>
        <v>15.702167087090499</v>
      </c>
      <c r="M77">
        <f t="shared" si="82"/>
        <v>0</v>
      </c>
      <c r="N77">
        <f t="shared" si="83"/>
        <v>14.0428071436026</v>
      </c>
    </row>
    <row r="78" spans="1:14" x14ac:dyDescent="0.2">
      <c r="A78" t="s">
        <v>109</v>
      </c>
      <c r="B78" t="s">
        <v>129</v>
      </c>
      <c r="C78" t="s">
        <v>32</v>
      </c>
      <c r="D78">
        <v>29.555133911447498</v>
      </c>
      <c r="E78">
        <v>29.555133911447498</v>
      </c>
      <c r="F78" t="s">
        <v>109</v>
      </c>
      <c r="I78">
        <f t="shared" ref="I78:J79" si="97">I77</f>
        <v>29.744974230693099</v>
      </c>
      <c r="J78">
        <f t="shared" si="97"/>
        <v>0.47588543837636044</v>
      </c>
      <c r="K78">
        <f>I2</f>
        <v>29.744974230693099</v>
      </c>
      <c r="L78">
        <f>I14</f>
        <v>15.702167087090499</v>
      </c>
      <c r="M78">
        <f t="shared" si="82"/>
        <v>0</v>
      </c>
      <c r="N78">
        <f t="shared" si="83"/>
        <v>14.0428071436026</v>
      </c>
    </row>
    <row r="79" spans="1:14" x14ac:dyDescent="0.2">
      <c r="A79" t="s">
        <v>110</v>
      </c>
      <c r="B79" t="s">
        <v>129</v>
      </c>
      <c r="C79" t="s">
        <v>32</v>
      </c>
      <c r="D79">
        <v>30.286478582098599</v>
      </c>
      <c r="E79">
        <v>30.286478582098599</v>
      </c>
      <c r="F79" t="s">
        <v>110</v>
      </c>
      <c r="I79">
        <f t="shared" si="97"/>
        <v>29.744974230693099</v>
      </c>
      <c r="J79">
        <f t="shared" ref="J79" si="98">J77</f>
        <v>0.47588543837636044</v>
      </c>
      <c r="K79">
        <f>I2</f>
        <v>29.744974230693099</v>
      </c>
      <c r="L79">
        <f>I14</f>
        <v>15.702167087090499</v>
      </c>
      <c r="M79">
        <f t="shared" si="82"/>
        <v>0</v>
      </c>
      <c r="N79">
        <f t="shared" si="83"/>
        <v>14.0428071436026</v>
      </c>
    </row>
    <row r="80" spans="1:14" x14ac:dyDescent="0.2">
      <c r="A80" t="s">
        <v>111</v>
      </c>
      <c r="B80" t="s">
        <v>129</v>
      </c>
      <c r="C80" t="s">
        <v>32</v>
      </c>
      <c r="D80">
        <v>32.947527155771603</v>
      </c>
      <c r="E80">
        <v>32.947527155771603</v>
      </c>
      <c r="F80" t="s">
        <v>111</v>
      </c>
      <c r="G80" s="4" t="s">
        <v>18</v>
      </c>
      <c r="H80">
        <v>1703</v>
      </c>
      <c r="I80">
        <f t="shared" ref="I80" si="99">AVERAGE(D80:D82)</f>
        <v>32.918217141633747</v>
      </c>
      <c r="J80">
        <f t="shared" ref="J80" si="100">STDEV(D80:D82)</f>
        <v>4.145061950709801E-2</v>
      </c>
      <c r="K80">
        <f>I8</f>
        <v>31.748588765712199</v>
      </c>
      <c r="L80">
        <f>I20</f>
        <v>18.370008043036297</v>
      </c>
      <c r="M80">
        <f t="shared" si="82"/>
        <v>1.1696283759215476</v>
      </c>
      <c r="N80">
        <f t="shared" si="83"/>
        <v>14.54820909859745</v>
      </c>
    </row>
    <row r="81" spans="1:14" x14ac:dyDescent="0.2">
      <c r="A81" t="s">
        <v>112</v>
      </c>
      <c r="B81" t="s">
        <v>129</v>
      </c>
      <c r="C81" t="s">
        <v>32</v>
      </c>
      <c r="E81">
        <v>31.776687624551101</v>
      </c>
      <c r="F81" t="s">
        <v>112</v>
      </c>
      <c r="G81" s="4" t="s">
        <v>18</v>
      </c>
      <c r="H81">
        <v>1703</v>
      </c>
      <c r="I81">
        <f t="shared" ref="I81:J81" si="101">I80</f>
        <v>32.918217141633747</v>
      </c>
      <c r="J81">
        <f t="shared" si="101"/>
        <v>4.145061950709801E-2</v>
      </c>
      <c r="K81">
        <f>I8</f>
        <v>31.748588765712199</v>
      </c>
      <c r="L81">
        <f>I20</f>
        <v>18.370008043036297</v>
      </c>
      <c r="M81">
        <f t="shared" si="82"/>
        <v>1.1696283759215476</v>
      </c>
      <c r="N81">
        <f t="shared" si="83"/>
        <v>14.54820909859745</v>
      </c>
    </row>
    <row r="82" spans="1:14" x14ac:dyDescent="0.2">
      <c r="A82" t="s">
        <v>113</v>
      </c>
      <c r="B82" t="s">
        <v>129</v>
      </c>
      <c r="C82" t="s">
        <v>32</v>
      </c>
      <c r="D82">
        <v>32.888907127495898</v>
      </c>
      <c r="E82">
        <v>32.888907127495898</v>
      </c>
      <c r="F82" t="s">
        <v>113</v>
      </c>
      <c r="G82" s="4" t="s">
        <v>18</v>
      </c>
      <c r="H82">
        <v>1703</v>
      </c>
      <c r="I82">
        <f t="shared" ref="I82:J82" si="102">I80</f>
        <v>32.918217141633747</v>
      </c>
      <c r="J82">
        <f t="shared" si="102"/>
        <v>4.145061950709801E-2</v>
      </c>
      <c r="K82">
        <f>I8</f>
        <v>31.748588765712199</v>
      </c>
      <c r="L82">
        <f>I20</f>
        <v>18.370008043036297</v>
      </c>
      <c r="M82">
        <f t="shared" si="82"/>
        <v>1.1696283759215476</v>
      </c>
      <c r="N82">
        <f t="shared" si="83"/>
        <v>14.54820909859745</v>
      </c>
    </row>
    <row r="83" spans="1:14" x14ac:dyDescent="0.2">
      <c r="A83" t="s">
        <v>114</v>
      </c>
      <c r="B83" t="s">
        <v>129</v>
      </c>
      <c r="C83" t="s">
        <v>32</v>
      </c>
      <c r="D83">
        <v>31.7291487644505</v>
      </c>
      <c r="E83">
        <v>31.7291487644505</v>
      </c>
      <c r="F83" t="s">
        <v>114</v>
      </c>
      <c r="I83">
        <f t="shared" ref="I83" si="103">AVERAGE(D83:D85)</f>
        <v>31.489975911282233</v>
      </c>
      <c r="J83">
        <f t="shared" ref="J83" si="104">STDEV(D83:D85)</f>
        <v>0.44835224888283937</v>
      </c>
      <c r="K83">
        <f>I8</f>
        <v>31.748588765712199</v>
      </c>
      <c r="L83">
        <f>I20</f>
        <v>18.370008043036297</v>
      </c>
      <c r="M83">
        <f t="shared" si="82"/>
        <v>-0.25861285442996618</v>
      </c>
      <c r="N83">
        <f t="shared" si="83"/>
        <v>13.119967868245936</v>
      </c>
    </row>
    <row r="84" spans="1:14" x14ac:dyDescent="0.2">
      <c r="A84" t="s">
        <v>115</v>
      </c>
      <c r="B84" t="s">
        <v>129</v>
      </c>
      <c r="C84" t="s">
        <v>32</v>
      </c>
      <c r="D84">
        <v>31.768028766973899</v>
      </c>
      <c r="E84">
        <v>31.768028766973899</v>
      </c>
      <c r="F84" t="s">
        <v>115</v>
      </c>
      <c r="I84">
        <f t="shared" ref="I84:J85" si="105">I83</f>
        <v>31.489975911282233</v>
      </c>
      <c r="J84">
        <f t="shared" si="105"/>
        <v>0.44835224888283937</v>
      </c>
      <c r="K84">
        <f>I8</f>
        <v>31.748588765712199</v>
      </c>
      <c r="L84">
        <f>I20</f>
        <v>18.370008043036297</v>
      </c>
      <c r="M84">
        <f t="shared" si="82"/>
        <v>-0.25861285442996618</v>
      </c>
      <c r="N84">
        <f t="shared" si="83"/>
        <v>13.119967868245936</v>
      </c>
    </row>
    <row r="85" spans="1:14" x14ac:dyDescent="0.2">
      <c r="A85" t="s">
        <v>116</v>
      </c>
      <c r="B85" t="s">
        <v>129</v>
      </c>
      <c r="C85" t="s">
        <v>32</v>
      </c>
      <c r="D85">
        <v>30.972750202422301</v>
      </c>
      <c r="E85">
        <v>30.972750202422301</v>
      </c>
      <c r="F85" t="s">
        <v>116</v>
      </c>
      <c r="I85">
        <f t="shared" si="105"/>
        <v>31.489975911282233</v>
      </c>
      <c r="J85">
        <f t="shared" ref="J85" si="106">J83</f>
        <v>0.44835224888283937</v>
      </c>
      <c r="K85">
        <f>I8</f>
        <v>31.748588765712199</v>
      </c>
      <c r="L85">
        <f>I20</f>
        <v>18.370008043036297</v>
      </c>
      <c r="M85">
        <f t="shared" si="82"/>
        <v>-0.25861285442996618</v>
      </c>
      <c r="N85">
        <f t="shared" si="83"/>
        <v>13.119967868245936</v>
      </c>
    </row>
    <row r="86" spans="1:14" ht="17" thickBot="1" x14ac:dyDescent="0.25">
      <c r="A86" t="s">
        <v>117</v>
      </c>
      <c r="B86" t="s">
        <v>129</v>
      </c>
      <c r="C86" t="s">
        <v>32</v>
      </c>
      <c r="E86">
        <v>32.635767803045901</v>
      </c>
      <c r="F86" t="s">
        <v>117</v>
      </c>
      <c r="G86" s="6" t="s">
        <v>19</v>
      </c>
      <c r="H86">
        <v>1702</v>
      </c>
      <c r="I86">
        <f t="shared" ref="I86" si="107">AVERAGE(D86:D88)</f>
        <v>29.112742164302603</v>
      </c>
      <c r="J86">
        <f t="shared" ref="J86" si="108">STDEV(D86:D88)</f>
        <v>0.33801723487848129</v>
      </c>
      <c r="K86">
        <f>I2</f>
        <v>29.744974230693099</v>
      </c>
      <c r="L86">
        <f>I14</f>
        <v>15.702167087090499</v>
      </c>
      <c r="M86">
        <f t="shared" si="82"/>
        <v>-0.63223206639049678</v>
      </c>
      <c r="N86">
        <f t="shared" si="83"/>
        <v>13.410575077212103</v>
      </c>
    </row>
    <row r="87" spans="1:14" ht="17" thickBot="1" x14ac:dyDescent="0.25">
      <c r="A87" t="s">
        <v>118</v>
      </c>
      <c r="B87" t="s">
        <v>129</v>
      </c>
      <c r="C87" t="s">
        <v>32</v>
      </c>
      <c r="D87">
        <v>29.351756443243101</v>
      </c>
      <c r="E87">
        <v>29.351756443243101</v>
      </c>
      <c r="F87" t="s">
        <v>118</v>
      </c>
      <c r="G87" s="6" t="s">
        <v>19</v>
      </c>
      <c r="H87">
        <v>1702</v>
      </c>
      <c r="I87">
        <f t="shared" ref="I87:J87" si="109">I86</f>
        <v>29.112742164302603</v>
      </c>
      <c r="J87">
        <f t="shared" si="109"/>
        <v>0.33801723487848129</v>
      </c>
      <c r="K87">
        <f>I2</f>
        <v>29.744974230693099</v>
      </c>
      <c r="L87">
        <f>I14</f>
        <v>15.702167087090499</v>
      </c>
      <c r="M87">
        <f t="shared" si="82"/>
        <v>-0.63223206639049678</v>
      </c>
      <c r="N87">
        <f t="shared" si="83"/>
        <v>13.410575077212103</v>
      </c>
    </row>
    <row r="88" spans="1:14" ht="17" thickBot="1" x14ac:dyDescent="0.25">
      <c r="A88" t="s">
        <v>119</v>
      </c>
      <c r="B88" t="s">
        <v>129</v>
      </c>
      <c r="C88" t="s">
        <v>32</v>
      </c>
      <c r="D88">
        <v>28.873727885362101</v>
      </c>
      <c r="E88">
        <v>28.873727885362101</v>
      </c>
      <c r="F88" t="s">
        <v>119</v>
      </c>
      <c r="G88" s="6" t="s">
        <v>19</v>
      </c>
      <c r="H88">
        <v>1702</v>
      </c>
      <c r="I88">
        <f t="shared" ref="I88:J88" si="110">I86</f>
        <v>29.112742164302603</v>
      </c>
      <c r="J88">
        <f t="shared" si="110"/>
        <v>0.33801723487848129</v>
      </c>
      <c r="K88">
        <f>I2</f>
        <v>29.744974230693099</v>
      </c>
      <c r="L88">
        <f>I14</f>
        <v>15.702167087090499</v>
      </c>
      <c r="M88">
        <f t="shared" si="82"/>
        <v>-0.63223206639049678</v>
      </c>
      <c r="N88">
        <f t="shared" si="83"/>
        <v>13.410575077212103</v>
      </c>
    </row>
    <row r="89" spans="1:14" x14ac:dyDescent="0.2">
      <c r="A89" t="s">
        <v>120</v>
      </c>
      <c r="B89" t="s">
        <v>129</v>
      </c>
      <c r="C89" t="s">
        <v>32</v>
      </c>
      <c r="D89">
        <v>15.9595205318819</v>
      </c>
      <c r="E89">
        <v>15.9595205318819</v>
      </c>
      <c r="F89" t="s">
        <v>120</v>
      </c>
      <c r="I89">
        <f t="shared" ref="I89" si="111">AVERAGE(D89:D91)</f>
        <v>15.455293283504867</v>
      </c>
      <c r="J89">
        <f t="shared" ref="J89" si="112">STDEV(D89:D91)</f>
        <v>0.49906995525328285</v>
      </c>
      <c r="K89">
        <f>I2</f>
        <v>29.744974230693099</v>
      </c>
      <c r="L89">
        <f>I14</f>
        <v>15.702167087090499</v>
      </c>
      <c r="M89">
        <f t="shared" si="82"/>
        <v>-14.289680947188232</v>
      </c>
      <c r="N89">
        <f t="shared" si="83"/>
        <v>-0.2468738035856326</v>
      </c>
    </row>
    <row r="90" spans="1:14" x14ac:dyDescent="0.2">
      <c r="A90" t="s">
        <v>121</v>
      </c>
      <c r="B90" t="s">
        <v>129</v>
      </c>
      <c r="C90" t="s">
        <v>32</v>
      </c>
      <c r="D90">
        <v>14.9615456763336</v>
      </c>
      <c r="E90">
        <v>14.9615456763336</v>
      </c>
      <c r="F90" t="s">
        <v>121</v>
      </c>
      <c r="I90">
        <f t="shared" ref="I90:J91" si="113">I89</f>
        <v>15.455293283504867</v>
      </c>
      <c r="J90">
        <f t="shared" si="113"/>
        <v>0.49906995525328285</v>
      </c>
      <c r="K90">
        <f>I2</f>
        <v>29.744974230693099</v>
      </c>
      <c r="L90">
        <f>I14</f>
        <v>15.702167087090499</v>
      </c>
      <c r="M90">
        <f t="shared" si="82"/>
        <v>-14.289680947188232</v>
      </c>
      <c r="N90">
        <f t="shared" si="83"/>
        <v>-0.2468738035856326</v>
      </c>
    </row>
    <row r="91" spans="1:14" x14ac:dyDescent="0.2">
      <c r="A91" t="s">
        <v>122</v>
      </c>
      <c r="B91" t="s">
        <v>129</v>
      </c>
      <c r="C91" t="s">
        <v>32</v>
      </c>
      <c r="D91">
        <v>15.444813642299099</v>
      </c>
      <c r="E91">
        <v>15.444813642299099</v>
      </c>
      <c r="F91" t="s">
        <v>122</v>
      </c>
      <c r="I91">
        <f t="shared" si="113"/>
        <v>15.455293283504867</v>
      </c>
      <c r="J91">
        <f t="shared" ref="J91" si="114">J89</f>
        <v>0.49906995525328285</v>
      </c>
      <c r="K91">
        <f>I2</f>
        <v>29.744974230693099</v>
      </c>
      <c r="L91">
        <f>I14</f>
        <v>15.702167087090499</v>
      </c>
      <c r="M91">
        <f t="shared" si="82"/>
        <v>-14.289680947188232</v>
      </c>
      <c r="N91">
        <f t="shared" si="83"/>
        <v>-0.2468738035856326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31.9659739277268</v>
      </c>
      <c r="E92">
        <v>31.9659739277268</v>
      </c>
      <c r="F92" t="s">
        <v>123</v>
      </c>
      <c r="G92" s="6" t="s">
        <v>19</v>
      </c>
      <c r="H92">
        <v>1703</v>
      </c>
      <c r="I92">
        <f t="shared" ref="I92" si="115">AVERAGE(D92:D94)</f>
        <v>32.035888620020451</v>
      </c>
      <c r="J92">
        <f t="shared" ref="J92" si="116">STDEV(D92:D94)</f>
        <v>9.887430605082248E-2</v>
      </c>
      <c r="K92">
        <f>I8</f>
        <v>31.748588765712199</v>
      </c>
      <c r="L92">
        <f>I20</f>
        <v>18.370008043036297</v>
      </c>
      <c r="M92">
        <f t="shared" si="82"/>
        <v>0.28729985430825167</v>
      </c>
      <c r="N92">
        <f t="shared" si="83"/>
        <v>13.665880576984154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32.105803312314102</v>
      </c>
      <c r="E93">
        <v>32.105803312314102</v>
      </c>
      <c r="F93" t="s">
        <v>124</v>
      </c>
      <c r="G93" s="6" t="s">
        <v>19</v>
      </c>
      <c r="H93">
        <v>1703</v>
      </c>
      <c r="I93">
        <f t="shared" ref="I93:J93" si="117">I92</f>
        <v>32.035888620020451</v>
      </c>
      <c r="J93">
        <f t="shared" si="117"/>
        <v>9.887430605082248E-2</v>
      </c>
      <c r="K93">
        <f>I8</f>
        <v>31.748588765712199</v>
      </c>
      <c r="L93">
        <f>I20</f>
        <v>18.370008043036297</v>
      </c>
      <c r="M93">
        <f t="shared" si="82"/>
        <v>0.28729985430825167</v>
      </c>
      <c r="N93">
        <f t="shared" si="83"/>
        <v>13.665880576984154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32.8856577876317</v>
      </c>
      <c r="F94" t="s">
        <v>125</v>
      </c>
      <c r="G94" s="6" t="s">
        <v>19</v>
      </c>
      <c r="H94">
        <v>1703</v>
      </c>
      <c r="I94">
        <f t="shared" ref="I94:J94" si="118">I92</f>
        <v>32.035888620020451</v>
      </c>
      <c r="J94">
        <f t="shared" si="118"/>
        <v>9.887430605082248E-2</v>
      </c>
      <c r="K94">
        <f>I8</f>
        <v>31.748588765712199</v>
      </c>
      <c r="L94">
        <f>I20</f>
        <v>18.370008043036297</v>
      </c>
      <c r="M94">
        <f t="shared" si="82"/>
        <v>0.28729985430825167</v>
      </c>
      <c r="N94">
        <f t="shared" si="83"/>
        <v>13.665880576984154</v>
      </c>
    </row>
    <row r="95" spans="1:14" x14ac:dyDescent="0.2">
      <c r="A95" t="s">
        <v>126</v>
      </c>
      <c r="B95" t="s">
        <v>129</v>
      </c>
      <c r="C95" t="s">
        <v>32</v>
      </c>
      <c r="D95">
        <v>18.4490739140799</v>
      </c>
      <c r="E95">
        <v>18.4490739140799</v>
      </c>
      <c r="F95" t="s">
        <v>126</v>
      </c>
      <c r="I95">
        <f t="shared" ref="I95" si="119">AVERAGE(D95:D97)</f>
        <v>18.370008043036297</v>
      </c>
      <c r="J95">
        <f t="shared" ref="J95" si="120">STDEV(D95:D97)</f>
        <v>6.847527505238872E-2</v>
      </c>
      <c r="K95">
        <f>I8</f>
        <v>31.748588765712199</v>
      </c>
      <c r="L95">
        <f>I20</f>
        <v>18.370008043036297</v>
      </c>
      <c r="M95">
        <f t="shared" si="82"/>
        <v>-13.378580722675903</v>
      </c>
      <c r="N95">
        <f t="shared" si="83"/>
        <v>0</v>
      </c>
    </row>
    <row r="96" spans="1:14" x14ac:dyDescent="0.2">
      <c r="A96" t="s">
        <v>127</v>
      </c>
      <c r="B96" t="s">
        <v>129</v>
      </c>
      <c r="C96" t="s">
        <v>32</v>
      </c>
      <c r="D96">
        <v>18.329923454917498</v>
      </c>
      <c r="E96">
        <v>18.329923454917498</v>
      </c>
      <c r="F96" t="s">
        <v>127</v>
      </c>
      <c r="I96">
        <f t="shared" ref="I96:J97" si="121">I95</f>
        <v>18.370008043036297</v>
      </c>
      <c r="J96">
        <f t="shared" si="121"/>
        <v>6.847527505238872E-2</v>
      </c>
      <c r="K96">
        <f>I8</f>
        <v>31.748588765712199</v>
      </c>
      <c r="L96">
        <f>I20</f>
        <v>18.370008043036297</v>
      </c>
      <c r="M96">
        <f t="shared" si="82"/>
        <v>-13.378580722675903</v>
      </c>
      <c r="N96">
        <f t="shared" si="83"/>
        <v>0</v>
      </c>
    </row>
    <row r="97" spans="1:14" x14ac:dyDescent="0.2">
      <c r="A97" t="s">
        <v>128</v>
      </c>
      <c r="B97" t="s">
        <v>129</v>
      </c>
      <c r="C97" t="s">
        <v>32</v>
      </c>
      <c r="D97">
        <v>18.331026760111499</v>
      </c>
      <c r="E97">
        <v>18.331026760111499</v>
      </c>
      <c r="F97" t="s">
        <v>128</v>
      </c>
      <c r="I97">
        <f t="shared" si="121"/>
        <v>18.370008043036297</v>
      </c>
      <c r="J97">
        <f t="shared" ref="J97" si="122">J95</f>
        <v>6.847527505238872E-2</v>
      </c>
      <c r="K97">
        <f>I8</f>
        <v>31.748588765712199</v>
      </c>
      <c r="L97">
        <f>I20</f>
        <v>18.370008043036297</v>
      </c>
      <c r="M97">
        <f t="shared" si="82"/>
        <v>-13.378580722675903</v>
      </c>
      <c r="N97">
        <f t="shared" si="83"/>
        <v>0</v>
      </c>
    </row>
  </sheetData>
  <conditionalFormatting sqref="J2:J97">
    <cfRule type="cellIs" dxfId="8" priority="1" operator="greaterThan">
      <formula>0.3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B6D2-1602-D547-BDE2-EDB055294595}">
  <dimension ref="A1:N97"/>
  <sheetViews>
    <sheetView topLeftCell="A6" workbookViewId="0">
      <selection activeCell="T38" sqref="T38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29.895523786348001</v>
      </c>
      <c r="F2" t="s">
        <v>31</v>
      </c>
      <c r="G2" s="9" t="s">
        <v>9</v>
      </c>
      <c r="H2">
        <v>1704</v>
      </c>
      <c r="I2">
        <f>AVERAGE(D2:D4)</f>
        <v>32.913217508684895</v>
      </c>
      <c r="J2">
        <f>STDEV(D2:D4)</f>
        <v>0.14835633551960645</v>
      </c>
      <c r="K2">
        <f>I2</f>
        <v>32.913217508684895</v>
      </c>
      <c r="L2">
        <f>I14</f>
        <v>17.582198465275066</v>
      </c>
      <c r="M2">
        <f>I2-K2</f>
        <v>0</v>
      </c>
      <c r="N2">
        <f>I2-L2</f>
        <v>15.331019043409828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33.018121279562799</v>
      </c>
      <c r="E3">
        <v>33.018121279562799</v>
      </c>
      <c r="F3" t="s">
        <v>34</v>
      </c>
      <c r="G3" s="9" t="s">
        <v>9</v>
      </c>
      <c r="H3">
        <v>1704</v>
      </c>
      <c r="I3">
        <f>I2</f>
        <v>32.913217508684895</v>
      </c>
      <c r="J3">
        <f>J2</f>
        <v>0.14835633551960645</v>
      </c>
      <c r="K3">
        <f>I2</f>
        <v>32.913217508684895</v>
      </c>
      <c r="L3">
        <f>I14</f>
        <v>17.582198465275066</v>
      </c>
      <c r="M3">
        <f t="shared" ref="M3:M66" si="0">I3-K3</f>
        <v>0</v>
      </c>
      <c r="N3">
        <f t="shared" ref="N3:N66" si="1">I3-L3</f>
        <v>15.331019043409828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32.808313737806998</v>
      </c>
      <c r="E4">
        <v>32.808313737806998</v>
      </c>
      <c r="F4" t="s">
        <v>35</v>
      </c>
      <c r="G4" s="9" t="s">
        <v>9</v>
      </c>
      <c r="H4">
        <v>1704</v>
      </c>
      <c r="I4">
        <f>I2</f>
        <v>32.913217508684895</v>
      </c>
      <c r="J4">
        <f>J2</f>
        <v>0.14835633551960645</v>
      </c>
      <c r="K4">
        <f>I2</f>
        <v>32.913217508684895</v>
      </c>
      <c r="L4">
        <f>I14</f>
        <v>17.582198465275066</v>
      </c>
      <c r="M4">
        <f t="shared" si="0"/>
        <v>0</v>
      </c>
      <c r="N4">
        <f t="shared" si="1"/>
        <v>15.331019043409828</v>
      </c>
    </row>
    <row r="5" spans="1:14" s="17" customFormat="1" ht="17" thickBot="1" x14ac:dyDescent="0.25">
      <c r="A5" s="17" t="s">
        <v>36</v>
      </c>
      <c r="B5" s="17" t="s">
        <v>129</v>
      </c>
      <c r="C5" s="17" t="s">
        <v>32</v>
      </c>
      <c r="E5" s="17">
        <v>37.472085973846397</v>
      </c>
      <c r="F5" s="17" t="s">
        <v>36</v>
      </c>
      <c r="G5" s="18" t="s">
        <v>20</v>
      </c>
      <c r="H5" s="17">
        <v>1704</v>
      </c>
      <c r="I5" s="17" t="e">
        <f>AVERAGE(D5:D7)</f>
        <v>#DIV/0!</v>
      </c>
      <c r="J5" s="17" t="e">
        <f>STDEV(D5:D7)</f>
        <v>#DIV/0!</v>
      </c>
      <c r="K5" s="17">
        <f>I2</f>
        <v>32.913217508684895</v>
      </c>
      <c r="L5" s="17">
        <f>I14</f>
        <v>17.582198465275066</v>
      </c>
      <c r="M5" s="17" t="e">
        <f t="shared" si="0"/>
        <v>#DIV/0!</v>
      </c>
      <c r="N5" s="17" t="e">
        <f t="shared" si="1"/>
        <v>#DIV/0!</v>
      </c>
    </row>
    <row r="6" spans="1:14" s="17" customFormat="1" ht="17" thickBot="1" x14ac:dyDescent="0.25">
      <c r="A6" s="17" t="s">
        <v>37</v>
      </c>
      <c r="B6" s="17" t="s">
        <v>129</v>
      </c>
      <c r="C6" s="17" t="s">
        <v>32</v>
      </c>
      <c r="E6" s="17">
        <v>33.450298198262999</v>
      </c>
      <c r="F6" s="17" t="s">
        <v>37</v>
      </c>
      <c r="G6" s="18" t="s">
        <v>20</v>
      </c>
      <c r="H6" s="17">
        <v>1704</v>
      </c>
      <c r="I6" s="17" t="e">
        <f>I5</f>
        <v>#DIV/0!</v>
      </c>
      <c r="J6" s="17" t="e">
        <f>J5</f>
        <v>#DIV/0!</v>
      </c>
      <c r="K6" s="17">
        <f>I2</f>
        <v>32.913217508684895</v>
      </c>
      <c r="L6" s="17">
        <f>I14</f>
        <v>17.582198465275066</v>
      </c>
      <c r="M6" s="17" t="e">
        <f t="shared" si="0"/>
        <v>#DIV/0!</v>
      </c>
      <c r="N6" s="17" t="e">
        <f t="shared" si="1"/>
        <v>#DIV/0!</v>
      </c>
    </row>
    <row r="7" spans="1:14" s="17" customFormat="1" ht="17" thickBot="1" x14ac:dyDescent="0.25">
      <c r="A7" s="17" t="s">
        <v>38</v>
      </c>
      <c r="B7" s="17" t="s">
        <v>129</v>
      </c>
      <c r="C7" s="17" t="s">
        <v>32</v>
      </c>
      <c r="E7" s="17">
        <v>36.239018301432303</v>
      </c>
      <c r="F7" s="17" t="s">
        <v>38</v>
      </c>
      <c r="G7" s="18" t="s">
        <v>20</v>
      </c>
      <c r="H7" s="17">
        <v>1704</v>
      </c>
      <c r="I7" s="17" t="e">
        <f>I6</f>
        <v>#DIV/0!</v>
      </c>
      <c r="J7" s="17" t="e">
        <f>J5</f>
        <v>#DIV/0!</v>
      </c>
      <c r="K7" s="17">
        <f>I2</f>
        <v>32.913217508684895</v>
      </c>
      <c r="L7" s="17">
        <f>I14</f>
        <v>17.582198465275066</v>
      </c>
      <c r="M7" s="17" t="e">
        <f t="shared" si="0"/>
        <v>#DIV/0!</v>
      </c>
      <c r="N7" s="17" t="e">
        <f t="shared" si="1"/>
        <v>#DIV/0!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32.447962763858101</v>
      </c>
      <c r="E8">
        <v>32.447962763858101</v>
      </c>
      <c r="F8" t="s">
        <v>39</v>
      </c>
      <c r="G8" s="9" t="s">
        <v>9</v>
      </c>
      <c r="H8">
        <v>1705</v>
      </c>
      <c r="I8">
        <f t="shared" ref="I8" si="2">AVERAGE(D8:D10)</f>
        <v>32.258668635257152</v>
      </c>
      <c r="J8">
        <f t="shared" ref="J8" si="3">STDEV(D8:D10)</f>
        <v>0.26770232394505866</v>
      </c>
      <c r="K8">
        <f>I8</f>
        <v>32.258668635257152</v>
      </c>
      <c r="L8">
        <f>I20</f>
        <v>17.171692773567937</v>
      </c>
      <c r="M8">
        <f t="shared" si="0"/>
        <v>0</v>
      </c>
      <c r="N8">
        <f t="shared" si="1"/>
        <v>15.086975861689215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33.1059383663574</v>
      </c>
      <c r="F9" t="s">
        <v>40</v>
      </c>
      <c r="G9" s="9" t="s">
        <v>9</v>
      </c>
      <c r="H9">
        <v>1705</v>
      </c>
      <c r="I9">
        <f t="shared" ref="I9:J9" si="4">I8</f>
        <v>32.258668635257152</v>
      </c>
      <c r="J9">
        <f t="shared" si="4"/>
        <v>0.26770232394505866</v>
      </c>
      <c r="K9">
        <f>I8</f>
        <v>32.258668635257152</v>
      </c>
      <c r="L9">
        <f>I20</f>
        <v>17.171692773567937</v>
      </c>
      <c r="M9">
        <f t="shared" si="0"/>
        <v>0</v>
      </c>
      <c r="N9">
        <f t="shared" si="1"/>
        <v>15.086975861689215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32.069374506656203</v>
      </c>
      <c r="E10">
        <v>32.069374506656203</v>
      </c>
      <c r="F10" t="s">
        <v>41</v>
      </c>
      <c r="G10" s="9" t="s">
        <v>9</v>
      </c>
      <c r="H10">
        <v>1705</v>
      </c>
      <c r="I10">
        <f t="shared" ref="I10:J10" si="5">I8</f>
        <v>32.258668635257152</v>
      </c>
      <c r="J10">
        <f t="shared" si="5"/>
        <v>0.26770232394505866</v>
      </c>
      <c r="K10">
        <f>I8</f>
        <v>32.258668635257152</v>
      </c>
      <c r="L10">
        <f>I20</f>
        <v>17.171692773567937</v>
      </c>
      <c r="M10">
        <f t="shared" si="0"/>
        <v>0</v>
      </c>
      <c r="N10">
        <f t="shared" si="1"/>
        <v>15.086975861689215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38.4024583547275</v>
      </c>
      <c r="F11" s="17" t="s">
        <v>42</v>
      </c>
      <c r="G11" s="18" t="s">
        <v>20</v>
      </c>
      <c r="H11" s="17">
        <v>1705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32.258668635257152</v>
      </c>
      <c r="L11" s="17">
        <f>I20</f>
        <v>17.171692773567937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1705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32.258668635257152</v>
      </c>
      <c r="L12" s="17">
        <f>I20</f>
        <v>17.171692773567937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 t="s">
        <v>33</v>
      </c>
      <c r="F13" s="17" t="s">
        <v>44</v>
      </c>
      <c r="G13" s="18" t="s">
        <v>20</v>
      </c>
      <c r="H13" s="17">
        <v>1705</v>
      </c>
      <c r="I13" s="17" t="e">
        <f t="shared" si="8"/>
        <v>#DIV/0!</v>
      </c>
      <c r="J13" s="17" t="e">
        <f t="shared" ref="J13" si="9">J11</f>
        <v>#DIV/0!</v>
      </c>
      <c r="K13" s="17">
        <f>I8</f>
        <v>32.258668635257152</v>
      </c>
      <c r="L13" s="17">
        <f>I20</f>
        <v>17.171692773567937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17.575736452370599</v>
      </c>
      <c r="E14">
        <v>17.575736452370599</v>
      </c>
      <c r="F14" t="s">
        <v>45</v>
      </c>
      <c r="G14" s="11" t="s">
        <v>8</v>
      </c>
      <c r="H14">
        <v>1704</v>
      </c>
      <c r="I14">
        <f t="shared" ref="I14" si="10">AVERAGE(D14:D16)</f>
        <v>17.582198465275066</v>
      </c>
      <c r="J14">
        <f t="shared" ref="J14" si="11">STDEV(D14:D16)</f>
        <v>3.5143594268674146E-2</v>
      </c>
      <c r="K14">
        <f>I2</f>
        <v>32.913217508684895</v>
      </c>
      <c r="L14">
        <f>I14</f>
        <v>17.582198465275066</v>
      </c>
      <c r="M14">
        <f t="shared" si="0"/>
        <v>-15.331019043409828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17.550734313418999</v>
      </c>
      <c r="E15">
        <v>17.550734313418999</v>
      </c>
      <c r="F15" t="s">
        <v>46</v>
      </c>
      <c r="G15" s="11" t="s">
        <v>8</v>
      </c>
      <c r="H15">
        <v>1704</v>
      </c>
      <c r="I15">
        <f t="shared" ref="I15:J15" si="12">I14</f>
        <v>17.582198465275066</v>
      </c>
      <c r="J15">
        <f t="shared" si="12"/>
        <v>3.5143594268674146E-2</v>
      </c>
      <c r="K15">
        <f>I2</f>
        <v>32.913217508684895</v>
      </c>
      <c r="L15">
        <f>I14</f>
        <v>17.582198465275066</v>
      </c>
      <c r="M15">
        <f t="shared" si="0"/>
        <v>-15.331019043409828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17.620124630035601</v>
      </c>
      <c r="E16">
        <v>17.620124630035601</v>
      </c>
      <c r="F16" t="s">
        <v>47</v>
      </c>
      <c r="G16" s="11" t="s">
        <v>8</v>
      </c>
      <c r="H16">
        <v>1704</v>
      </c>
      <c r="I16">
        <f t="shared" ref="I16:J16" si="13">I14</f>
        <v>17.582198465275066</v>
      </c>
      <c r="J16">
        <f t="shared" si="13"/>
        <v>3.5143594268674146E-2</v>
      </c>
      <c r="K16">
        <f>I2</f>
        <v>32.913217508684895</v>
      </c>
      <c r="L16">
        <f>I14</f>
        <v>17.582198465275066</v>
      </c>
      <c r="M16">
        <f t="shared" si="0"/>
        <v>-15.331019043409828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33.250237170624203</v>
      </c>
      <c r="E17">
        <v>33.250237170624203</v>
      </c>
      <c r="F17" t="s">
        <v>48</v>
      </c>
      <c r="G17" s="1" t="s">
        <v>21</v>
      </c>
      <c r="H17">
        <v>1704</v>
      </c>
      <c r="I17">
        <f t="shared" ref="I17" si="14">AVERAGE(D17:D19)</f>
        <v>33.071720909838248</v>
      </c>
      <c r="J17">
        <f t="shared" ref="J17" si="15">STDEV(D17:D19)</f>
        <v>0.2524601171076245</v>
      </c>
      <c r="K17">
        <f>I2</f>
        <v>32.913217508684895</v>
      </c>
      <c r="L17">
        <f>I14</f>
        <v>17.582198465275066</v>
      </c>
      <c r="M17">
        <f t="shared" si="0"/>
        <v>0.15850340115335371</v>
      </c>
      <c r="N17">
        <f t="shared" si="1"/>
        <v>15.489522444563182</v>
      </c>
    </row>
    <row r="18" spans="1:14" x14ac:dyDescent="0.2">
      <c r="A18" t="s">
        <v>49</v>
      </c>
      <c r="B18" t="s">
        <v>129</v>
      </c>
      <c r="C18" t="s">
        <v>32</v>
      </c>
      <c r="D18">
        <v>32.893204649052301</v>
      </c>
      <c r="E18">
        <v>32.893204649052301</v>
      </c>
      <c r="F18" t="s">
        <v>49</v>
      </c>
      <c r="G18" s="1" t="s">
        <v>21</v>
      </c>
      <c r="H18">
        <v>1704</v>
      </c>
      <c r="I18">
        <f t="shared" ref="I18:J19" si="16">I17</f>
        <v>33.071720909838248</v>
      </c>
      <c r="J18">
        <f t="shared" si="16"/>
        <v>0.2524601171076245</v>
      </c>
      <c r="K18">
        <f>I2</f>
        <v>32.913217508684895</v>
      </c>
      <c r="L18">
        <f>I14</f>
        <v>17.582198465275066</v>
      </c>
      <c r="M18">
        <f t="shared" si="0"/>
        <v>0.15850340115335371</v>
      </c>
      <c r="N18">
        <f t="shared" si="1"/>
        <v>15.489522444563182</v>
      </c>
    </row>
    <row r="19" spans="1:14" x14ac:dyDescent="0.2">
      <c r="A19" t="s">
        <v>50</v>
      </c>
      <c r="B19" t="s">
        <v>129</v>
      </c>
      <c r="C19" t="s">
        <v>32</v>
      </c>
      <c r="E19">
        <v>32.3751246151215</v>
      </c>
      <c r="F19" t="s">
        <v>50</v>
      </c>
      <c r="G19" s="1" t="s">
        <v>21</v>
      </c>
      <c r="H19">
        <v>1704</v>
      </c>
      <c r="I19">
        <f t="shared" si="16"/>
        <v>33.071720909838248</v>
      </c>
      <c r="J19">
        <f t="shared" ref="J19" si="17">J17</f>
        <v>0.2524601171076245</v>
      </c>
      <c r="K19">
        <f>I2</f>
        <v>32.913217508684895</v>
      </c>
      <c r="L19">
        <f>I14</f>
        <v>17.582198465275066</v>
      </c>
      <c r="M19">
        <f t="shared" si="0"/>
        <v>0.15850340115335371</v>
      </c>
      <c r="N19">
        <f t="shared" si="1"/>
        <v>15.489522444563182</v>
      </c>
    </row>
    <row r="20" spans="1:14" x14ac:dyDescent="0.2">
      <c r="A20" t="s">
        <v>51</v>
      </c>
      <c r="B20" t="s">
        <v>129</v>
      </c>
      <c r="C20" t="s">
        <v>32</v>
      </c>
      <c r="D20">
        <v>17.402258533852201</v>
      </c>
      <c r="E20">
        <v>17.402258533852201</v>
      </c>
      <c r="F20" t="s">
        <v>51</v>
      </c>
      <c r="G20" s="11" t="s">
        <v>8</v>
      </c>
      <c r="H20">
        <v>1705</v>
      </c>
      <c r="I20">
        <f t="shared" ref="I20" si="18">AVERAGE(D20:D22)</f>
        <v>17.171692773567937</v>
      </c>
      <c r="J20">
        <f t="shared" ref="J20" si="19">STDEV(D20:D22)</f>
        <v>0.19979460657841405</v>
      </c>
      <c r="K20">
        <f>I8</f>
        <v>32.258668635257152</v>
      </c>
      <c r="L20">
        <f>I20</f>
        <v>17.171692773567937</v>
      </c>
      <c r="M20">
        <f t="shared" si="0"/>
        <v>-15.086975861689215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17.063298830660699</v>
      </c>
      <c r="E21">
        <v>17.063298830660699</v>
      </c>
      <c r="F21" t="s">
        <v>52</v>
      </c>
      <c r="G21" s="11" t="s">
        <v>8</v>
      </c>
      <c r="H21">
        <v>1705</v>
      </c>
      <c r="I21">
        <f t="shared" ref="I21:J21" si="20">I20</f>
        <v>17.171692773567937</v>
      </c>
      <c r="J21">
        <f t="shared" si="20"/>
        <v>0.19979460657841405</v>
      </c>
      <c r="K21">
        <f>I8</f>
        <v>32.258668635257152</v>
      </c>
      <c r="L21">
        <f>I20</f>
        <v>17.171692773567937</v>
      </c>
      <c r="M21">
        <f t="shared" si="0"/>
        <v>-15.086975861689215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17.0495209561909</v>
      </c>
      <c r="E22">
        <v>17.0495209561909</v>
      </c>
      <c r="F22" t="s">
        <v>53</v>
      </c>
      <c r="G22" s="11" t="s">
        <v>8</v>
      </c>
      <c r="H22">
        <v>1705</v>
      </c>
      <c r="I22">
        <f t="shared" ref="I22:J22" si="21">I20</f>
        <v>17.171692773567937</v>
      </c>
      <c r="J22">
        <f t="shared" si="21"/>
        <v>0.19979460657841405</v>
      </c>
      <c r="K22">
        <f>I8</f>
        <v>32.258668635257152</v>
      </c>
      <c r="L22">
        <f>I20</f>
        <v>17.171692773567937</v>
      </c>
      <c r="M22">
        <f t="shared" si="0"/>
        <v>-15.086975861689215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33.149046946572199</v>
      </c>
      <c r="F23" s="17" t="s">
        <v>54</v>
      </c>
      <c r="G23" s="19" t="s">
        <v>21</v>
      </c>
      <c r="H23" s="17">
        <v>1705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32.258668635257152</v>
      </c>
      <c r="L23" s="17">
        <f>I20</f>
        <v>17.171692773567937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 t="s">
        <v>33</v>
      </c>
      <c r="F24" s="17" t="s">
        <v>55</v>
      </c>
      <c r="G24" s="19" t="s">
        <v>21</v>
      </c>
      <c r="H24" s="17">
        <v>1705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32.258668635257152</v>
      </c>
      <c r="L24" s="17">
        <f>I20</f>
        <v>17.171692773567937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36.288494802304598</v>
      </c>
      <c r="F25" s="17" t="s">
        <v>56</v>
      </c>
      <c r="G25" s="19" t="s">
        <v>21</v>
      </c>
      <c r="H25" s="17">
        <v>1705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32.258668635257152</v>
      </c>
      <c r="L25" s="17">
        <f>I20</f>
        <v>17.171692773567937</v>
      </c>
      <c r="M25" s="17" t="e">
        <f t="shared" si="0"/>
        <v>#DIV/0!</v>
      </c>
      <c r="N25" s="17" t="e">
        <f t="shared" si="1"/>
        <v>#DIV/0!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32.331474923166503</v>
      </c>
      <c r="F26" s="17" t="s">
        <v>57</v>
      </c>
      <c r="G26" s="20" t="s">
        <v>14</v>
      </c>
      <c r="H26" s="17">
        <v>1704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32.913217508684895</v>
      </c>
      <c r="L26" s="17">
        <f>I14</f>
        <v>17.582198465275066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30.8939363601046</v>
      </c>
      <c r="F27" s="17" t="s">
        <v>58</v>
      </c>
      <c r="G27" s="20" t="s">
        <v>14</v>
      </c>
      <c r="H27" s="17">
        <v>1704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32.913217508684895</v>
      </c>
      <c r="L27" s="17">
        <f>I14</f>
        <v>17.582198465275066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35.573228454518599</v>
      </c>
      <c r="F28" s="17" t="s">
        <v>59</v>
      </c>
      <c r="G28" s="20" t="s">
        <v>14</v>
      </c>
      <c r="H28" s="17">
        <v>1704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32.913217508684895</v>
      </c>
      <c r="L28" s="17">
        <f>I14</f>
        <v>17.582198465275066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31.346710171096301</v>
      </c>
      <c r="E29">
        <v>31.346710171096301</v>
      </c>
      <c r="F29" t="s">
        <v>60</v>
      </c>
      <c r="G29" s="1" t="s">
        <v>23</v>
      </c>
      <c r="H29">
        <v>1704</v>
      </c>
      <c r="I29">
        <f t="shared" ref="I29" si="30">AVERAGE(D29:D31)</f>
        <v>31.29968323581685</v>
      </c>
      <c r="J29">
        <f t="shared" ref="J29" si="31">STDEV(D29:D31)</f>
        <v>6.6506129669041389E-2</v>
      </c>
      <c r="K29">
        <f>I2</f>
        <v>32.913217508684895</v>
      </c>
      <c r="L29">
        <f>I14</f>
        <v>17.582198465275066</v>
      </c>
      <c r="M29">
        <f t="shared" si="0"/>
        <v>-1.6135342728680442</v>
      </c>
      <c r="N29">
        <f t="shared" si="1"/>
        <v>13.717484770541784</v>
      </c>
    </row>
    <row r="30" spans="1:14" x14ac:dyDescent="0.2">
      <c r="A30" t="s">
        <v>61</v>
      </c>
      <c r="B30" t="s">
        <v>129</v>
      </c>
      <c r="C30" t="s">
        <v>32</v>
      </c>
      <c r="E30">
        <v>32.203216231631004</v>
      </c>
      <c r="F30" t="s">
        <v>61</v>
      </c>
      <c r="G30" s="1" t="s">
        <v>23</v>
      </c>
      <c r="H30">
        <v>1704</v>
      </c>
      <c r="I30">
        <f t="shared" ref="I30:J31" si="32">I29</f>
        <v>31.29968323581685</v>
      </c>
      <c r="J30">
        <f t="shared" si="32"/>
        <v>6.6506129669041389E-2</v>
      </c>
      <c r="K30">
        <f>I2</f>
        <v>32.913217508684895</v>
      </c>
      <c r="L30">
        <f>I14</f>
        <v>17.582198465275066</v>
      </c>
      <c r="M30">
        <f t="shared" si="0"/>
        <v>-1.6135342728680442</v>
      </c>
      <c r="N30">
        <f t="shared" si="1"/>
        <v>13.717484770541784</v>
      </c>
    </row>
    <row r="31" spans="1:14" x14ac:dyDescent="0.2">
      <c r="A31" t="s">
        <v>62</v>
      </c>
      <c r="B31" t="s">
        <v>129</v>
      </c>
      <c r="C31" t="s">
        <v>32</v>
      </c>
      <c r="D31">
        <v>31.252656300537399</v>
      </c>
      <c r="E31">
        <v>31.252656300537399</v>
      </c>
      <c r="F31" t="s">
        <v>62</v>
      </c>
      <c r="G31" s="1" t="s">
        <v>23</v>
      </c>
      <c r="H31">
        <v>1704</v>
      </c>
      <c r="I31">
        <f t="shared" si="32"/>
        <v>31.29968323581685</v>
      </c>
      <c r="J31">
        <f t="shared" ref="J31" si="33">J29</f>
        <v>6.6506129669041389E-2</v>
      </c>
      <c r="K31">
        <f>I2</f>
        <v>32.913217508684895</v>
      </c>
      <c r="L31">
        <f>I14</f>
        <v>17.582198465275066</v>
      </c>
      <c r="M31">
        <f t="shared" si="0"/>
        <v>-1.6135342728680442</v>
      </c>
      <c r="N31">
        <f t="shared" si="1"/>
        <v>13.717484770541784</v>
      </c>
    </row>
    <row r="32" spans="1:14" x14ac:dyDescent="0.2">
      <c r="A32" t="s">
        <v>63</v>
      </c>
      <c r="B32" t="s">
        <v>129</v>
      </c>
      <c r="C32" t="s">
        <v>32</v>
      </c>
      <c r="D32">
        <v>31.383290746476099</v>
      </c>
      <c r="E32">
        <v>31.383290746476099</v>
      </c>
      <c r="F32" t="s">
        <v>63</v>
      </c>
      <c r="G32" s="4" t="s">
        <v>14</v>
      </c>
      <c r="H32">
        <v>1705</v>
      </c>
      <c r="I32">
        <f t="shared" ref="I32" si="34">AVERAGE(D32:D34)</f>
        <v>31.678555967051199</v>
      </c>
      <c r="J32">
        <f t="shared" ref="J32" si="35">STDEV(D32:D34)</f>
        <v>0.41756807943438995</v>
      </c>
      <c r="K32">
        <f>I8</f>
        <v>32.258668635257152</v>
      </c>
      <c r="L32">
        <f>I20</f>
        <v>17.171692773567937</v>
      </c>
      <c r="M32">
        <f t="shared" si="0"/>
        <v>-0.58011266820595253</v>
      </c>
      <c r="N32">
        <f t="shared" si="1"/>
        <v>14.506863193483262</v>
      </c>
    </row>
    <row r="33" spans="1:14" x14ac:dyDescent="0.2">
      <c r="A33" t="s">
        <v>64</v>
      </c>
      <c r="B33" t="s">
        <v>129</v>
      </c>
      <c r="C33" t="s">
        <v>32</v>
      </c>
      <c r="E33">
        <v>33.106074407212098</v>
      </c>
      <c r="F33" t="s">
        <v>64</v>
      </c>
      <c r="G33" s="4" t="s">
        <v>14</v>
      </c>
      <c r="H33">
        <v>1705</v>
      </c>
      <c r="I33">
        <f t="shared" ref="I33:J33" si="36">I32</f>
        <v>31.678555967051199</v>
      </c>
      <c r="J33">
        <f t="shared" si="36"/>
        <v>0.41756807943438995</v>
      </c>
      <c r="K33">
        <f>I8</f>
        <v>32.258668635257152</v>
      </c>
      <c r="L33">
        <f>I20</f>
        <v>17.171692773567937</v>
      </c>
      <c r="M33">
        <f t="shared" si="0"/>
        <v>-0.58011266820595253</v>
      </c>
      <c r="N33">
        <f t="shared" si="1"/>
        <v>14.506863193483262</v>
      </c>
    </row>
    <row r="34" spans="1:14" x14ac:dyDescent="0.2">
      <c r="A34" t="s">
        <v>65</v>
      </c>
      <c r="B34" t="s">
        <v>129</v>
      </c>
      <c r="C34" t="s">
        <v>32</v>
      </c>
      <c r="D34">
        <v>31.973821187626299</v>
      </c>
      <c r="E34">
        <v>31.973821187626299</v>
      </c>
      <c r="F34" t="s">
        <v>65</v>
      </c>
      <c r="G34" s="4" t="s">
        <v>14</v>
      </c>
      <c r="H34">
        <v>1705</v>
      </c>
      <c r="I34">
        <f t="shared" ref="I34:J34" si="37">I32</f>
        <v>31.678555967051199</v>
      </c>
      <c r="J34">
        <f t="shared" si="37"/>
        <v>0.41756807943438995</v>
      </c>
      <c r="K34">
        <f>I8</f>
        <v>32.258668635257152</v>
      </c>
      <c r="L34">
        <f>I20</f>
        <v>17.171692773567937</v>
      </c>
      <c r="M34">
        <f t="shared" si="0"/>
        <v>-0.58011266820595253</v>
      </c>
      <c r="N34">
        <f t="shared" si="1"/>
        <v>14.506863193483262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>
        <v>31.251981859898901</v>
      </c>
      <c r="F35" s="17" t="s">
        <v>66</v>
      </c>
      <c r="G35" s="19" t="s">
        <v>23</v>
      </c>
      <c r="H35" s="17">
        <v>1705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>
        <f>I8</f>
        <v>32.258668635257152</v>
      </c>
      <c r="L35" s="17">
        <f>I20</f>
        <v>17.171692773567937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32.388349477083601</v>
      </c>
      <c r="F36" s="17" t="s">
        <v>67</v>
      </c>
      <c r="G36" s="19" t="s">
        <v>23</v>
      </c>
      <c r="H36" s="17">
        <v>1705</v>
      </c>
      <c r="I36" s="17" t="e">
        <f t="shared" ref="I36:J37" si="40">I35</f>
        <v>#DIV/0!</v>
      </c>
      <c r="J36" s="17" t="e">
        <f t="shared" si="40"/>
        <v>#DIV/0!</v>
      </c>
      <c r="K36" s="17">
        <f>I8</f>
        <v>32.258668635257152</v>
      </c>
      <c r="L36" s="17">
        <f>I20</f>
        <v>17.171692773567937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>
        <v>28.962314125396301</v>
      </c>
      <c r="F37" s="17" t="s">
        <v>68</v>
      </c>
      <c r="G37" s="19" t="s">
        <v>23</v>
      </c>
      <c r="H37" s="17">
        <v>1705</v>
      </c>
      <c r="I37" s="17" t="e">
        <f t="shared" si="40"/>
        <v>#DIV/0!</v>
      </c>
      <c r="J37" s="17" t="e">
        <f t="shared" ref="J37" si="41">J35</f>
        <v>#DIV/0!</v>
      </c>
      <c r="K37" s="17">
        <f>I8</f>
        <v>32.258668635257152</v>
      </c>
      <c r="L37" s="17">
        <f>I20</f>
        <v>17.171692773567937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E38">
        <v>34.050449364367203</v>
      </c>
      <c r="F38" t="s">
        <v>69</v>
      </c>
      <c r="G38" s="4" t="s">
        <v>15</v>
      </c>
      <c r="H38">
        <v>1704</v>
      </c>
      <c r="I38">
        <f t="shared" ref="I38" si="42">AVERAGE(D38:D40)</f>
        <v>32.797263999248152</v>
      </c>
      <c r="J38">
        <f t="shared" ref="J38" si="43">STDEV(D38:D40)</f>
        <v>0.58915240477681963</v>
      </c>
      <c r="K38">
        <f>I2</f>
        <v>32.913217508684895</v>
      </c>
      <c r="L38">
        <f>I14</f>
        <v>17.582198465275066</v>
      </c>
      <c r="M38">
        <f t="shared" si="0"/>
        <v>-0.11595350943674276</v>
      </c>
      <c r="N38">
        <f t="shared" si="1"/>
        <v>15.215065533973085</v>
      </c>
    </row>
    <row r="39" spans="1:14" x14ac:dyDescent="0.2">
      <c r="A39" t="s">
        <v>70</v>
      </c>
      <c r="B39" t="s">
        <v>129</v>
      </c>
      <c r="C39" t="s">
        <v>32</v>
      </c>
      <c r="D39">
        <v>33.213857659818203</v>
      </c>
      <c r="E39">
        <v>33.213857659818203</v>
      </c>
      <c r="F39" t="s">
        <v>70</v>
      </c>
      <c r="G39" s="4" t="s">
        <v>15</v>
      </c>
      <c r="H39">
        <v>1704</v>
      </c>
      <c r="I39">
        <f t="shared" ref="I39:J39" si="44">I38</f>
        <v>32.797263999248152</v>
      </c>
      <c r="J39">
        <f t="shared" si="44"/>
        <v>0.58915240477681963</v>
      </c>
      <c r="K39">
        <f>I2</f>
        <v>32.913217508684895</v>
      </c>
      <c r="L39">
        <f>I14</f>
        <v>17.582198465275066</v>
      </c>
      <c r="M39">
        <f t="shared" si="0"/>
        <v>-0.11595350943674276</v>
      </c>
      <c r="N39">
        <f t="shared" si="1"/>
        <v>15.215065533973085</v>
      </c>
    </row>
    <row r="40" spans="1:14" x14ac:dyDescent="0.2">
      <c r="A40" t="s">
        <v>71</v>
      </c>
      <c r="B40" t="s">
        <v>129</v>
      </c>
      <c r="C40" t="s">
        <v>32</v>
      </c>
      <c r="D40">
        <v>32.380670338678101</v>
      </c>
      <c r="E40">
        <v>32.380670338678101</v>
      </c>
      <c r="F40" t="s">
        <v>71</v>
      </c>
      <c r="G40" s="4" t="s">
        <v>15</v>
      </c>
      <c r="H40">
        <v>1704</v>
      </c>
      <c r="I40">
        <f t="shared" ref="I40:J40" si="45">I38</f>
        <v>32.797263999248152</v>
      </c>
      <c r="J40">
        <f t="shared" si="45"/>
        <v>0.58915240477681963</v>
      </c>
      <c r="K40">
        <f>I2</f>
        <v>32.913217508684895</v>
      </c>
      <c r="L40">
        <f>I14</f>
        <v>17.582198465275066</v>
      </c>
      <c r="M40">
        <f t="shared" si="0"/>
        <v>-0.11595350943674276</v>
      </c>
      <c r="N40">
        <f t="shared" si="1"/>
        <v>15.215065533973085</v>
      </c>
    </row>
    <row r="41" spans="1:14" x14ac:dyDescent="0.2">
      <c r="A41" t="s">
        <v>72</v>
      </c>
      <c r="B41" t="s">
        <v>129</v>
      </c>
      <c r="C41" t="s">
        <v>32</v>
      </c>
      <c r="D41">
        <v>32.499949709321399</v>
      </c>
      <c r="E41">
        <v>32.499949709321399</v>
      </c>
      <c r="F41" t="s">
        <v>72</v>
      </c>
      <c r="G41" s="1" t="s">
        <v>22</v>
      </c>
      <c r="H41">
        <v>1704</v>
      </c>
      <c r="I41">
        <f t="shared" ref="I41" si="46">AVERAGE(D41:D43)</f>
        <v>32.534127354832847</v>
      </c>
      <c r="J41">
        <f t="shared" ref="J41" si="47">STDEV(D41:D43)</f>
        <v>4.8334489812275318E-2</v>
      </c>
      <c r="K41">
        <f>I2</f>
        <v>32.913217508684895</v>
      </c>
      <c r="L41">
        <f>I14</f>
        <v>17.582198465275066</v>
      </c>
      <c r="M41">
        <f t="shared" si="0"/>
        <v>-0.37909015385204725</v>
      </c>
      <c r="N41">
        <f t="shared" si="1"/>
        <v>14.951928889557781</v>
      </c>
    </row>
    <row r="42" spans="1:14" x14ac:dyDescent="0.2">
      <c r="A42" t="s">
        <v>73</v>
      </c>
      <c r="B42" t="s">
        <v>129</v>
      </c>
      <c r="C42" t="s">
        <v>32</v>
      </c>
      <c r="E42">
        <v>37.503194979539401</v>
      </c>
      <c r="F42" t="s">
        <v>73</v>
      </c>
      <c r="G42" s="1" t="s">
        <v>22</v>
      </c>
      <c r="H42">
        <v>1704</v>
      </c>
      <c r="I42">
        <f t="shared" ref="I42:J43" si="48">I41</f>
        <v>32.534127354832847</v>
      </c>
      <c r="J42">
        <f t="shared" si="48"/>
        <v>4.8334489812275318E-2</v>
      </c>
      <c r="K42">
        <f>I2</f>
        <v>32.913217508684895</v>
      </c>
      <c r="L42">
        <f>I14</f>
        <v>17.582198465275066</v>
      </c>
      <c r="M42">
        <f t="shared" si="0"/>
        <v>-0.37909015385204725</v>
      </c>
      <c r="N42">
        <f t="shared" si="1"/>
        <v>14.951928889557781</v>
      </c>
    </row>
    <row r="43" spans="1:14" x14ac:dyDescent="0.2">
      <c r="A43" t="s">
        <v>74</v>
      </c>
      <c r="B43" t="s">
        <v>129</v>
      </c>
      <c r="C43" t="s">
        <v>32</v>
      </c>
      <c r="D43">
        <v>32.568305000344303</v>
      </c>
      <c r="E43">
        <v>32.568305000344303</v>
      </c>
      <c r="F43" t="s">
        <v>74</v>
      </c>
      <c r="G43" s="1" t="s">
        <v>22</v>
      </c>
      <c r="H43">
        <v>1704</v>
      </c>
      <c r="I43">
        <f t="shared" si="48"/>
        <v>32.534127354832847</v>
      </c>
      <c r="J43">
        <f t="shared" ref="J43" si="49">J41</f>
        <v>4.8334489812275318E-2</v>
      </c>
      <c r="K43">
        <f>I2</f>
        <v>32.913217508684895</v>
      </c>
      <c r="L43">
        <f>I14</f>
        <v>17.582198465275066</v>
      </c>
      <c r="M43">
        <f t="shared" si="0"/>
        <v>-0.37909015385204725</v>
      </c>
      <c r="N43">
        <f t="shared" si="1"/>
        <v>14.951928889557781</v>
      </c>
    </row>
    <row r="44" spans="1:14" x14ac:dyDescent="0.2">
      <c r="A44" t="s">
        <v>75</v>
      </c>
      <c r="B44" t="s">
        <v>129</v>
      </c>
      <c r="C44" t="s">
        <v>32</v>
      </c>
      <c r="D44">
        <v>31.4727094680707</v>
      </c>
      <c r="E44">
        <v>31.4727094680707</v>
      </c>
      <c r="F44" t="s">
        <v>75</v>
      </c>
      <c r="G44" s="4" t="s">
        <v>15</v>
      </c>
      <c r="H44">
        <v>1705</v>
      </c>
      <c r="I44">
        <f t="shared" ref="I44" si="50">AVERAGE(D44:D46)</f>
        <v>31.522870889420652</v>
      </c>
      <c r="J44">
        <f t="shared" ref="J44" si="51">STDEV(D44:D46)</f>
        <v>7.0938962381010218E-2</v>
      </c>
      <c r="K44">
        <f>I8</f>
        <v>32.258668635257152</v>
      </c>
      <c r="L44">
        <f>I20</f>
        <v>17.171692773567937</v>
      </c>
      <c r="M44">
        <f t="shared" si="0"/>
        <v>-0.73579774583649993</v>
      </c>
      <c r="N44">
        <f t="shared" si="1"/>
        <v>14.351178115852715</v>
      </c>
    </row>
    <row r="45" spans="1:14" x14ac:dyDescent="0.2">
      <c r="A45" t="s">
        <v>76</v>
      </c>
      <c r="B45" t="s">
        <v>129</v>
      </c>
      <c r="C45" t="s">
        <v>32</v>
      </c>
      <c r="E45">
        <v>32.292668416650798</v>
      </c>
      <c r="F45" t="s">
        <v>76</v>
      </c>
      <c r="G45" s="4" t="s">
        <v>15</v>
      </c>
      <c r="H45">
        <v>1705</v>
      </c>
      <c r="I45">
        <f t="shared" ref="I45:J45" si="52">I44</f>
        <v>31.522870889420652</v>
      </c>
      <c r="J45">
        <f t="shared" si="52"/>
        <v>7.0938962381010218E-2</v>
      </c>
      <c r="K45">
        <f>I8</f>
        <v>32.258668635257152</v>
      </c>
      <c r="L45">
        <f>I20</f>
        <v>17.171692773567937</v>
      </c>
      <c r="M45">
        <f t="shared" si="0"/>
        <v>-0.73579774583649993</v>
      </c>
      <c r="N45">
        <f t="shared" si="1"/>
        <v>14.351178115852715</v>
      </c>
    </row>
    <row r="46" spans="1:14" x14ac:dyDescent="0.2">
      <c r="A46" t="s">
        <v>77</v>
      </c>
      <c r="B46" t="s">
        <v>129</v>
      </c>
      <c r="C46" t="s">
        <v>32</v>
      </c>
      <c r="D46">
        <v>31.5730323107706</v>
      </c>
      <c r="E46">
        <v>31.5730323107706</v>
      </c>
      <c r="F46" t="s">
        <v>77</v>
      </c>
      <c r="G46" s="4" t="s">
        <v>15</v>
      </c>
      <c r="H46">
        <v>1705</v>
      </c>
      <c r="I46">
        <f t="shared" ref="I46:J46" si="53">I44</f>
        <v>31.522870889420652</v>
      </c>
      <c r="J46">
        <f t="shared" si="53"/>
        <v>7.0938962381010218E-2</v>
      </c>
      <c r="K46">
        <f>I8</f>
        <v>32.258668635257152</v>
      </c>
      <c r="L46">
        <f>I20</f>
        <v>17.171692773567937</v>
      </c>
      <c r="M46">
        <f t="shared" si="0"/>
        <v>-0.73579774583649993</v>
      </c>
      <c r="N46">
        <f t="shared" si="1"/>
        <v>14.351178115852715</v>
      </c>
    </row>
    <row r="47" spans="1:14" x14ac:dyDescent="0.2">
      <c r="A47" t="s">
        <v>78</v>
      </c>
      <c r="B47" t="s">
        <v>129</v>
      </c>
      <c r="C47" t="s">
        <v>32</v>
      </c>
      <c r="D47">
        <v>33.318476191989703</v>
      </c>
      <c r="E47">
        <v>33.318476191989703</v>
      </c>
      <c r="F47" t="s">
        <v>78</v>
      </c>
      <c r="G47" s="1" t="s">
        <v>22</v>
      </c>
      <c r="H47">
        <v>1705</v>
      </c>
      <c r="I47">
        <f t="shared" ref="I47" si="54">AVERAGE(D47:D49)</f>
        <v>33.362246008821955</v>
      </c>
      <c r="J47">
        <f t="shared" ref="J47" si="55">STDEV(D47:D49)</f>
        <v>6.1899868586752886E-2</v>
      </c>
      <c r="K47">
        <f>I8</f>
        <v>32.258668635257152</v>
      </c>
      <c r="L47">
        <f>I20</f>
        <v>17.171692773567937</v>
      </c>
      <c r="M47">
        <f t="shared" si="0"/>
        <v>1.1035773735648036</v>
      </c>
      <c r="N47">
        <f t="shared" si="1"/>
        <v>16.190553235254018</v>
      </c>
    </row>
    <row r="48" spans="1:14" x14ac:dyDescent="0.2">
      <c r="A48" t="s">
        <v>79</v>
      </c>
      <c r="B48" t="s">
        <v>129</v>
      </c>
      <c r="C48" t="s">
        <v>32</v>
      </c>
      <c r="D48">
        <v>33.406015825654201</v>
      </c>
      <c r="E48">
        <v>33.406015825654201</v>
      </c>
      <c r="F48" t="s">
        <v>79</v>
      </c>
      <c r="G48" s="1" t="s">
        <v>22</v>
      </c>
      <c r="H48">
        <v>1705</v>
      </c>
      <c r="I48">
        <f t="shared" ref="I48:J49" si="56">I47</f>
        <v>33.362246008821955</v>
      </c>
      <c r="J48">
        <f t="shared" si="56"/>
        <v>6.1899868586752886E-2</v>
      </c>
      <c r="K48">
        <f>I8</f>
        <v>32.258668635257152</v>
      </c>
      <c r="L48">
        <f>I20</f>
        <v>17.171692773567937</v>
      </c>
      <c r="M48">
        <f t="shared" si="0"/>
        <v>1.1035773735648036</v>
      </c>
      <c r="N48">
        <f t="shared" si="1"/>
        <v>16.190553235254018</v>
      </c>
    </row>
    <row r="49" spans="1:14" x14ac:dyDescent="0.2">
      <c r="A49" t="s">
        <v>80</v>
      </c>
      <c r="B49" t="s">
        <v>129</v>
      </c>
      <c r="C49" t="s">
        <v>32</v>
      </c>
      <c r="E49">
        <v>12.9448131954916</v>
      </c>
      <c r="F49" t="s">
        <v>80</v>
      </c>
      <c r="G49" s="1" t="s">
        <v>22</v>
      </c>
      <c r="H49">
        <v>1705</v>
      </c>
      <c r="I49">
        <f t="shared" si="56"/>
        <v>33.362246008821955</v>
      </c>
      <c r="J49">
        <f t="shared" ref="J49" si="57">J47</f>
        <v>6.1899868586752886E-2</v>
      </c>
      <c r="K49">
        <f>I8</f>
        <v>32.258668635257152</v>
      </c>
      <c r="L49">
        <f>I20</f>
        <v>17.171692773567937</v>
      </c>
      <c r="M49">
        <f t="shared" si="0"/>
        <v>1.1035773735648036</v>
      </c>
      <c r="N49">
        <f t="shared" si="1"/>
        <v>16.190553235254018</v>
      </c>
    </row>
    <row r="50" spans="1:14" x14ac:dyDescent="0.2">
      <c r="A50" t="s">
        <v>81</v>
      </c>
      <c r="B50" t="s">
        <v>129</v>
      </c>
      <c r="C50" t="s">
        <v>32</v>
      </c>
      <c r="D50">
        <v>31.8864632739344</v>
      </c>
      <c r="E50">
        <v>31.8864632739344</v>
      </c>
      <c r="F50" t="s">
        <v>81</v>
      </c>
      <c r="G50" s="4" t="s">
        <v>16</v>
      </c>
      <c r="H50">
        <v>1704</v>
      </c>
      <c r="I50">
        <f t="shared" ref="I50" si="58">AVERAGE(D50:D52)</f>
        <v>31.790883475232</v>
      </c>
      <c r="J50">
        <f t="shared" ref="J50" si="59">STDEV(D50:D52)</f>
        <v>0.13517024761382329</v>
      </c>
      <c r="K50">
        <f>I2</f>
        <v>32.913217508684895</v>
      </c>
      <c r="L50">
        <f>I14</f>
        <v>17.582198465275066</v>
      </c>
      <c r="M50">
        <f t="shared" si="0"/>
        <v>-1.1223340334528942</v>
      </c>
      <c r="N50">
        <f t="shared" si="1"/>
        <v>14.208685009956934</v>
      </c>
    </row>
    <row r="51" spans="1:14" x14ac:dyDescent="0.2">
      <c r="A51" t="s">
        <v>82</v>
      </c>
      <c r="B51" t="s">
        <v>129</v>
      </c>
      <c r="C51" t="s">
        <v>32</v>
      </c>
      <c r="E51">
        <v>30.912493717265601</v>
      </c>
      <c r="F51" t="s">
        <v>82</v>
      </c>
      <c r="G51" s="4" t="s">
        <v>16</v>
      </c>
      <c r="H51">
        <v>1704</v>
      </c>
      <c r="I51">
        <f t="shared" ref="I51:J51" si="60">I50</f>
        <v>31.790883475232</v>
      </c>
      <c r="J51">
        <f t="shared" si="60"/>
        <v>0.13517024761382329</v>
      </c>
      <c r="K51">
        <f>I2</f>
        <v>32.913217508684895</v>
      </c>
      <c r="L51">
        <f>I14</f>
        <v>17.582198465275066</v>
      </c>
      <c r="M51">
        <f t="shared" si="0"/>
        <v>-1.1223340334528942</v>
      </c>
      <c r="N51">
        <f t="shared" si="1"/>
        <v>14.208685009956934</v>
      </c>
    </row>
    <row r="52" spans="1:14" x14ac:dyDescent="0.2">
      <c r="A52" t="s">
        <v>83</v>
      </c>
      <c r="B52" t="s">
        <v>129</v>
      </c>
      <c r="C52" t="s">
        <v>32</v>
      </c>
      <c r="D52">
        <v>31.695303676529601</v>
      </c>
      <c r="E52">
        <v>31.695303676529601</v>
      </c>
      <c r="F52" t="s">
        <v>83</v>
      </c>
      <c r="G52" s="4" t="s">
        <v>16</v>
      </c>
      <c r="H52">
        <v>1704</v>
      </c>
      <c r="I52">
        <f t="shared" ref="I52:J52" si="61">I50</f>
        <v>31.790883475232</v>
      </c>
      <c r="J52">
        <f t="shared" si="61"/>
        <v>0.13517024761382329</v>
      </c>
      <c r="K52">
        <f>I2</f>
        <v>32.913217508684895</v>
      </c>
      <c r="L52">
        <f>I14</f>
        <v>17.582198465275066</v>
      </c>
      <c r="M52">
        <f t="shared" si="0"/>
        <v>-1.1223340334528942</v>
      </c>
      <c r="N52">
        <f t="shared" si="1"/>
        <v>14.208685009956934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31.1259363499077</v>
      </c>
      <c r="F53" s="17" t="s">
        <v>84</v>
      </c>
      <c r="G53" s="19" t="s">
        <v>24</v>
      </c>
      <c r="H53" s="17">
        <v>1704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32.913217508684895</v>
      </c>
      <c r="L53" s="17">
        <f>I14</f>
        <v>17.582198465275066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>
        <v>33.548461204302598</v>
      </c>
      <c r="F54" s="17" t="s">
        <v>85</v>
      </c>
      <c r="G54" s="19" t="s">
        <v>24</v>
      </c>
      <c r="H54" s="17">
        <v>1704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32.913217508684895</v>
      </c>
      <c r="L54" s="17">
        <f>I14</f>
        <v>17.582198465275066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32.140155728460797</v>
      </c>
      <c r="F55" s="17" t="s">
        <v>86</v>
      </c>
      <c r="G55" s="19" t="s">
        <v>24</v>
      </c>
      <c r="H55" s="17">
        <v>1704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32.913217508684895</v>
      </c>
      <c r="L55" s="17">
        <f>I14</f>
        <v>17.582198465275066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E56">
        <v>30.289294373643401</v>
      </c>
      <c r="F56" t="s">
        <v>87</v>
      </c>
      <c r="G56" s="4" t="s">
        <v>16</v>
      </c>
      <c r="H56">
        <v>1705</v>
      </c>
      <c r="I56">
        <f t="shared" ref="I56" si="66">AVERAGE(D56:D58)</f>
        <v>31.3814800291007</v>
      </c>
      <c r="J56">
        <f t="shared" ref="J56" si="67">STDEV(D56:D58)</f>
        <v>0.48574352759245526</v>
      </c>
      <c r="K56">
        <f>I8</f>
        <v>32.258668635257152</v>
      </c>
      <c r="L56">
        <f>I20</f>
        <v>17.171692773567937</v>
      </c>
      <c r="M56">
        <f t="shared" si="0"/>
        <v>-0.87718860615645156</v>
      </c>
      <c r="N56">
        <f t="shared" si="1"/>
        <v>14.209787255532763</v>
      </c>
    </row>
    <row r="57" spans="1:14" x14ac:dyDescent="0.2">
      <c r="A57" t="s">
        <v>88</v>
      </c>
      <c r="B57" t="s">
        <v>129</v>
      </c>
      <c r="C57" t="s">
        <v>32</v>
      </c>
      <c r="D57">
        <v>31.0380074868226</v>
      </c>
      <c r="E57">
        <v>31.0380074868226</v>
      </c>
      <c r="F57" t="s">
        <v>88</v>
      </c>
      <c r="G57" s="4" t="s">
        <v>16</v>
      </c>
      <c r="H57">
        <v>1705</v>
      </c>
      <c r="I57">
        <f t="shared" ref="I57:J57" si="68">I56</f>
        <v>31.3814800291007</v>
      </c>
      <c r="J57">
        <f t="shared" si="68"/>
        <v>0.48574352759245526</v>
      </c>
      <c r="K57">
        <f>I8</f>
        <v>32.258668635257152</v>
      </c>
      <c r="L57">
        <f>I20</f>
        <v>17.171692773567937</v>
      </c>
      <c r="M57">
        <f t="shared" si="0"/>
        <v>-0.87718860615645156</v>
      </c>
      <c r="N57">
        <f t="shared" si="1"/>
        <v>14.209787255532763</v>
      </c>
    </row>
    <row r="58" spans="1:14" x14ac:dyDescent="0.2">
      <c r="A58" t="s">
        <v>89</v>
      </c>
      <c r="B58" t="s">
        <v>129</v>
      </c>
      <c r="C58" t="s">
        <v>32</v>
      </c>
      <c r="D58">
        <v>31.7249525713788</v>
      </c>
      <c r="E58">
        <v>31.7249525713788</v>
      </c>
      <c r="F58" t="s">
        <v>89</v>
      </c>
      <c r="G58" s="4" t="s">
        <v>16</v>
      </c>
      <c r="H58">
        <v>1705</v>
      </c>
      <c r="I58">
        <f t="shared" ref="I58:J58" si="69">I56</f>
        <v>31.3814800291007</v>
      </c>
      <c r="J58">
        <f t="shared" si="69"/>
        <v>0.48574352759245526</v>
      </c>
      <c r="K58">
        <f>I8</f>
        <v>32.258668635257152</v>
      </c>
      <c r="L58">
        <f>I20</f>
        <v>17.171692773567937</v>
      </c>
      <c r="M58">
        <f t="shared" si="0"/>
        <v>-0.87718860615645156</v>
      </c>
      <c r="N58">
        <f t="shared" si="1"/>
        <v>14.209787255532763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31.199697266727501</v>
      </c>
      <c r="F59" s="17" t="s">
        <v>90</v>
      </c>
      <c r="G59" s="19" t="s">
        <v>24</v>
      </c>
      <c r="H59" s="17">
        <v>1705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32.258668635257152</v>
      </c>
      <c r="L59" s="17">
        <f>I20</f>
        <v>17.171692773567937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33.408060669997603</v>
      </c>
      <c r="F60" s="17" t="s">
        <v>91</v>
      </c>
      <c r="G60" s="19" t="s">
        <v>24</v>
      </c>
      <c r="H60" s="17">
        <v>1705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32.258668635257152</v>
      </c>
      <c r="L60" s="17">
        <f>I20</f>
        <v>17.171692773567937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9" t="s">
        <v>24</v>
      </c>
      <c r="H61" s="17">
        <v>1705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32.258668635257152</v>
      </c>
      <c r="L61" s="17">
        <f>I20</f>
        <v>17.171692773567937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32.0110681944102</v>
      </c>
      <c r="E62">
        <v>32.0110681944102</v>
      </c>
      <c r="F62" t="s">
        <v>93</v>
      </c>
      <c r="G62" s="4" t="s">
        <v>17</v>
      </c>
      <c r="H62">
        <v>1704</v>
      </c>
      <c r="I62">
        <f t="shared" ref="I62" si="74">AVERAGE(D62:D64)</f>
        <v>32.0651398599393</v>
      </c>
      <c r="J62">
        <f t="shared" ref="J62" si="75">STDEV(D62:D64)</f>
        <v>7.6468882731355992E-2</v>
      </c>
      <c r="K62">
        <f>I2</f>
        <v>32.913217508684895</v>
      </c>
      <c r="L62">
        <f>I14</f>
        <v>17.582198465275066</v>
      </c>
      <c r="M62">
        <f t="shared" si="0"/>
        <v>-0.8480776487455941</v>
      </c>
      <c r="N62">
        <f t="shared" si="1"/>
        <v>14.482941394664234</v>
      </c>
    </row>
    <row r="63" spans="1:14" x14ac:dyDescent="0.2">
      <c r="A63" t="s">
        <v>94</v>
      </c>
      <c r="B63" t="s">
        <v>129</v>
      </c>
      <c r="C63" t="s">
        <v>32</v>
      </c>
      <c r="E63">
        <v>31.388473125086801</v>
      </c>
      <c r="F63" t="s">
        <v>94</v>
      </c>
      <c r="G63" s="4" t="s">
        <v>17</v>
      </c>
      <c r="H63">
        <v>1704</v>
      </c>
      <c r="I63">
        <f t="shared" ref="I63:J63" si="76">I62</f>
        <v>32.0651398599393</v>
      </c>
      <c r="J63">
        <f t="shared" si="76"/>
        <v>7.6468882731355992E-2</v>
      </c>
      <c r="K63">
        <f>I2</f>
        <v>32.913217508684895</v>
      </c>
      <c r="L63">
        <f>I14</f>
        <v>17.582198465275066</v>
      </c>
      <c r="M63">
        <f t="shared" si="0"/>
        <v>-0.8480776487455941</v>
      </c>
      <c r="N63">
        <f t="shared" si="1"/>
        <v>14.482941394664234</v>
      </c>
    </row>
    <row r="64" spans="1:14" x14ac:dyDescent="0.2">
      <c r="A64" t="s">
        <v>95</v>
      </c>
      <c r="B64" t="s">
        <v>129</v>
      </c>
      <c r="C64" t="s">
        <v>32</v>
      </c>
      <c r="D64">
        <v>32.119211525468401</v>
      </c>
      <c r="E64">
        <v>32.119211525468401</v>
      </c>
      <c r="F64" t="s">
        <v>95</v>
      </c>
      <c r="G64" s="4" t="s">
        <v>17</v>
      </c>
      <c r="H64">
        <v>1704</v>
      </c>
      <c r="I64">
        <f t="shared" ref="I64:J64" si="77">I62</f>
        <v>32.0651398599393</v>
      </c>
      <c r="J64">
        <f t="shared" si="77"/>
        <v>7.6468882731355992E-2</v>
      </c>
      <c r="K64">
        <f>I2</f>
        <v>32.913217508684895</v>
      </c>
      <c r="L64">
        <f>I14</f>
        <v>17.582198465275066</v>
      </c>
      <c r="M64">
        <f t="shared" si="0"/>
        <v>-0.8480776487455941</v>
      </c>
      <c r="N64">
        <f t="shared" si="1"/>
        <v>14.482941394664234</v>
      </c>
    </row>
    <row r="65" spans="1:14" x14ac:dyDescent="0.2">
      <c r="A65" t="s">
        <v>96</v>
      </c>
      <c r="B65" t="s">
        <v>129</v>
      </c>
      <c r="C65" t="s">
        <v>32</v>
      </c>
      <c r="D65">
        <v>31.417264663908099</v>
      </c>
      <c r="E65">
        <v>31.417264663908099</v>
      </c>
      <c r="F65" t="s">
        <v>96</v>
      </c>
      <c r="G65" s="1" t="s">
        <v>25</v>
      </c>
      <c r="H65">
        <v>1704</v>
      </c>
      <c r="I65">
        <f t="shared" ref="I65" si="78">AVERAGE(D65:D67)</f>
        <v>31.31679351139935</v>
      </c>
      <c r="J65">
        <f t="shared" ref="J65" si="79">STDEV(D65:D67)</f>
        <v>0.142087666505129</v>
      </c>
      <c r="K65">
        <f>I2</f>
        <v>32.913217508684895</v>
      </c>
      <c r="L65">
        <f>I14</f>
        <v>17.582198465275066</v>
      </c>
      <c r="M65">
        <f t="shared" si="0"/>
        <v>-1.5964239972855445</v>
      </c>
      <c r="N65">
        <f t="shared" si="1"/>
        <v>13.734595046124284</v>
      </c>
    </row>
    <row r="66" spans="1:14" x14ac:dyDescent="0.2">
      <c r="A66" t="s">
        <v>97</v>
      </c>
      <c r="B66" t="s">
        <v>129</v>
      </c>
      <c r="C66" t="s">
        <v>32</v>
      </c>
      <c r="D66">
        <v>31.216322358890601</v>
      </c>
      <c r="E66">
        <v>31.216322358890601</v>
      </c>
      <c r="F66" t="s">
        <v>97</v>
      </c>
      <c r="G66" s="1" t="s">
        <v>25</v>
      </c>
      <c r="H66">
        <v>1704</v>
      </c>
      <c r="I66">
        <f t="shared" ref="I66:J67" si="80">I65</f>
        <v>31.31679351139935</v>
      </c>
      <c r="J66">
        <f t="shared" si="80"/>
        <v>0.142087666505129</v>
      </c>
      <c r="K66">
        <f>I2</f>
        <v>32.913217508684895</v>
      </c>
      <c r="L66">
        <f>I14</f>
        <v>17.582198465275066</v>
      </c>
      <c r="M66">
        <f t="shared" si="0"/>
        <v>-1.5964239972855445</v>
      </c>
      <c r="N66">
        <f t="shared" si="1"/>
        <v>13.734595046124284</v>
      </c>
    </row>
    <row r="67" spans="1:14" x14ac:dyDescent="0.2">
      <c r="A67" t="s">
        <v>98</v>
      </c>
      <c r="B67" t="s">
        <v>129</v>
      </c>
      <c r="C67" t="s">
        <v>32</v>
      </c>
      <c r="E67">
        <v>31.9519793109828</v>
      </c>
      <c r="F67" t="s">
        <v>98</v>
      </c>
      <c r="G67" s="1" t="s">
        <v>25</v>
      </c>
      <c r="H67">
        <v>1704</v>
      </c>
      <c r="I67">
        <f t="shared" si="80"/>
        <v>31.31679351139935</v>
      </c>
      <c r="J67">
        <f t="shared" ref="J67" si="81">J65</f>
        <v>0.142087666505129</v>
      </c>
      <c r="K67">
        <f>I2</f>
        <v>32.913217508684895</v>
      </c>
      <c r="L67">
        <f>I14</f>
        <v>17.582198465275066</v>
      </c>
      <c r="M67">
        <f t="shared" ref="M67:M97" si="82">I67-K67</f>
        <v>-1.5964239972855445</v>
      </c>
      <c r="N67">
        <f t="shared" ref="N67:N97" si="83">I67-L67</f>
        <v>13.734595046124284</v>
      </c>
    </row>
    <row r="68" spans="1:14" x14ac:dyDescent="0.2">
      <c r="A68" t="s">
        <v>99</v>
      </c>
      <c r="B68" t="s">
        <v>129</v>
      </c>
      <c r="C68" t="s">
        <v>32</v>
      </c>
      <c r="E68">
        <v>32.325648843139497</v>
      </c>
      <c r="F68" t="s">
        <v>99</v>
      </c>
      <c r="G68" s="4" t="s">
        <v>17</v>
      </c>
      <c r="H68">
        <v>1705</v>
      </c>
      <c r="I68">
        <f t="shared" ref="I68" si="84">AVERAGE(D68:D70)</f>
        <v>31.587533600605049</v>
      </c>
      <c r="J68">
        <f t="shared" ref="J68" si="85">STDEV(D68:D70)</f>
        <v>0.29524459567016059</v>
      </c>
      <c r="K68">
        <f>I8</f>
        <v>32.258668635257152</v>
      </c>
      <c r="L68">
        <f>I20</f>
        <v>17.171692773567937</v>
      </c>
      <c r="M68">
        <f t="shared" si="82"/>
        <v>-0.671135034652103</v>
      </c>
      <c r="N68">
        <f t="shared" si="83"/>
        <v>14.415840827037112</v>
      </c>
    </row>
    <row r="69" spans="1:14" x14ac:dyDescent="0.2">
      <c r="A69" t="s">
        <v>100</v>
      </c>
      <c r="B69" t="s">
        <v>129</v>
      </c>
      <c r="C69" t="s">
        <v>32</v>
      </c>
      <c r="D69">
        <v>31.796303056312102</v>
      </c>
      <c r="E69">
        <v>31.796303056312102</v>
      </c>
      <c r="F69" t="s">
        <v>100</v>
      </c>
      <c r="G69" s="4" t="s">
        <v>17</v>
      </c>
      <c r="H69">
        <v>1705</v>
      </c>
      <c r="I69">
        <f t="shared" ref="I69:J69" si="86">I68</f>
        <v>31.587533600605049</v>
      </c>
      <c r="J69">
        <f t="shared" si="86"/>
        <v>0.29524459567016059</v>
      </c>
      <c r="K69">
        <f>I8</f>
        <v>32.258668635257152</v>
      </c>
      <c r="L69">
        <f>I20</f>
        <v>17.171692773567937</v>
      </c>
      <c r="M69">
        <f t="shared" si="82"/>
        <v>-0.671135034652103</v>
      </c>
      <c r="N69">
        <f t="shared" si="83"/>
        <v>14.415840827037112</v>
      </c>
    </row>
    <row r="70" spans="1:14" x14ac:dyDescent="0.2">
      <c r="A70" t="s">
        <v>101</v>
      </c>
      <c r="B70" t="s">
        <v>129</v>
      </c>
      <c r="C70" t="s">
        <v>32</v>
      </c>
      <c r="D70">
        <v>31.378764144898</v>
      </c>
      <c r="E70">
        <v>31.378764144898</v>
      </c>
      <c r="F70" t="s">
        <v>101</v>
      </c>
      <c r="G70" s="4" t="s">
        <v>17</v>
      </c>
      <c r="H70">
        <v>1705</v>
      </c>
      <c r="I70">
        <f t="shared" ref="I70:J70" si="87">I68</f>
        <v>31.587533600605049</v>
      </c>
      <c r="J70">
        <f t="shared" si="87"/>
        <v>0.29524459567016059</v>
      </c>
      <c r="K70">
        <f>I8</f>
        <v>32.258668635257152</v>
      </c>
      <c r="L70">
        <f>I20</f>
        <v>17.171692773567937</v>
      </c>
      <c r="M70">
        <f t="shared" si="82"/>
        <v>-0.671135034652103</v>
      </c>
      <c r="N70">
        <f t="shared" si="83"/>
        <v>14.415840827037112</v>
      </c>
    </row>
    <row r="71" spans="1:14" x14ac:dyDescent="0.2">
      <c r="A71" t="s">
        <v>102</v>
      </c>
      <c r="B71" t="s">
        <v>129</v>
      </c>
      <c r="C71" t="s">
        <v>32</v>
      </c>
      <c r="D71">
        <v>31.0651708926937</v>
      </c>
      <c r="E71">
        <v>31.0651708926937</v>
      </c>
      <c r="F71" t="s">
        <v>102</v>
      </c>
      <c r="G71" s="1" t="s">
        <v>25</v>
      </c>
      <c r="H71">
        <v>1705</v>
      </c>
      <c r="I71">
        <f t="shared" ref="I71" si="88">AVERAGE(D71:D73)</f>
        <v>31.393664683896198</v>
      </c>
      <c r="J71">
        <f t="shared" ref="J71" si="89">STDEV(D71:D73)</f>
        <v>0.46456037467392974</v>
      </c>
      <c r="K71">
        <f>I8</f>
        <v>32.258668635257152</v>
      </c>
      <c r="L71">
        <f>I20</f>
        <v>17.171692773567937</v>
      </c>
      <c r="M71">
        <f t="shared" si="82"/>
        <v>-0.8650039513609542</v>
      </c>
      <c r="N71">
        <f t="shared" si="83"/>
        <v>14.221971910328261</v>
      </c>
    </row>
    <row r="72" spans="1:14" x14ac:dyDescent="0.2">
      <c r="A72" t="s">
        <v>103</v>
      </c>
      <c r="B72" t="s">
        <v>129</v>
      </c>
      <c r="C72" t="s">
        <v>32</v>
      </c>
      <c r="D72">
        <v>31.722158475098698</v>
      </c>
      <c r="E72">
        <v>31.722158475098698</v>
      </c>
      <c r="F72" t="s">
        <v>103</v>
      </c>
      <c r="G72" s="1" t="s">
        <v>25</v>
      </c>
      <c r="H72">
        <v>1705</v>
      </c>
      <c r="I72">
        <f t="shared" ref="I72:J73" si="90">I71</f>
        <v>31.393664683896198</v>
      </c>
      <c r="J72">
        <f t="shared" si="90"/>
        <v>0.46456037467392974</v>
      </c>
      <c r="K72">
        <f>I8</f>
        <v>32.258668635257152</v>
      </c>
      <c r="L72">
        <f>I20</f>
        <v>17.171692773567937</v>
      </c>
      <c r="M72">
        <f t="shared" si="82"/>
        <v>-0.8650039513609542</v>
      </c>
      <c r="N72">
        <f t="shared" si="83"/>
        <v>14.221971910328261</v>
      </c>
    </row>
    <row r="73" spans="1:14" x14ac:dyDescent="0.2">
      <c r="A73" t="s">
        <v>104</v>
      </c>
      <c r="B73" t="s">
        <v>129</v>
      </c>
      <c r="C73" t="s">
        <v>32</v>
      </c>
      <c r="E73">
        <v>35.2564585815377</v>
      </c>
      <c r="F73" t="s">
        <v>104</v>
      </c>
      <c r="G73" s="1" t="s">
        <v>25</v>
      </c>
      <c r="H73">
        <v>1705</v>
      </c>
      <c r="I73">
        <f t="shared" si="90"/>
        <v>31.393664683896198</v>
      </c>
      <c r="J73">
        <f t="shared" ref="J73" si="91">J71</f>
        <v>0.46456037467392974</v>
      </c>
      <c r="K73">
        <f>I8</f>
        <v>32.258668635257152</v>
      </c>
      <c r="L73">
        <f>I20</f>
        <v>17.171692773567937</v>
      </c>
      <c r="M73">
        <f t="shared" si="82"/>
        <v>-0.8650039513609542</v>
      </c>
      <c r="N73">
        <f t="shared" si="83"/>
        <v>14.221971910328261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34.307536440719403</v>
      </c>
      <c r="F74" s="17" t="s">
        <v>105</v>
      </c>
      <c r="G74" s="20" t="s">
        <v>18</v>
      </c>
      <c r="H74" s="17">
        <v>1704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32.913217508684895</v>
      </c>
      <c r="L74" s="17">
        <f>I14</f>
        <v>17.582198465275066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35.354791113987702</v>
      </c>
      <c r="F75" s="17" t="s">
        <v>106</v>
      </c>
      <c r="G75" s="20" t="s">
        <v>18</v>
      </c>
      <c r="H75" s="17">
        <v>1704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32.913217508684895</v>
      </c>
      <c r="L75" s="17">
        <f>I14</f>
        <v>17.582198465275066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 t="s">
        <v>33</v>
      </c>
      <c r="F76" s="17" t="s">
        <v>107</v>
      </c>
      <c r="G76" s="20" t="s">
        <v>18</v>
      </c>
      <c r="H76" s="17">
        <v>1704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32.913217508684895</v>
      </c>
      <c r="L76" s="17">
        <f>I14</f>
        <v>17.582198465275066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>
        <v>31.0836099287338</v>
      </c>
      <c r="E77">
        <v>31.0836099287338</v>
      </c>
      <c r="F77" t="s">
        <v>108</v>
      </c>
      <c r="G77" s="16" t="s">
        <v>144</v>
      </c>
      <c r="I77">
        <f t="shared" ref="I77" si="95">AVERAGE(D77:D79)</f>
        <v>31.0836099287338</v>
      </c>
      <c r="J77" t="e">
        <f t="shared" ref="J77" si="96">STDEV(D77:D79)</f>
        <v>#DIV/0!</v>
      </c>
      <c r="K77">
        <f>I2</f>
        <v>32.913217508684895</v>
      </c>
      <c r="L77">
        <f>I14</f>
        <v>17.582198465275066</v>
      </c>
      <c r="M77">
        <f t="shared" si="82"/>
        <v>-1.8296075799510945</v>
      </c>
      <c r="N77">
        <f t="shared" si="83"/>
        <v>13.501411463458734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>
        <f t="shared" ref="I78:J79" si="97">I77</f>
        <v>31.0836099287338</v>
      </c>
      <c r="J78" t="e">
        <f t="shared" si="97"/>
        <v>#DIV/0!</v>
      </c>
      <c r="K78">
        <f>I2</f>
        <v>32.913217508684895</v>
      </c>
      <c r="L78">
        <f>I14</f>
        <v>17.582198465275066</v>
      </c>
      <c r="M78">
        <f t="shared" si="82"/>
        <v>-1.8296075799510945</v>
      </c>
      <c r="N78">
        <f t="shared" si="83"/>
        <v>13.501411463458734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>
        <f t="shared" si="97"/>
        <v>31.0836099287338</v>
      </c>
      <c r="J79" t="e">
        <f t="shared" ref="J79" si="98">J77</f>
        <v>#DIV/0!</v>
      </c>
      <c r="K79">
        <f>I2</f>
        <v>32.913217508684895</v>
      </c>
      <c r="L79">
        <f>I14</f>
        <v>17.582198465275066</v>
      </c>
      <c r="M79">
        <f t="shared" si="82"/>
        <v>-1.8296075799510945</v>
      </c>
      <c r="N79">
        <f t="shared" si="83"/>
        <v>13.501411463458734</v>
      </c>
    </row>
    <row r="80" spans="1:14" x14ac:dyDescent="0.2">
      <c r="A80" t="s">
        <v>111</v>
      </c>
      <c r="B80" t="s">
        <v>129</v>
      </c>
      <c r="C80" t="s">
        <v>32</v>
      </c>
      <c r="D80">
        <v>32.458924797025098</v>
      </c>
      <c r="E80">
        <v>32.458924797025098</v>
      </c>
      <c r="F80" t="s">
        <v>111</v>
      </c>
      <c r="G80" s="4" t="s">
        <v>18</v>
      </c>
      <c r="H80">
        <v>1705</v>
      </c>
      <c r="I80">
        <f t="shared" ref="I80" si="99">AVERAGE(D80:D82)</f>
        <v>32.41853949061845</v>
      </c>
      <c r="J80">
        <f t="shared" ref="J80" si="100">STDEV(D80:D82)</f>
        <v>5.7113448040874884E-2</v>
      </c>
      <c r="K80">
        <f>I8</f>
        <v>32.258668635257152</v>
      </c>
      <c r="L80">
        <f>I20</f>
        <v>17.171692773567937</v>
      </c>
      <c r="M80">
        <f t="shared" si="82"/>
        <v>0.15987085536129797</v>
      </c>
      <c r="N80">
        <f t="shared" si="83"/>
        <v>15.246846717050513</v>
      </c>
    </row>
    <row r="81" spans="1:14" x14ac:dyDescent="0.2">
      <c r="A81" t="s">
        <v>112</v>
      </c>
      <c r="B81" t="s">
        <v>129</v>
      </c>
      <c r="C81" t="s">
        <v>32</v>
      </c>
      <c r="D81">
        <v>32.378154184211802</v>
      </c>
      <c r="E81">
        <v>32.378154184211802</v>
      </c>
      <c r="F81" t="s">
        <v>112</v>
      </c>
      <c r="G81" s="4" t="s">
        <v>18</v>
      </c>
      <c r="H81">
        <v>1705</v>
      </c>
      <c r="I81">
        <f t="shared" ref="I81:J81" si="101">I80</f>
        <v>32.41853949061845</v>
      </c>
      <c r="J81">
        <f t="shared" si="101"/>
        <v>5.7113448040874884E-2</v>
      </c>
      <c r="K81">
        <f>I8</f>
        <v>32.258668635257152</v>
      </c>
      <c r="L81">
        <f>I20</f>
        <v>17.171692773567937</v>
      </c>
      <c r="M81">
        <f t="shared" si="82"/>
        <v>0.15987085536129797</v>
      </c>
      <c r="N81">
        <f t="shared" si="83"/>
        <v>15.246846717050513</v>
      </c>
    </row>
    <row r="82" spans="1:14" x14ac:dyDescent="0.2">
      <c r="A82" t="s">
        <v>113</v>
      </c>
      <c r="B82" t="s">
        <v>129</v>
      </c>
      <c r="C82" t="s">
        <v>32</v>
      </c>
      <c r="E82">
        <v>33.3499988114784</v>
      </c>
      <c r="F82" t="s">
        <v>113</v>
      </c>
      <c r="G82" s="4" t="s">
        <v>18</v>
      </c>
      <c r="H82">
        <v>1705</v>
      </c>
      <c r="I82">
        <f t="shared" ref="I82:J82" si="102">I80</f>
        <v>32.41853949061845</v>
      </c>
      <c r="J82">
        <f t="shared" si="102"/>
        <v>5.7113448040874884E-2</v>
      </c>
      <c r="K82">
        <f>I8</f>
        <v>32.258668635257152</v>
      </c>
      <c r="L82">
        <f>I20</f>
        <v>17.171692773567937</v>
      </c>
      <c r="M82">
        <f t="shared" si="82"/>
        <v>0.15987085536129797</v>
      </c>
      <c r="N82">
        <f t="shared" si="83"/>
        <v>15.246846717050513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32.258668635257152</v>
      </c>
      <c r="L83">
        <f>I20</f>
        <v>17.171692773567937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32.258668635257152</v>
      </c>
      <c r="L84">
        <f>I20</f>
        <v>17.171692773567937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32.258668635257152</v>
      </c>
      <c r="L85">
        <f>I20</f>
        <v>17.171692773567937</v>
      </c>
      <c r="M85" t="e">
        <f t="shared" si="82"/>
        <v>#DIV/0!</v>
      </c>
      <c r="N85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>
        <v>1704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32.913217508684895</v>
      </c>
      <c r="L86" s="17">
        <f>I14</f>
        <v>17.582198465275066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34.085507774586901</v>
      </c>
      <c r="F87" s="17" t="s">
        <v>118</v>
      </c>
      <c r="G87" s="21" t="s">
        <v>19</v>
      </c>
      <c r="H87" s="17">
        <v>1704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32.913217508684895</v>
      </c>
      <c r="L87" s="17">
        <f>I14</f>
        <v>17.582198465275066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37.473768553252498</v>
      </c>
      <c r="F88" s="17" t="s">
        <v>119</v>
      </c>
      <c r="G88" s="21" t="s">
        <v>19</v>
      </c>
      <c r="H88" s="17">
        <v>1704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32.913217508684895</v>
      </c>
      <c r="L88" s="17">
        <f>I14</f>
        <v>17.582198465275066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>
        <v>17.476859904643</v>
      </c>
      <c r="E89">
        <v>17.476859904643</v>
      </c>
      <c r="F89" t="s">
        <v>120</v>
      </c>
      <c r="G89" t="s">
        <v>145</v>
      </c>
      <c r="I89">
        <f t="shared" ref="I89" si="111">AVERAGE(D89:D91)</f>
        <v>17.476859904643</v>
      </c>
      <c r="J89" t="e">
        <f t="shared" ref="J89" si="112">STDEV(D89:D91)</f>
        <v>#DIV/0!</v>
      </c>
      <c r="K89">
        <f>I2</f>
        <v>32.913217508684895</v>
      </c>
      <c r="L89">
        <f>I14</f>
        <v>17.582198465275066</v>
      </c>
      <c r="M89">
        <f t="shared" si="82"/>
        <v>-15.436357604041895</v>
      </c>
      <c r="N89">
        <f t="shared" si="83"/>
        <v>-0.1053385606320667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>
        <f t="shared" ref="I90:J91" si="113">I89</f>
        <v>17.476859904643</v>
      </c>
      <c r="J90" t="e">
        <f t="shared" si="113"/>
        <v>#DIV/0!</v>
      </c>
      <c r="K90">
        <f>I2</f>
        <v>32.913217508684895</v>
      </c>
      <c r="L90">
        <f>I14</f>
        <v>17.582198465275066</v>
      </c>
      <c r="M90">
        <f t="shared" si="82"/>
        <v>-15.436357604041895</v>
      </c>
      <c r="N90">
        <f t="shared" si="83"/>
        <v>-0.1053385606320667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>
        <f t="shared" si="113"/>
        <v>17.476859904643</v>
      </c>
      <c r="J91" t="e">
        <f t="shared" ref="J91" si="114">J89</f>
        <v>#DIV/0!</v>
      </c>
      <c r="K91">
        <f>I2</f>
        <v>32.913217508684895</v>
      </c>
      <c r="L91">
        <f>I14</f>
        <v>17.582198465275066</v>
      </c>
      <c r="M91">
        <f t="shared" si="82"/>
        <v>-15.436357604041895</v>
      </c>
      <c r="N91">
        <f t="shared" si="83"/>
        <v>-0.1053385606320667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>
        <v>34.147213930546897</v>
      </c>
      <c r="F92" s="17" t="s">
        <v>123</v>
      </c>
      <c r="G92" s="21" t="s">
        <v>19</v>
      </c>
      <c r="H92" s="17">
        <v>1705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32.258668635257152</v>
      </c>
      <c r="L92" s="17">
        <f>I20</f>
        <v>17.171692773567937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35.1210666476182</v>
      </c>
      <c r="F93" s="17" t="s">
        <v>124</v>
      </c>
      <c r="G93" s="21" t="s">
        <v>19</v>
      </c>
      <c r="H93" s="17">
        <v>1705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32.258668635257152</v>
      </c>
      <c r="L93" s="17">
        <f>I20</f>
        <v>17.171692773567937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33.013778207968699</v>
      </c>
      <c r="F94" s="17" t="s">
        <v>125</v>
      </c>
      <c r="G94" s="21" t="s">
        <v>19</v>
      </c>
      <c r="H94" s="17">
        <v>1705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32.258668635257152</v>
      </c>
      <c r="L94" s="17">
        <f>I20</f>
        <v>17.171692773567937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32.258668635257152</v>
      </c>
      <c r="L95">
        <f>I20</f>
        <v>17.171692773567937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32.258668635257152</v>
      </c>
      <c r="L96">
        <f>I20</f>
        <v>17.171692773567937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32.258668635257152</v>
      </c>
      <c r="L97">
        <f>I20</f>
        <v>17.171692773567937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7" priority="1" operator="greaterThan">
      <formula>0.3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5166-255D-8947-8BFA-590F2673C832}">
  <dimension ref="A1:N97"/>
  <sheetViews>
    <sheetView workbookViewId="0">
      <selection activeCell="Q35" sqref="Q35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s="17" customFormat="1" ht="17" thickBot="1" x14ac:dyDescent="0.25">
      <c r="A2" s="17" t="s">
        <v>31</v>
      </c>
      <c r="B2" s="17" t="s">
        <v>129</v>
      </c>
      <c r="C2" s="17" t="s">
        <v>32</v>
      </c>
      <c r="D2" s="17">
        <v>34.908014208094798</v>
      </c>
      <c r="E2" s="17">
        <v>34.908014208094798</v>
      </c>
      <c r="F2" s="17" t="s">
        <v>31</v>
      </c>
      <c r="G2" s="22" t="s">
        <v>9</v>
      </c>
      <c r="H2" s="17">
        <v>1706</v>
      </c>
      <c r="I2" s="17">
        <f>AVERAGE(D2:D4)</f>
        <v>34.438304412507847</v>
      </c>
      <c r="J2" s="17">
        <f>STDEV(D2:D4)</f>
        <v>0.66426996329855514</v>
      </c>
      <c r="K2" s="17">
        <f>I2</f>
        <v>34.438304412507847</v>
      </c>
      <c r="L2" s="17">
        <f>I14</f>
        <v>16.506393316399933</v>
      </c>
      <c r="M2" s="17">
        <f>I2-K2</f>
        <v>0</v>
      </c>
      <c r="N2" s="17">
        <f>I2-L2</f>
        <v>17.931911096107914</v>
      </c>
    </row>
    <row r="3" spans="1:14" s="17" customFormat="1" ht="17" thickBot="1" x14ac:dyDescent="0.25">
      <c r="A3" s="17" t="s">
        <v>34</v>
      </c>
      <c r="B3" s="17" t="s">
        <v>129</v>
      </c>
      <c r="C3" s="17" t="s">
        <v>32</v>
      </c>
      <c r="D3"/>
      <c r="E3">
        <v>30.039290333520899</v>
      </c>
      <c r="F3" s="17" t="s">
        <v>34</v>
      </c>
      <c r="G3" s="22" t="s">
        <v>9</v>
      </c>
      <c r="H3" s="17">
        <v>1706</v>
      </c>
      <c r="I3" s="17">
        <f>I2</f>
        <v>34.438304412507847</v>
      </c>
      <c r="J3" s="17">
        <f>J2</f>
        <v>0.66426996329855514</v>
      </c>
      <c r="K3" s="17">
        <f>I2</f>
        <v>34.438304412507847</v>
      </c>
      <c r="L3" s="17">
        <f>I14</f>
        <v>16.506393316399933</v>
      </c>
      <c r="M3" s="17">
        <f t="shared" ref="M3:M66" si="0">I3-K3</f>
        <v>0</v>
      </c>
      <c r="N3" s="17">
        <f t="shared" ref="N3:N66" si="1">I3-L3</f>
        <v>17.931911096107914</v>
      </c>
    </row>
    <row r="4" spans="1:14" s="17" customFormat="1" ht="17" thickBot="1" x14ac:dyDescent="0.25">
      <c r="A4" s="17" t="s">
        <v>35</v>
      </c>
      <c r="B4" s="17" t="s">
        <v>129</v>
      </c>
      <c r="C4" s="17" t="s">
        <v>32</v>
      </c>
      <c r="D4" s="17">
        <v>33.968594616920903</v>
      </c>
      <c r="E4" s="17">
        <v>33.968594616920903</v>
      </c>
      <c r="F4" s="17" t="s">
        <v>35</v>
      </c>
      <c r="G4" s="22" t="s">
        <v>9</v>
      </c>
      <c r="H4" s="17">
        <v>1706</v>
      </c>
      <c r="I4" s="17">
        <f>I2</f>
        <v>34.438304412507847</v>
      </c>
      <c r="J4" s="17">
        <f>J2</f>
        <v>0.66426996329855514</v>
      </c>
      <c r="K4" s="17">
        <f>I2</f>
        <v>34.438304412507847</v>
      </c>
      <c r="L4" s="17">
        <f>I14</f>
        <v>16.506393316399933</v>
      </c>
      <c r="M4" s="17">
        <f t="shared" si="0"/>
        <v>0</v>
      </c>
      <c r="N4" s="17">
        <f t="shared" si="1"/>
        <v>17.931911096107914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37.585735665032303</v>
      </c>
      <c r="E5">
        <v>37.585735665032303</v>
      </c>
      <c r="F5" t="s">
        <v>36</v>
      </c>
      <c r="G5" s="2" t="s">
        <v>20</v>
      </c>
      <c r="H5">
        <v>1706</v>
      </c>
      <c r="I5">
        <f>AVERAGE(D5:D7)</f>
        <v>37.708074962449302</v>
      </c>
      <c r="J5">
        <f>STDEV(D5:D7)</f>
        <v>0.17301389361831668</v>
      </c>
      <c r="K5">
        <f>I2</f>
        <v>34.438304412507847</v>
      </c>
      <c r="L5">
        <f>I14</f>
        <v>16.506393316399933</v>
      </c>
      <c r="M5">
        <f t="shared" si="0"/>
        <v>3.2697705499414553</v>
      </c>
      <c r="N5">
        <f t="shared" si="1"/>
        <v>21.201681646049369</v>
      </c>
    </row>
    <row r="6" spans="1:14" ht="17" thickBot="1" x14ac:dyDescent="0.25">
      <c r="A6" t="s">
        <v>37</v>
      </c>
      <c r="B6" t="s">
        <v>129</v>
      </c>
      <c r="C6" t="s">
        <v>32</v>
      </c>
      <c r="E6">
        <v>38.749251087139697</v>
      </c>
      <c r="F6" t="s">
        <v>37</v>
      </c>
      <c r="G6" s="2" t="s">
        <v>20</v>
      </c>
      <c r="H6">
        <v>1706</v>
      </c>
      <c r="I6">
        <f>I5</f>
        <v>37.708074962449302</v>
      </c>
      <c r="J6">
        <f>J5</f>
        <v>0.17301389361831668</v>
      </c>
      <c r="K6">
        <f>I2</f>
        <v>34.438304412507847</v>
      </c>
      <c r="L6">
        <f>I14</f>
        <v>16.506393316399933</v>
      </c>
      <c r="M6">
        <f t="shared" si="0"/>
        <v>3.2697705499414553</v>
      </c>
      <c r="N6">
        <f t="shared" si="1"/>
        <v>21.201681646049369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37.830414259866302</v>
      </c>
      <c r="E7">
        <v>37.830414259866302</v>
      </c>
      <c r="F7" t="s">
        <v>38</v>
      </c>
      <c r="G7" s="2" t="s">
        <v>20</v>
      </c>
      <c r="H7">
        <v>1706</v>
      </c>
      <c r="I7">
        <f>I6</f>
        <v>37.708074962449302</v>
      </c>
      <c r="J7">
        <f>J5</f>
        <v>0.17301389361831668</v>
      </c>
      <c r="K7">
        <f>I2</f>
        <v>34.438304412507847</v>
      </c>
      <c r="L7">
        <f>I14</f>
        <v>16.506393316399933</v>
      </c>
      <c r="M7">
        <f t="shared" si="0"/>
        <v>3.2697705499414553</v>
      </c>
      <c r="N7">
        <f t="shared" si="1"/>
        <v>21.201681646049369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32.021277585237499</v>
      </c>
      <c r="E8">
        <v>32.021277585237499</v>
      </c>
      <c r="F8" t="s">
        <v>39</v>
      </c>
      <c r="G8" s="9" t="s">
        <v>9</v>
      </c>
      <c r="H8">
        <v>1708</v>
      </c>
      <c r="I8">
        <f t="shared" ref="I8" si="2">AVERAGE(D8:D10)</f>
        <v>31.7478339803437</v>
      </c>
      <c r="J8">
        <f t="shared" ref="J8" si="3">STDEV(D8:D10)</f>
        <v>0.38670765458500111</v>
      </c>
      <c r="K8">
        <f>I8</f>
        <v>31.7478339803437</v>
      </c>
      <c r="L8">
        <f>I20</f>
        <v>16.006878892505</v>
      </c>
      <c r="M8">
        <f t="shared" si="0"/>
        <v>0</v>
      </c>
      <c r="N8">
        <f t="shared" si="1"/>
        <v>15.740955087838699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31.4743903754499</v>
      </c>
      <c r="E9">
        <v>31.4743903754499</v>
      </c>
      <c r="F9" t="s">
        <v>40</v>
      </c>
      <c r="G9" s="9" t="s">
        <v>9</v>
      </c>
      <c r="H9">
        <v>1708</v>
      </c>
      <c r="I9">
        <f t="shared" ref="I9:J9" si="4">I8</f>
        <v>31.7478339803437</v>
      </c>
      <c r="J9">
        <f t="shared" si="4"/>
        <v>0.38670765458500111</v>
      </c>
      <c r="K9">
        <f>I8</f>
        <v>31.7478339803437</v>
      </c>
      <c r="L9">
        <f>I20</f>
        <v>16.006878892505</v>
      </c>
      <c r="M9">
        <f t="shared" si="0"/>
        <v>0</v>
      </c>
      <c r="N9">
        <f t="shared" si="1"/>
        <v>15.740955087838699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33.484619288446801</v>
      </c>
      <c r="F10" t="s">
        <v>41</v>
      </c>
      <c r="G10" s="9" t="s">
        <v>9</v>
      </c>
      <c r="H10">
        <v>1708</v>
      </c>
      <c r="I10">
        <f t="shared" ref="I10:J10" si="5">I8</f>
        <v>31.7478339803437</v>
      </c>
      <c r="J10">
        <f t="shared" si="5"/>
        <v>0.38670765458500111</v>
      </c>
      <c r="K10">
        <f>I8</f>
        <v>31.7478339803437</v>
      </c>
      <c r="L10">
        <f>I20</f>
        <v>16.006878892505</v>
      </c>
      <c r="M10">
        <f t="shared" si="0"/>
        <v>0</v>
      </c>
      <c r="N10">
        <f t="shared" si="1"/>
        <v>15.740955087838699</v>
      </c>
    </row>
    <row r="11" spans="1:14" ht="17" thickBot="1" x14ac:dyDescent="0.25">
      <c r="A11" t="s">
        <v>42</v>
      </c>
      <c r="B11" t="s">
        <v>129</v>
      </c>
      <c r="C11" t="s">
        <v>32</v>
      </c>
      <c r="E11">
        <v>18.300442918437099</v>
      </c>
      <c r="F11" t="s">
        <v>42</v>
      </c>
      <c r="G11" s="2" t="s">
        <v>20</v>
      </c>
      <c r="H11">
        <v>1708</v>
      </c>
      <c r="I11">
        <f t="shared" ref="I11" si="6">AVERAGE(D11:D13)</f>
        <v>6.7622376903328956</v>
      </c>
      <c r="J11">
        <f t="shared" ref="J11" si="7">STDEV(D11:D13)</f>
        <v>0.36051453333822836</v>
      </c>
      <c r="K11">
        <f>I8</f>
        <v>31.7478339803437</v>
      </c>
      <c r="L11">
        <f>I20</f>
        <v>16.006878892505</v>
      </c>
      <c r="M11">
        <f t="shared" si="0"/>
        <v>-24.985596290010804</v>
      </c>
      <c r="N11">
        <f t="shared" si="1"/>
        <v>-9.2446412021721045</v>
      </c>
    </row>
    <row r="12" spans="1:14" ht="17" thickBot="1" x14ac:dyDescent="0.25">
      <c r="A12" t="s">
        <v>43</v>
      </c>
      <c r="B12" t="s">
        <v>129</v>
      </c>
      <c r="C12" t="s">
        <v>32</v>
      </c>
      <c r="D12">
        <v>7.0171599615726601</v>
      </c>
      <c r="E12">
        <v>7.0171599615726601</v>
      </c>
      <c r="F12" t="s">
        <v>43</v>
      </c>
      <c r="G12" s="2" t="s">
        <v>20</v>
      </c>
      <c r="H12">
        <v>1708</v>
      </c>
      <c r="I12">
        <f t="shared" ref="I12:J13" si="8">I11</f>
        <v>6.7622376903328956</v>
      </c>
      <c r="J12">
        <f t="shared" si="8"/>
        <v>0.36051453333822836</v>
      </c>
      <c r="K12">
        <f>I8</f>
        <v>31.7478339803437</v>
      </c>
      <c r="L12">
        <f>I20</f>
        <v>16.006878892505</v>
      </c>
      <c r="M12">
        <f t="shared" si="0"/>
        <v>-24.985596290010804</v>
      </c>
      <c r="N12">
        <f t="shared" si="1"/>
        <v>-9.2446412021721045</v>
      </c>
    </row>
    <row r="13" spans="1:14" x14ac:dyDescent="0.2">
      <c r="A13" t="s">
        <v>44</v>
      </c>
      <c r="B13" t="s">
        <v>129</v>
      </c>
      <c r="C13" t="s">
        <v>32</v>
      </c>
      <c r="D13">
        <v>6.5073154190931302</v>
      </c>
      <c r="E13">
        <v>6.5073154190931302</v>
      </c>
      <c r="F13" t="s">
        <v>44</v>
      </c>
      <c r="G13" s="2" t="s">
        <v>20</v>
      </c>
      <c r="H13">
        <v>1708</v>
      </c>
      <c r="I13">
        <f t="shared" si="8"/>
        <v>6.7622376903328956</v>
      </c>
      <c r="J13">
        <f t="shared" ref="J13" si="9">J11</f>
        <v>0.36051453333822836</v>
      </c>
      <c r="K13">
        <f>I8</f>
        <v>31.7478339803437</v>
      </c>
      <c r="L13">
        <f>I20</f>
        <v>16.006878892505</v>
      </c>
      <c r="M13">
        <f t="shared" si="0"/>
        <v>-24.985596290010804</v>
      </c>
      <c r="N13">
        <f t="shared" si="1"/>
        <v>-9.2446412021721045</v>
      </c>
    </row>
    <row r="14" spans="1:14" x14ac:dyDescent="0.2">
      <c r="A14" t="s">
        <v>45</v>
      </c>
      <c r="B14" t="s">
        <v>129</v>
      </c>
      <c r="C14" t="s">
        <v>32</v>
      </c>
      <c r="D14">
        <v>16.645752559656302</v>
      </c>
      <c r="E14">
        <v>16.645752559656302</v>
      </c>
      <c r="F14" t="s">
        <v>45</v>
      </c>
      <c r="G14" s="11" t="s">
        <v>8</v>
      </c>
      <c r="H14">
        <v>1706</v>
      </c>
      <c r="I14">
        <f t="shared" ref="I14" si="10">AVERAGE(D14:D16)</f>
        <v>16.506393316399933</v>
      </c>
      <c r="J14">
        <f t="shared" ref="J14" si="11">STDEV(D14:D16)</f>
        <v>0.13225522878169715</v>
      </c>
      <c r="K14">
        <f>I2</f>
        <v>34.438304412507847</v>
      </c>
      <c r="L14">
        <f>I14</f>
        <v>16.506393316399933</v>
      </c>
      <c r="M14">
        <f t="shared" si="0"/>
        <v>-17.931911096107914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16.490803402936599</v>
      </c>
      <c r="E15">
        <v>16.490803402936599</v>
      </c>
      <c r="F15" t="s">
        <v>46</v>
      </c>
      <c r="G15" s="11" t="s">
        <v>8</v>
      </c>
      <c r="H15">
        <v>1706</v>
      </c>
      <c r="I15">
        <f t="shared" ref="I15:J15" si="12">I14</f>
        <v>16.506393316399933</v>
      </c>
      <c r="J15">
        <f t="shared" si="12"/>
        <v>0.13225522878169715</v>
      </c>
      <c r="K15">
        <f>I2</f>
        <v>34.438304412507847</v>
      </c>
      <c r="L15">
        <f>I14</f>
        <v>16.506393316399933</v>
      </c>
      <c r="M15">
        <f t="shared" si="0"/>
        <v>-17.931911096107914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16.382623986606902</v>
      </c>
      <c r="E16">
        <v>16.382623986606902</v>
      </c>
      <c r="F16" t="s">
        <v>47</v>
      </c>
      <c r="G16" s="11" t="s">
        <v>8</v>
      </c>
      <c r="H16">
        <v>1706</v>
      </c>
      <c r="I16">
        <f t="shared" ref="I16:J16" si="13">I14</f>
        <v>16.506393316399933</v>
      </c>
      <c r="J16">
        <f t="shared" si="13"/>
        <v>0.13225522878169715</v>
      </c>
      <c r="K16">
        <f>I2</f>
        <v>34.438304412507847</v>
      </c>
      <c r="L16">
        <f>I14</f>
        <v>16.506393316399933</v>
      </c>
      <c r="M16">
        <f t="shared" si="0"/>
        <v>-17.931911096107914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31.366325138556199</v>
      </c>
      <c r="E17">
        <v>31.366325138556199</v>
      </c>
      <c r="F17" t="s">
        <v>48</v>
      </c>
      <c r="G17" s="1" t="s">
        <v>21</v>
      </c>
      <c r="H17">
        <v>1706</v>
      </c>
      <c r="I17">
        <f t="shared" ref="I17" si="14">AVERAGE(D17:D19)</f>
        <v>31.480249118674948</v>
      </c>
      <c r="J17">
        <f t="shared" ref="J17" si="15">STDEV(D17:D19)</f>
        <v>0.16111283776345961</v>
      </c>
      <c r="K17">
        <f>I2</f>
        <v>34.438304412507847</v>
      </c>
      <c r="L17">
        <f>I14</f>
        <v>16.506393316399933</v>
      </c>
      <c r="M17">
        <f t="shared" si="0"/>
        <v>-2.9580552938328992</v>
      </c>
      <c r="N17">
        <f t="shared" si="1"/>
        <v>14.973855802275015</v>
      </c>
    </row>
    <row r="18" spans="1:14" x14ac:dyDescent="0.2">
      <c r="A18" t="s">
        <v>49</v>
      </c>
      <c r="B18" t="s">
        <v>129</v>
      </c>
      <c r="C18" t="s">
        <v>32</v>
      </c>
      <c r="D18">
        <v>31.5941730987937</v>
      </c>
      <c r="E18">
        <v>31.5941730987937</v>
      </c>
      <c r="F18" t="s">
        <v>49</v>
      </c>
      <c r="G18" s="1" t="s">
        <v>21</v>
      </c>
      <c r="H18">
        <v>1706</v>
      </c>
      <c r="I18">
        <f t="shared" ref="I18:J19" si="16">I17</f>
        <v>31.480249118674948</v>
      </c>
      <c r="J18">
        <f t="shared" si="16"/>
        <v>0.16111283776345961</v>
      </c>
      <c r="K18">
        <f>I2</f>
        <v>34.438304412507847</v>
      </c>
      <c r="L18">
        <f>I14</f>
        <v>16.506393316399933</v>
      </c>
      <c r="M18">
        <f t="shared" si="0"/>
        <v>-2.9580552938328992</v>
      </c>
      <c r="N18">
        <f t="shared" si="1"/>
        <v>14.973855802275015</v>
      </c>
    </row>
    <row r="19" spans="1:14" x14ac:dyDescent="0.2">
      <c r="A19" t="s">
        <v>50</v>
      </c>
      <c r="B19" t="s">
        <v>129</v>
      </c>
      <c r="C19" t="s">
        <v>32</v>
      </c>
      <c r="E19">
        <v>32.584497064695299</v>
      </c>
      <c r="F19" t="s">
        <v>50</v>
      </c>
      <c r="G19" s="1" t="s">
        <v>21</v>
      </c>
      <c r="H19">
        <v>1706</v>
      </c>
      <c r="I19">
        <f t="shared" si="16"/>
        <v>31.480249118674948</v>
      </c>
      <c r="J19">
        <f t="shared" ref="J19" si="17">J17</f>
        <v>0.16111283776345961</v>
      </c>
      <c r="K19">
        <f>I2</f>
        <v>34.438304412507847</v>
      </c>
      <c r="L19">
        <f>I14</f>
        <v>16.506393316399933</v>
      </c>
      <c r="M19">
        <f t="shared" si="0"/>
        <v>-2.9580552938328992</v>
      </c>
      <c r="N19">
        <f t="shared" si="1"/>
        <v>14.973855802275015</v>
      </c>
    </row>
    <row r="20" spans="1:14" x14ac:dyDescent="0.2">
      <c r="A20" t="s">
        <v>51</v>
      </c>
      <c r="B20" t="s">
        <v>129</v>
      </c>
      <c r="C20" t="s">
        <v>32</v>
      </c>
      <c r="D20">
        <v>15.8762872261838</v>
      </c>
      <c r="E20">
        <v>15.8762872261838</v>
      </c>
      <c r="F20" t="s">
        <v>51</v>
      </c>
      <c r="G20" s="11" t="s">
        <v>8</v>
      </c>
      <c r="H20">
        <v>1708</v>
      </c>
      <c r="I20">
        <f t="shared" ref="I20" si="18">AVERAGE(D20:D22)</f>
        <v>16.006878892505</v>
      </c>
      <c r="J20">
        <f t="shared" ref="J20" si="19">STDEV(D20:D22)</f>
        <v>0.28511733647141485</v>
      </c>
      <c r="K20">
        <f>I8</f>
        <v>31.7478339803437</v>
      </c>
      <c r="L20">
        <f>I20</f>
        <v>16.006878892505</v>
      </c>
      <c r="M20">
        <f t="shared" si="0"/>
        <v>-15.740955087838699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15.8104472756873</v>
      </c>
      <c r="E21">
        <v>15.8104472756873</v>
      </c>
      <c r="F21" t="s">
        <v>52</v>
      </c>
      <c r="G21" s="11" t="s">
        <v>8</v>
      </c>
      <c r="H21">
        <v>1708</v>
      </c>
      <c r="I21">
        <f t="shared" ref="I21:J21" si="20">I20</f>
        <v>16.006878892505</v>
      </c>
      <c r="J21">
        <f t="shared" si="20"/>
        <v>0.28511733647141485</v>
      </c>
      <c r="K21">
        <f>I8</f>
        <v>31.7478339803437</v>
      </c>
      <c r="L21">
        <f>I20</f>
        <v>16.006878892505</v>
      </c>
      <c r="M21">
        <f t="shared" si="0"/>
        <v>-15.740955087838699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16.3339021756439</v>
      </c>
      <c r="E22">
        <v>16.3339021756439</v>
      </c>
      <c r="F22" t="s">
        <v>53</v>
      </c>
      <c r="G22" s="11" t="s">
        <v>8</v>
      </c>
      <c r="H22">
        <v>1708</v>
      </c>
      <c r="I22">
        <f t="shared" ref="I22:J22" si="21">I20</f>
        <v>16.006878892505</v>
      </c>
      <c r="J22">
        <f t="shared" si="21"/>
        <v>0.28511733647141485</v>
      </c>
      <c r="K22">
        <f>I8</f>
        <v>31.7478339803437</v>
      </c>
      <c r="L22">
        <f>I20</f>
        <v>16.006878892505</v>
      </c>
      <c r="M22">
        <f t="shared" si="0"/>
        <v>-15.740955087838699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13.3721051262554</v>
      </c>
      <c r="F23" s="17" t="s">
        <v>54</v>
      </c>
      <c r="G23" s="19" t="s">
        <v>21</v>
      </c>
      <c r="H23" s="17">
        <v>1708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31.7478339803437</v>
      </c>
      <c r="L23" s="17">
        <f>I20</f>
        <v>16.006878892505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26.899138510461899</v>
      </c>
      <c r="F24" s="17" t="s">
        <v>55</v>
      </c>
      <c r="G24" s="19" t="s">
        <v>21</v>
      </c>
      <c r="H24" s="17">
        <v>1708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31.7478339803437</v>
      </c>
      <c r="L24" s="17">
        <f>I20</f>
        <v>16.006878892505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33.302693038510697</v>
      </c>
      <c r="F25" s="17" t="s">
        <v>56</v>
      </c>
      <c r="G25" s="19" t="s">
        <v>21</v>
      </c>
      <c r="H25" s="17">
        <v>1708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31.7478339803437</v>
      </c>
      <c r="L25" s="17">
        <f>I20</f>
        <v>16.006878892505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D26">
        <v>29.2742862046656</v>
      </c>
      <c r="E26">
        <v>29.2742862046656</v>
      </c>
      <c r="F26" t="s">
        <v>57</v>
      </c>
      <c r="G26" s="4" t="s">
        <v>14</v>
      </c>
      <c r="H26">
        <v>1706</v>
      </c>
      <c r="I26">
        <f t="shared" ref="I26" si="26">AVERAGE(D26:D28)</f>
        <v>29.482485854628251</v>
      </c>
      <c r="J26">
        <f t="shared" ref="J26" si="27">STDEV(D26:D28)</f>
        <v>0.29443876865850999</v>
      </c>
      <c r="K26">
        <f>I2</f>
        <v>34.438304412507847</v>
      </c>
      <c r="L26">
        <f>I14</f>
        <v>16.506393316399933</v>
      </c>
      <c r="M26">
        <f t="shared" si="0"/>
        <v>-4.9558185578795957</v>
      </c>
      <c r="N26">
        <f t="shared" si="1"/>
        <v>12.976092538228318</v>
      </c>
    </row>
    <row r="27" spans="1:14" x14ac:dyDescent="0.2">
      <c r="A27" t="s">
        <v>58</v>
      </c>
      <c r="B27" t="s">
        <v>129</v>
      </c>
      <c r="C27" t="s">
        <v>32</v>
      </c>
      <c r="D27">
        <v>29.690685504590899</v>
      </c>
      <c r="E27">
        <v>29.690685504590899</v>
      </c>
      <c r="F27" t="s">
        <v>58</v>
      </c>
      <c r="G27" s="4" t="s">
        <v>14</v>
      </c>
      <c r="H27">
        <v>1706</v>
      </c>
      <c r="I27">
        <f t="shared" ref="I27:J27" si="28">I26</f>
        <v>29.482485854628251</v>
      </c>
      <c r="J27">
        <f t="shared" si="28"/>
        <v>0.29443876865850999</v>
      </c>
      <c r="K27">
        <f>I2</f>
        <v>34.438304412507847</v>
      </c>
      <c r="L27">
        <f>I14</f>
        <v>16.506393316399933</v>
      </c>
      <c r="M27">
        <f t="shared" si="0"/>
        <v>-4.9558185578795957</v>
      </c>
      <c r="N27">
        <f t="shared" si="1"/>
        <v>12.976092538228318</v>
      </c>
    </row>
    <row r="28" spans="1:14" x14ac:dyDescent="0.2">
      <c r="A28" t="s">
        <v>59</v>
      </c>
      <c r="B28" t="s">
        <v>129</v>
      </c>
      <c r="C28" t="s">
        <v>32</v>
      </c>
      <c r="E28">
        <v>30.181241336024399</v>
      </c>
      <c r="F28" t="s">
        <v>59</v>
      </c>
      <c r="G28" s="4" t="s">
        <v>14</v>
      </c>
      <c r="H28">
        <v>1706</v>
      </c>
      <c r="I28">
        <f t="shared" ref="I28:J28" si="29">I26</f>
        <v>29.482485854628251</v>
      </c>
      <c r="J28">
        <f t="shared" si="29"/>
        <v>0.29443876865850999</v>
      </c>
      <c r="K28">
        <f>I2</f>
        <v>34.438304412507847</v>
      </c>
      <c r="L28">
        <f>I14</f>
        <v>16.506393316399933</v>
      </c>
      <c r="M28">
        <f t="shared" si="0"/>
        <v>-4.9558185578795957</v>
      </c>
      <c r="N28">
        <f t="shared" si="1"/>
        <v>12.976092538228318</v>
      </c>
    </row>
    <row r="29" spans="1:14" x14ac:dyDescent="0.2">
      <c r="A29" t="s">
        <v>60</v>
      </c>
      <c r="B29" t="s">
        <v>129</v>
      </c>
      <c r="C29" t="s">
        <v>32</v>
      </c>
      <c r="D29">
        <v>30.270105735246599</v>
      </c>
      <c r="E29">
        <v>30.270105735246599</v>
      </c>
      <c r="F29" t="s">
        <v>60</v>
      </c>
      <c r="G29" s="1" t="s">
        <v>23</v>
      </c>
      <c r="H29">
        <v>1706</v>
      </c>
      <c r="I29">
        <f t="shared" ref="I29" si="30">AVERAGE(D29:D31)</f>
        <v>30.430942661171269</v>
      </c>
      <c r="J29">
        <f t="shared" ref="J29" si="31">STDEV(D29:D31)</f>
        <v>0.16614947473651639</v>
      </c>
      <c r="K29">
        <f>I2</f>
        <v>34.438304412507847</v>
      </c>
      <c r="L29">
        <f>I14</f>
        <v>16.506393316399933</v>
      </c>
      <c r="M29">
        <f t="shared" si="0"/>
        <v>-4.0073617513365782</v>
      </c>
      <c r="N29">
        <f t="shared" si="1"/>
        <v>13.924549344771336</v>
      </c>
    </row>
    <row r="30" spans="1:14" x14ac:dyDescent="0.2">
      <c r="A30" t="s">
        <v>61</v>
      </c>
      <c r="B30" t="s">
        <v>129</v>
      </c>
      <c r="C30" t="s">
        <v>32</v>
      </c>
      <c r="D30">
        <v>30.4207837516858</v>
      </c>
      <c r="E30">
        <v>30.4207837516858</v>
      </c>
      <c r="F30" t="s">
        <v>61</v>
      </c>
      <c r="G30" s="1" t="s">
        <v>23</v>
      </c>
      <c r="H30">
        <v>1706</v>
      </c>
      <c r="I30">
        <f t="shared" ref="I30:J31" si="32">I29</f>
        <v>30.430942661171269</v>
      </c>
      <c r="J30">
        <f t="shared" si="32"/>
        <v>0.16614947473651639</v>
      </c>
      <c r="K30">
        <f>I2</f>
        <v>34.438304412507847</v>
      </c>
      <c r="L30">
        <f>I14</f>
        <v>16.506393316399933</v>
      </c>
      <c r="M30">
        <f t="shared" si="0"/>
        <v>-4.0073617513365782</v>
      </c>
      <c r="N30">
        <f t="shared" si="1"/>
        <v>13.924549344771336</v>
      </c>
    </row>
    <row r="31" spans="1:14" x14ac:dyDescent="0.2">
      <c r="A31" t="s">
        <v>62</v>
      </c>
      <c r="B31" t="s">
        <v>129</v>
      </c>
      <c r="C31" t="s">
        <v>32</v>
      </c>
      <c r="D31">
        <v>30.601938496581401</v>
      </c>
      <c r="E31">
        <v>30.601938496581401</v>
      </c>
      <c r="F31" t="s">
        <v>62</v>
      </c>
      <c r="G31" s="1" t="s">
        <v>23</v>
      </c>
      <c r="H31">
        <v>1706</v>
      </c>
      <c r="I31">
        <f t="shared" si="32"/>
        <v>30.430942661171269</v>
      </c>
      <c r="J31">
        <f t="shared" ref="J31" si="33">J29</f>
        <v>0.16614947473651639</v>
      </c>
      <c r="K31">
        <f>I2</f>
        <v>34.438304412507847</v>
      </c>
      <c r="L31">
        <f>I14</f>
        <v>16.506393316399933</v>
      </c>
      <c r="M31">
        <f t="shared" si="0"/>
        <v>-4.0073617513365782</v>
      </c>
      <c r="N31">
        <f t="shared" si="1"/>
        <v>13.924549344771336</v>
      </c>
    </row>
    <row r="32" spans="1:14" x14ac:dyDescent="0.2">
      <c r="A32" t="s">
        <v>63</v>
      </c>
      <c r="B32" t="s">
        <v>129</v>
      </c>
      <c r="C32" t="s">
        <v>32</v>
      </c>
      <c r="D32">
        <v>33.359075470408897</v>
      </c>
      <c r="E32">
        <v>33.359075470408897</v>
      </c>
      <c r="F32" t="s">
        <v>63</v>
      </c>
      <c r="G32" s="4" t="s">
        <v>14</v>
      </c>
      <c r="H32">
        <v>1708</v>
      </c>
      <c r="I32">
        <f t="shared" ref="I32" si="34">AVERAGE(D32:D34)</f>
        <v>33.1972693244279</v>
      </c>
      <c r="J32">
        <f t="shared" ref="J32" si="35">STDEV(D32:D34)</f>
        <v>0.22882844612164613</v>
      </c>
      <c r="K32">
        <f>I8</f>
        <v>31.7478339803437</v>
      </c>
      <c r="L32">
        <f>I20</f>
        <v>16.006878892505</v>
      </c>
      <c r="M32">
        <f t="shared" si="0"/>
        <v>1.4494353440842005</v>
      </c>
      <c r="N32">
        <f t="shared" si="1"/>
        <v>17.1903904319229</v>
      </c>
    </row>
    <row r="33" spans="1:14" x14ac:dyDescent="0.2">
      <c r="A33" t="s">
        <v>64</v>
      </c>
      <c r="B33" t="s">
        <v>129</v>
      </c>
      <c r="C33" t="s">
        <v>32</v>
      </c>
      <c r="E33">
        <v>36.894518329861398</v>
      </c>
      <c r="F33" t="s">
        <v>64</v>
      </c>
      <c r="G33" s="4" t="s">
        <v>14</v>
      </c>
      <c r="H33">
        <v>1708</v>
      </c>
      <c r="I33">
        <f t="shared" ref="I33:J33" si="36">I32</f>
        <v>33.1972693244279</v>
      </c>
      <c r="J33">
        <f t="shared" si="36"/>
        <v>0.22882844612164613</v>
      </c>
      <c r="K33">
        <f>I8</f>
        <v>31.7478339803437</v>
      </c>
      <c r="L33">
        <f>I20</f>
        <v>16.006878892505</v>
      </c>
      <c r="M33">
        <f t="shared" si="0"/>
        <v>1.4494353440842005</v>
      </c>
      <c r="N33">
        <f t="shared" si="1"/>
        <v>17.1903904319229</v>
      </c>
    </row>
    <row r="34" spans="1:14" x14ac:dyDescent="0.2">
      <c r="A34" t="s">
        <v>65</v>
      </c>
      <c r="B34" t="s">
        <v>129</v>
      </c>
      <c r="C34" t="s">
        <v>32</v>
      </c>
      <c r="D34">
        <v>33.035463178446903</v>
      </c>
      <c r="E34">
        <v>33.035463178446903</v>
      </c>
      <c r="F34" t="s">
        <v>65</v>
      </c>
      <c r="G34" s="4" t="s">
        <v>14</v>
      </c>
      <c r="H34">
        <v>1708</v>
      </c>
      <c r="I34">
        <f t="shared" ref="I34:J34" si="37">I32</f>
        <v>33.1972693244279</v>
      </c>
      <c r="J34">
        <f t="shared" si="37"/>
        <v>0.22882844612164613</v>
      </c>
      <c r="K34">
        <f>I8</f>
        <v>31.7478339803437</v>
      </c>
      <c r="L34">
        <f>I20</f>
        <v>16.006878892505</v>
      </c>
      <c r="M34">
        <f t="shared" si="0"/>
        <v>1.4494353440842005</v>
      </c>
      <c r="N34">
        <f t="shared" si="1"/>
        <v>17.1903904319229</v>
      </c>
    </row>
    <row r="35" spans="1:14" s="17" customFormat="1" x14ac:dyDescent="0.2">
      <c r="A35" s="17" t="s">
        <v>66</v>
      </c>
      <c r="B35" s="17" t="s">
        <v>129</v>
      </c>
      <c r="C35" s="17" t="s">
        <v>32</v>
      </c>
      <c r="E35" s="17" t="s">
        <v>33</v>
      </c>
      <c r="F35" s="17" t="s">
        <v>66</v>
      </c>
      <c r="G35" s="19" t="s">
        <v>23</v>
      </c>
      <c r="H35" s="17">
        <v>1708</v>
      </c>
      <c r="I35" s="17" t="e">
        <f t="shared" ref="I35" si="38">AVERAGE(D35:D37)</f>
        <v>#DIV/0!</v>
      </c>
      <c r="J35" s="17" t="e">
        <f t="shared" ref="J35" si="39">STDEV(D35:D37)</f>
        <v>#DIV/0!</v>
      </c>
      <c r="K35" s="17">
        <f>I8</f>
        <v>31.7478339803437</v>
      </c>
      <c r="L35" s="17">
        <f>I20</f>
        <v>16.006878892505</v>
      </c>
      <c r="M35" s="17" t="e">
        <f t="shared" si="0"/>
        <v>#DIV/0!</v>
      </c>
      <c r="N35" s="17" t="e">
        <f t="shared" si="1"/>
        <v>#DIV/0!</v>
      </c>
    </row>
    <row r="36" spans="1:14" s="17" customFormat="1" x14ac:dyDescent="0.2">
      <c r="A36" s="17" t="s">
        <v>67</v>
      </c>
      <c r="B36" s="17" t="s">
        <v>129</v>
      </c>
      <c r="C36" s="17" t="s">
        <v>32</v>
      </c>
      <c r="E36" s="17">
        <v>24.0723554587974</v>
      </c>
      <c r="F36" s="17" t="s">
        <v>67</v>
      </c>
      <c r="G36" s="19" t="s">
        <v>23</v>
      </c>
      <c r="H36" s="17">
        <v>1708</v>
      </c>
      <c r="I36" s="17" t="e">
        <f t="shared" ref="I36:J37" si="40">I35</f>
        <v>#DIV/0!</v>
      </c>
      <c r="J36" s="17" t="e">
        <f t="shared" si="40"/>
        <v>#DIV/0!</v>
      </c>
      <c r="K36" s="17">
        <f>I8</f>
        <v>31.7478339803437</v>
      </c>
      <c r="L36" s="17">
        <f>I20</f>
        <v>16.006878892505</v>
      </c>
      <c r="M36" s="17" t="e">
        <f t="shared" si="0"/>
        <v>#DIV/0!</v>
      </c>
      <c r="N36" s="17" t="e">
        <f t="shared" si="1"/>
        <v>#DIV/0!</v>
      </c>
    </row>
    <row r="37" spans="1:14" s="17" customFormat="1" x14ac:dyDescent="0.2">
      <c r="A37" s="17" t="s">
        <v>68</v>
      </c>
      <c r="B37" s="17" t="s">
        <v>129</v>
      </c>
      <c r="C37" s="17" t="s">
        <v>32</v>
      </c>
      <c r="E37" s="17" t="s">
        <v>33</v>
      </c>
      <c r="F37" s="17" t="s">
        <v>68</v>
      </c>
      <c r="G37" s="19" t="s">
        <v>23</v>
      </c>
      <c r="H37" s="17">
        <v>1708</v>
      </c>
      <c r="I37" s="17" t="e">
        <f t="shared" si="40"/>
        <v>#DIV/0!</v>
      </c>
      <c r="J37" s="17" t="e">
        <f t="shared" ref="J37" si="41">J35</f>
        <v>#DIV/0!</v>
      </c>
      <c r="K37" s="17">
        <f>I8</f>
        <v>31.7478339803437</v>
      </c>
      <c r="L37" s="17">
        <f>I20</f>
        <v>16.006878892505</v>
      </c>
      <c r="M37" s="17" t="e">
        <f t="shared" si="0"/>
        <v>#DIV/0!</v>
      </c>
      <c r="N37" s="17" t="e">
        <f t="shared" si="1"/>
        <v>#DIV/0!</v>
      </c>
    </row>
    <row r="38" spans="1:14" x14ac:dyDescent="0.2">
      <c r="A38" t="s">
        <v>69</v>
      </c>
      <c r="B38" t="s">
        <v>129</v>
      </c>
      <c r="C38" t="s">
        <v>32</v>
      </c>
      <c r="E38">
        <v>30.298447408209601</v>
      </c>
      <c r="F38" t="s">
        <v>69</v>
      </c>
      <c r="G38" s="4" t="s">
        <v>15</v>
      </c>
      <c r="H38">
        <v>1706</v>
      </c>
      <c r="I38">
        <f t="shared" ref="I38" si="42">AVERAGE(D38:D40)</f>
        <v>29.583381130967602</v>
      </c>
      <c r="J38">
        <f t="shared" ref="J38" si="43">STDEV(D38:D40)</f>
        <v>4.3761491009426279E-2</v>
      </c>
      <c r="K38">
        <f>I2</f>
        <v>34.438304412507847</v>
      </c>
      <c r="L38">
        <f>I14</f>
        <v>16.506393316399933</v>
      </c>
      <c r="M38">
        <f t="shared" si="0"/>
        <v>-4.8549232815402448</v>
      </c>
      <c r="N38">
        <f t="shared" si="1"/>
        <v>13.076987814567669</v>
      </c>
    </row>
    <row r="39" spans="1:14" x14ac:dyDescent="0.2">
      <c r="A39" t="s">
        <v>70</v>
      </c>
      <c r="B39" t="s">
        <v>129</v>
      </c>
      <c r="C39" t="s">
        <v>32</v>
      </c>
      <c r="D39">
        <v>29.6143251780152</v>
      </c>
      <c r="E39">
        <v>29.6143251780152</v>
      </c>
      <c r="F39" t="s">
        <v>70</v>
      </c>
      <c r="G39" s="4" t="s">
        <v>15</v>
      </c>
      <c r="H39">
        <v>1706</v>
      </c>
      <c r="I39">
        <f t="shared" ref="I39:J39" si="44">I38</f>
        <v>29.583381130967602</v>
      </c>
      <c r="J39">
        <f t="shared" si="44"/>
        <v>4.3761491009426279E-2</v>
      </c>
      <c r="K39">
        <f>I2</f>
        <v>34.438304412507847</v>
      </c>
      <c r="L39">
        <f>I14</f>
        <v>16.506393316399933</v>
      </c>
      <c r="M39">
        <f t="shared" si="0"/>
        <v>-4.8549232815402448</v>
      </c>
      <c r="N39">
        <f t="shared" si="1"/>
        <v>13.076987814567669</v>
      </c>
    </row>
    <row r="40" spans="1:14" x14ac:dyDescent="0.2">
      <c r="A40" t="s">
        <v>71</v>
      </c>
      <c r="B40" t="s">
        <v>129</v>
      </c>
      <c r="C40" t="s">
        <v>32</v>
      </c>
      <c r="D40">
        <v>29.552437083920001</v>
      </c>
      <c r="E40">
        <v>29.552437083920001</v>
      </c>
      <c r="F40" t="s">
        <v>71</v>
      </c>
      <c r="G40" s="4" t="s">
        <v>15</v>
      </c>
      <c r="H40">
        <v>1706</v>
      </c>
      <c r="I40">
        <f t="shared" ref="I40:J40" si="45">I38</f>
        <v>29.583381130967602</v>
      </c>
      <c r="J40">
        <f t="shared" si="45"/>
        <v>4.3761491009426279E-2</v>
      </c>
      <c r="K40">
        <f>I2</f>
        <v>34.438304412507847</v>
      </c>
      <c r="L40">
        <f>I14</f>
        <v>16.506393316399933</v>
      </c>
      <c r="M40">
        <f t="shared" si="0"/>
        <v>-4.8549232815402448</v>
      </c>
      <c r="N40">
        <f t="shared" si="1"/>
        <v>13.076987814567669</v>
      </c>
    </row>
    <row r="41" spans="1:14" x14ac:dyDescent="0.2">
      <c r="A41" t="s">
        <v>72</v>
      </c>
      <c r="B41" t="s">
        <v>129</v>
      </c>
      <c r="C41" t="s">
        <v>32</v>
      </c>
      <c r="E41">
        <v>32.850817997596799</v>
      </c>
      <c r="F41" t="s">
        <v>72</v>
      </c>
      <c r="G41" s="1" t="s">
        <v>22</v>
      </c>
      <c r="H41">
        <v>1706</v>
      </c>
      <c r="I41">
        <f t="shared" ref="I41" si="46">AVERAGE(D41:D43)</f>
        <v>30.835848932492098</v>
      </c>
      <c r="J41">
        <f t="shared" ref="J41" si="47">STDEV(D41:D43)</f>
        <v>0.12323047486828063</v>
      </c>
      <c r="K41">
        <f>I2</f>
        <v>34.438304412507847</v>
      </c>
      <c r="L41">
        <f>I14</f>
        <v>16.506393316399933</v>
      </c>
      <c r="M41">
        <f t="shared" si="0"/>
        <v>-3.6024554800157489</v>
      </c>
      <c r="N41">
        <f t="shared" si="1"/>
        <v>14.329455616092165</v>
      </c>
    </row>
    <row r="42" spans="1:14" x14ac:dyDescent="0.2">
      <c r="A42" t="s">
        <v>73</v>
      </c>
      <c r="B42" t="s">
        <v>129</v>
      </c>
      <c r="C42" t="s">
        <v>32</v>
      </c>
      <c r="D42">
        <v>30.7487118280639</v>
      </c>
      <c r="E42">
        <v>30.7487118280639</v>
      </c>
      <c r="F42" t="s">
        <v>73</v>
      </c>
      <c r="G42" s="1" t="s">
        <v>22</v>
      </c>
      <c r="H42">
        <v>1706</v>
      </c>
      <c r="I42">
        <f t="shared" ref="I42:J43" si="48">I41</f>
        <v>30.835848932492098</v>
      </c>
      <c r="J42">
        <f t="shared" si="48"/>
        <v>0.12323047486828063</v>
      </c>
      <c r="K42">
        <f>I2</f>
        <v>34.438304412507847</v>
      </c>
      <c r="L42">
        <f>I14</f>
        <v>16.506393316399933</v>
      </c>
      <c r="M42">
        <f t="shared" si="0"/>
        <v>-3.6024554800157489</v>
      </c>
      <c r="N42">
        <f t="shared" si="1"/>
        <v>14.329455616092165</v>
      </c>
    </row>
    <row r="43" spans="1:14" x14ac:dyDescent="0.2">
      <c r="A43" t="s">
        <v>74</v>
      </c>
      <c r="B43" t="s">
        <v>129</v>
      </c>
      <c r="C43" t="s">
        <v>32</v>
      </c>
      <c r="D43">
        <v>30.9229860369203</v>
      </c>
      <c r="E43">
        <v>30.9229860369203</v>
      </c>
      <c r="F43" t="s">
        <v>74</v>
      </c>
      <c r="G43" s="1" t="s">
        <v>22</v>
      </c>
      <c r="H43">
        <v>1706</v>
      </c>
      <c r="I43">
        <f t="shared" si="48"/>
        <v>30.835848932492098</v>
      </c>
      <c r="J43">
        <f t="shared" ref="J43" si="49">J41</f>
        <v>0.12323047486828063</v>
      </c>
      <c r="K43">
        <f>I2</f>
        <v>34.438304412507847</v>
      </c>
      <c r="L43">
        <f>I14</f>
        <v>16.506393316399933</v>
      </c>
      <c r="M43">
        <f t="shared" si="0"/>
        <v>-3.6024554800157489</v>
      </c>
      <c r="N43">
        <f t="shared" si="1"/>
        <v>14.329455616092165</v>
      </c>
    </row>
    <row r="44" spans="1:14" x14ac:dyDescent="0.2">
      <c r="A44" t="s">
        <v>75</v>
      </c>
      <c r="B44" t="s">
        <v>129</v>
      </c>
      <c r="C44" t="s">
        <v>32</v>
      </c>
      <c r="E44">
        <v>32.083609524218303</v>
      </c>
      <c r="F44" t="s">
        <v>75</v>
      </c>
      <c r="G44" s="4" t="s">
        <v>15</v>
      </c>
      <c r="H44">
        <v>1708</v>
      </c>
      <c r="I44">
        <f t="shared" ref="I44" si="50">AVERAGE(D44:D46)</f>
        <v>33.031905281281396</v>
      </c>
      <c r="J44">
        <f t="shared" ref="J44" si="51">STDEV(D44:D46)</f>
        <v>0.20826962043834546</v>
      </c>
      <c r="K44">
        <f>I8</f>
        <v>31.7478339803437</v>
      </c>
      <c r="L44">
        <f>I20</f>
        <v>16.006878892505</v>
      </c>
      <c r="M44">
        <f t="shared" si="0"/>
        <v>1.2840713009376969</v>
      </c>
      <c r="N44">
        <f t="shared" si="1"/>
        <v>17.025026388776396</v>
      </c>
    </row>
    <row r="45" spans="1:14" x14ac:dyDescent="0.2">
      <c r="A45" t="s">
        <v>76</v>
      </c>
      <c r="B45" t="s">
        <v>129</v>
      </c>
      <c r="C45" t="s">
        <v>32</v>
      </c>
      <c r="D45">
        <v>33.179174142208502</v>
      </c>
      <c r="E45">
        <v>33.179174142208502</v>
      </c>
      <c r="F45" t="s">
        <v>76</v>
      </c>
      <c r="G45" s="4" t="s">
        <v>15</v>
      </c>
      <c r="H45">
        <v>1708</v>
      </c>
      <c r="I45">
        <f t="shared" ref="I45:J45" si="52">I44</f>
        <v>33.031905281281396</v>
      </c>
      <c r="J45">
        <f t="shared" si="52"/>
        <v>0.20826962043834546</v>
      </c>
      <c r="K45">
        <f>I8</f>
        <v>31.7478339803437</v>
      </c>
      <c r="L45">
        <f>I20</f>
        <v>16.006878892505</v>
      </c>
      <c r="M45">
        <f t="shared" si="0"/>
        <v>1.2840713009376969</v>
      </c>
      <c r="N45">
        <f t="shared" si="1"/>
        <v>17.025026388776396</v>
      </c>
    </row>
    <row r="46" spans="1:14" x14ac:dyDescent="0.2">
      <c r="A46" t="s">
        <v>77</v>
      </c>
      <c r="B46" t="s">
        <v>129</v>
      </c>
      <c r="C46" t="s">
        <v>32</v>
      </c>
      <c r="D46">
        <v>32.884636420354298</v>
      </c>
      <c r="E46">
        <v>32.884636420354298</v>
      </c>
      <c r="F46" t="s">
        <v>77</v>
      </c>
      <c r="G46" s="4" t="s">
        <v>15</v>
      </c>
      <c r="H46">
        <v>1708</v>
      </c>
      <c r="I46">
        <f t="shared" ref="I46:J46" si="53">I44</f>
        <v>33.031905281281396</v>
      </c>
      <c r="J46">
        <f t="shared" si="53"/>
        <v>0.20826962043834546</v>
      </c>
      <c r="K46">
        <f>I8</f>
        <v>31.7478339803437</v>
      </c>
      <c r="L46">
        <f>I20</f>
        <v>16.006878892505</v>
      </c>
      <c r="M46">
        <f t="shared" si="0"/>
        <v>1.2840713009376969</v>
      </c>
      <c r="N46">
        <f t="shared" si="1"/>
        <v>17.025026388776396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38.067494734568399</v>
      </c>
      <c r="F47" s="17" t="s">
        <v>78</v>
      </c>
      <c r="G47" s="19" t="s">
        <v>22</v>
      </c>
      <c r="H47" s="17">
        <v>1708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31.7478339803437</v>
      </c>
      <c r="L47" s="17">
        <f>I20</f>
        <v>16.006878892505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11.101606425452401</v>
      </c>
      <c r="F48" s="17" t="s">
        <v>79</v>
      </c>
      <c r="G48" s="19" t="s">
        <v>22</v>
      </c>
      <c r="H48" s="17">
        <v>1708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31.7478339803437</v>
      </c>
      <c r="L48" s="17">
        <f>I20</f>
        <v>16.006878892505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 t="s">
        <v>33</v>
      </c>
      <c r="F49" s="17" t="s">
        <v>80</v>
      </c>
      <c r="G49" s="19" t="s">
        <v>22</v>
      </c>
      <c r="H49" s="17">
        <v>1708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31.7478339803437</v>
      </c>
      <c r="L49" s="17">
        <f>I20</f>
        <v>16.006878892505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29.9649142284193</v>
      </c>
      <c r="E50">
        <v>29.9649142284193</v>
      </c>
      <c r="F50" t="s">
        <v>81</v>
      </c>
      <c r="G50" s="4" t="s">
        <v>16</v>
      </c>
      <c r="H50">
        <v>1706</v>
      </c>
      <c r="I50">
        <f t="shared" ref="I50" si="58">AVERAGE(D50:D52)</f>
        <v>30.063615603892668</v>
      </c>
      <c r="J50">
        <f t="shared" ref="J50" si="59">STDEV(D50:D52)</f>
        <v>8.5905878775797945E-2</v>
      </c>
      <c r="K50">
        <f>I2</f>
        <v>34.438304412507847</v>
      </c>
      <c r="L50">
        <f>I14</f>
        <v>16.506393316399933</v>
      </c>
      <c r="M50">
        <f t="shared" si="0"/>
        <v>-4.3746888086151792</v>
      </c>
      <c r="N50">
        <f t="shared" si="1"/>
        <v>13.557222287492735</v>
      </c>
    </row>
    <row r="51" spans="1:14" x14ac:dyDescent="0.2">
      <c r="A51" t="s">
        <v>82</v>
      </c>
      <c r="B51" t="s">
        <v>129</v>
      </c>
      <c r="C51" t="s">
        <v>32</v>
      </c>
      <c r="D51">
        <v>30.104401896262999</v>
      </c>
      <c r="E51">
        <v>30.104401896262999</v>
      </c>
      <c r="F51" t="s">
        <v>82</v>
      </c>
      <c r="G51" s="4" t="s">
        <v>16</v>
      </c>
      <c r="H51">
        <v>1706</v>
      </c>
      <c r="I51">
        <f t="shared" ref="I51:J51" si="60">I50</f>
        <v>30.063615603892668</v>
      </c>
      <c r="J51">
        <f t="shared" si="60"/>
        <v>8.5905878775797945E-2</v>
      </c>
      <c r="K51">
        <f>I2</f>
        <v>34.438304412507847</v>
      </c>
      <c r="L51">
        <f>I14</f>
        <v>16.506393316399933</v>
      </c>
      <c r="M51">
        <f t="shared" si="0"/>
        <v>-4.3746888086151792</v>
      </c>
      <c r="N51">
        <f t="shared" si="1"/>
        <v>13.557222287492735</v>
      </c>
    </row>
    <row r="52" spans="1:14" x14ac:dyDescent="0.2">
      <c r="A52" t="s">
        <v>83</v>
      </c>
      <c r="B52" t="s">
        <v>129</v>
      </c>
      <c r="C52" t="s">
        <v>32</v>
      </c>
      <c r="D52">
        <v>30.121530686995701</v>
      </c>
      <c r="E52">
        <v>30.121530686995701</v>
      </c>
      <c r="F52" t="s">
        <v>83</v>
      </c>
      <c r="G52" s="4" t="s">
        <v>16</v>
      </c>
      <c r="H52">
        <v>1706</v>
      </c>
      <c r="I52">
        <f t="shared" ref="I52:J52" si="61">I50</f>
        <v>30.063615603892668</v>
      </c>
      <c r="J52">
        <f t="shared" si="61"/>
        <v>8.5905878775797945E-2</v>
      </c>
      <c r="K52">
        <f>I2</f>
        <v>34.438304412507847</v>
      </c>
      <c r="L52">
        <f>I14</f>
        <v>16.506393316399933</v>
      </c>
      <c r="M52">
        <f t="shared" si="0"/>
        <v>-4.3746888086151792</v>
      </c>
      <c r="N52">
        <f t="shared" si="1"/>
        <v>13.557222287492735</v>
      </c>
    </row>
    <row r="53" spans="1:14" x14ac:dyDescent="0.2">
      <c r="A53" t="s">
        <v>84</v>
      </c>
      <c r="B53" t="s">
        <v>129</v>
      </c>
      <c r="C53" t="s">
        <v>32</v>
      </c>
      <c r="D53">
        <v>30.497794903133101</v>
      </c>
      <c r="E53">
        <v>30.497794903133101</v>
      </c>
      <c r="F53" t="s">
        <v>84</v>
      </c>
      <c r="G53" s="1" t="s">
        <v>24</v>
      </c>
      <c r="H53">
        <v>1706</v>
      </c>
      <c r="I53">
        <f t="shared" ref="I53" si="62">AVERAGE(D53:D55)</f>
        <v>30.38589465775005</v>
      </c>
      <c r="J53">
        <f t="shared" ref="J53" si="63">STDEV(D53:D55)</f>
        <v>0.15825084465358819</v>
      </c>
      <c r="K53">
        <f>I2</f>
        <v>34.438304412507847</v>
      </c>
      <c r="L53">
        <f>I14</f>
        <v>16.506393316399933</v>
      </c>
      <c r="M53">
        <f t="shared" si="0"/>
        <v>-4.0524097547577966</v>
      </c>
      <c r="N53">
        <f t="shared" si="1"/>
        <v>13.879501341350117</v>
      </c>
    </row>
    <row r="54" spans="1:14" x14ac:dyDescent="0.2">
      <c r="A54" t="s">
        <v>85</v>
      </c>
      <c r="B54" t="s">
        <v>129</v>
      </c>
      <c r="C54" t="s">
        <v>32</v>
      </c>
      <c r="D54">
        <v>30.273994412366999</v>
      </c>
      <c r="E54">
        <v>30.273994412366999</v>
      </c>
      <c r="F54" t="s">
        <v>85</v>
      </c>
      <c r="G54" s="1" t="s">
        <v>24</v>
      </c>
      <c r="H54">
        <v>1706</v>
      </c>
      <c r="I54">
        <f t="shared" ref="I54:J55" si="64">I53</f>
        <v>30.38589465775005</v>
      </c>
      <c r="J54">
        <f t="shared" si="64"/>
        <v>0.15825084465358819</v>
      </c>
      <c r="K54">
        <f>I2</f>
        <v>34.438304412507847</v>
      </c>
      <c r="L54">
        <f>I14</f>
        <v>16.506393316399933</v>
      </c>
      <c r="M54">
        <f t="shared" si="0"/>
        <v>-4.0524097547577966</v>
      </c>
      <c r="N54">
        <f t="shared" si="1"/>
        <v>13.879501341350117</v>
      </c>
    </row>
    <row r="55" spans="1:14" x14ac:dyDescent="0.2">
      <c r="A55" t="s">
        <v>86</v>
      </c>
      <c r="B55" t="s">
        <v>129</v>
      </c>
      <c r="C55" t="s">
        <v>32</v>
      </c>
      <c r="E55">
        <v>31.689205353682102</v>
      </c>
      <c r="F55" t="s">
        <v>86</v>
      </c>
      <c r="G55" s="1" t="s">
        <v>24</v>
      </c>
      <c r="H55">
        <v>1706</v>
      </c>
      <c r="I55">
        <f t="shared" si="64"/>
        <v>30.38589465775005</v>
      </c>
      <c r="J55">
        <f t="shared" ref="J55" si="65">J53</f>
        <v>0.15825084465358819</v>
      </c>
      <c r="K55">
        <f>I2</f>
        <v>34.438304412507847</v>
      </c>
      <c r="L55">
        <f>I14</f>
        <v>16.506393316399933</v>
      </c>
      <c r="M55">
        <f t="shared" si="0"/>
        <v>-4.0524097547577966</v>
      </c>
      <c r="N55">
        <f t="shared" si="1"/>
        <v>13.879501341350117</v>
      </c>
    </row>
    <row r="56" spans="1:14" x14ac:dyDescent="0.2">
      <c r="A56" t="s">
        <v>87</v>
      </c>
      <c r="B56" t="s">
        <v>129</v>
      </c>
      <c r="C56" t="s">
        <v>32</v>
      </c>
      <c r="D56">
        <v>30.910093134804601</v>
      </c>
      <c r="E56">
        <v>30.910093134804601</v>
      </c>
      <c r="F56" t="s">
        <v>87</v>
      </c>
      <c r="G56" s="4" t="s">
        <v>16</v>
      </c>
      <c r="H56">
        <v>1708</v>
      </c>
      <c r="I56">
        <f t="shared" ref="I56" si="66">AVERAGE(D56:D58)</f>
        <v>31.016764139760951</v>
      </c>
      <c r="J56">
        <f t="shared" ref="J56" si="67">STDEV(D56:D58)</f>
        <v>0.15085558192123585</v>
      </c>
      <c r="K56">
        <f>I8</f>
        <v>31.7478339803437</v>
      </c>
      <c r="L56">
        <f>I20</f>
        <v>16.006878892505</v>
      </c>
      <c r="M56">
        <f t="shared" si="0"/>
        <v>-0.73106984058274804</v>
      </c>
      <c r="N56">
        <f t="shared" si="1"/>
        <v>15.009885247255951</v>
      </c>
    </row>
    <row r="57" spans="1:14" x14ac:dyDescent="0.2">
      <c r="A57" t="s">
        <v>88</v>
      </c>
      <c r="B57" t="s">
        <v>129</v>
      </c>
      <c r="C57" t="s">
        <v>32</v>
      </c>
      <c r="E57">
        <v>32.568751550591898</v>
      </c>
      <c r="F57" t="s">
        <v>88</v>
      </c>
      <c r="G57" s="4" t="s">
        <v>16</v>
      </c>
      <c r="H57">
        <v>1708</v>
      </c>
      <c r="I57">
        <f t="shared" ref="I57:J57" si="68">I56</f>
        <v>31.016764139760951</v>
      </c>
      <c r="J57">
        <f t="shared" si="68"/>
        <v>0.15085558192123585</v>
      </c>
      <c r="K57">
        <f>I8</f>
        <v>31.7478339803437</v>
      </c>
      <c r="L57">
        <f>I20</f>
        <v>16.006878892505</v>
      </c>
      <c r="M57">
        <f t="shared" si="0"/>
        <v>-0.73106984058274804</v>
      </c>
      <c r="N57">
        <f t="shared" si="1"/>
        <v>15.009885247255951</v>
      </c>
    </row>
    <row r="58" spans="1:14" x14ac:dyDescent="0.2">
      <c r="A58" t="s">
        <v>89</v>
      </c>
      <c r="B58" t="s">
        <v>129</v>
      </c>
      <c r="C58" t="s">
        <v>32</v>
      </c>
      <c r="D58">
        <v>31.123435144717298</v>
      </c>
      <c r="E58">
        <v>31.123435144717298</v>
      </c>
      <c r="F58" t="s">
        <v>89</v>
      </c>
      <c r="G58" s="4" t="s">
        <v>16</v>
      </c>
      <c r="H58">
        <v>1708</v>
      </c>
      <c r="I58">
        <f t="shared" ref="I58:J58" si="69">I56</f>
        <v>31.016764139760951</v>
      </c>
      <c r="J58">
        <f t="shared" si="69"/>
        <v>0.15085558192123585</v>
      </c>
      <c r="K58">
        <f>I8</f>
        <v>31.7478339803437</v>
      </c>
      <c r="L58">
        <f>I20</f>
        <v>16.006878892505</v>
      </c>
      <c r="M58">
        <f t="shared" si="0"/>
        <v>-0.73106984058274804</v>
      </c>
      <c r="N58">
        <f t="shared" si="1"/>
        <v>15.009885247255951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 t="s">
        <v>33</v>
      </c>
      <c r="F59" s="17" t="s">
        <v>90</v>
      </c>
      <c r="G59" s="19" t="s">
        <v>24</v>
      </c>
      <c r="H59" s="17">
        <v>1708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31.7478339803437</v>
      </c>
      <c r="L59" s="17">
        <f>I20</f>
        <v>16.006878892505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15.5822356974966</v>
      </c>
      <c r="F60" s="17" t="s">
        <v>91</v>
      </c>
      <c r="G60" s="19" t="s">
        <v>24</v>
      </c>
      <c r="H60" s="17">
        <v>1708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31.7478339803437</v>
      </c>
      <c r="L60" s="17">
        <f>I20</f>
        <v>16.006878892505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>
        <v>4.8069597481822903</v>
      </c>
      <c r="F61" s="17" t="s">
        <v>92</v>
      </c>
      <c r="G61" s="19" t="s">
        <v>24</v>
      </c>
      <c r="H61" s="17">
        <v>1708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31.7478339803437</v>
      </c>
      <c r="L61" s="17">
        <f>I20</f>
        <v>16.006878892505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31.044085916520999</v>
      </c>
      <c r="E62">
        <v>31.044085916520999</v>
      </c>
      <c r="F62" t="s">
        <v>93</v>
      </c>
      <c r="G62" s="4" t="s">
        <v>17</v>
      </c>
      <c r="H62">
        <v>1706</v>
      </c>
      <c r="I62">
        <f t="shared" ref="I62" si="74">AVERAGE(D62:D64)</f>
        <v>30.733499420545201</v>
      </c>
      <c r="J62">
        <f t="shared" ref="J62" si="75">STDEV(D62:D64)</f>
        <v>0.43923563489891276</v>
      </c>
      <c r="K62">
        <f>I2</f>
        <v>34.438304412507847</v>
      </c>
      <c r="L62">
        <f>I14</f>
        <v>16.506393316399933</v>
      </c>
      <c r="M62">
        <f t="shared" si="0"/>
        <v>-3.7048049919626465</v>
      </c>
      <c r="N62">
        <f t="shared" si="1"/>
        <v>14.227106104145268</v>
      </c>
    </row>
    <row r="63" spans="1:14" x14ac:dyDescent="0.2">
      <c r="A63" t="s">
        <v>94</v>
      </c>
      <c r="B63" t="s">
        <v>129</v>
      </c>
      <c r="C63" t="s">
        <v>32</v>
      </c>
      <c r="E63">
        <v>27.574065619077501</v>
      </c>
      <c r="F63" t="s">
        <v>94</v>
      </c>
      <c r="G63" s="4" t="s">
        <v>17</v>
      </c>
      <c r="H63">
        <v>1706</v>
      </c>
      <c r="I63">
        <f t="shared" ref="I63:J63" si="76">I62</f>
        <v>30.733499420545201</v>
      </c>
      <c r="J63">
        <f t="shared" si="76"/>
        <v>0.43923563489891276</v>
      </c>
      <c r="K63">
        <f>I2</f>
        <v>34.438304412507847</v>
      </c>
      <c r="L63">
        <f>I14</f>
        <v>16.506393316399933</v>
      </c>
      <c r="M63">
        <f t="shared" si="0"/>
        <v>-3.7048049919626465</v>
      </c>
      <c r="N63">
        <f t="shared" si="1"/>
        <v>14.227106104145268</v>
      </c>
    </row>
    <row r="64" spans="1:14" x14ac:dyDescent="0.2">
      <c r="A64" t="s">
        <v>95</v>
      </c>
      <c r="B64" t="s">
        <v>129</v>
      </c>
      <c r="C64" t="s">
        <v>32</v>
      </c>
      <c r="D64">
        <v>30.422912924569399</v>
      </c>
      <c r="E64">
        <v>30.422912924569399</v>
      </c>
      <c r="F64" t="s">
        <v>95</v>
      </c>
      <c r="G64" s="4" t="s">
        <v>17</v>
      </c>
      <c r="H64">
        <v>1706</v>
      </c>
      <c r="I64">
        <f t="shared" ref="I64:J64" si="77">I62</f>
        <v>30.733499420545201</v>
      </c>
      <c r="J64">
        <f t="shared" si="77"/>
        <v>0.43923563489891276</v>
      </c>
      <c r="K64">
        <f>I2</f>
        <v>34.438304412507847</v>
      </c>
      <c r="L64">
        <f>I14</f>
        <v>16.506393316399933</v>
      </c>
      <c r="M64">
        <f t="shared" si="0"/>
        <v>-3.7048049919626465</v>
      </c>
      <c r="N64">
        <f t="shared" si="1"/>
        <v>14.227106104145268</v>
      </c>
    </row>
    <row r="65" spans="1:14" x14ac:dyDescent="0.2">
      <c r="A65" t="s">
        <v>96</v>
      </c>
      <c r="B65" t="s">
        <v>129</v>
      </c>
      <c r="C65" t="s">
        <v>32</v>
      </c>
      <c r="D65">
        <v>30.6258422939407</v>
      </c>
      <c r="E65">
        <v>30.6258422939407</v>
      </c>
      <c r="F65" t="s">
        <v>96</v>
      </c>
      <c r="G65" s="1" t="s">
        <v>25</v>
      </c>
      <c r="H65">
        <v>1706</v>
      </c>
      <c r="I65">
        <f t="shared" ref="I65" si="78">AVERAGE(D65:D67)</f>
        <v>30.910823066772767</v>
      </c>
      <c r="J65">
        <f t="shared" ref="J65" si="79">STDEV(D65:D67)</f>
        <v>0.25019559562946736</v>
      </c>
      <c r="K65">
        <f>I2</f>
        <v>34.438304412507847</v>
      </c>
      <c r="L65">
        <f>I14</f>
        <v>16.506393316399933</v>
      </c>
      <c r="M65">
        <f t="shared" si="0"/>
        <v>-3.5274813457350795</v>
      </c>
      <c r="N65">
        <f t="shared" si="1"/>
        <v>14.404429750372834</v>
      </c>
    </row>
    <row r="66" spans="1:14" x14ac:dyDescent="0.2">
      <c r="A66" t="s">
        <v>97</v>
      </c>
      <c r="B66" t="s">
        <v>129</v>
      </c>
      <c r="C66" t="s">
        <v>32</v>
      </c>
      <c r="D66">
        <v>31.0122366299254</v>
      </c>
      <c r="E66">
        <v>31.0122366299254</v>
      </c>
      <c r="F66" t="s">
        <v>97</v>
      </c>
      <c r="G66" s="1" t="s">
        <v>25</v>
      </c>
      <c r="H66">
        <v>1706</v>
      </c>
      <c r="I66">
        <f t="shared" ref="I66:J67" si="80">I65</f>
        <v>30.910823066772767</v>
      </c>
      <c r="J66">
        <f t="shared" si="80"/>
        <v>0.25019559562946736</v>
      </c>
      <c r="K66">
        <f>I2</f>
        <v>34.438304412507847</v>
      </c>
      <c r="L66">
        <f>I14</f>
        <v>16.506393316399933</v>
      </c>
      <c r="M66">
        <f t="shared" si="0"/>
        <v>-3.5274813457350795</v>
      </c>
      <c r="N66">
        <f t="shared" si="1"/>
        <v>14.404429750372834</v>
      </c>
    </row>
    <row r="67" spans="1:14" x14ac:dyDescent="0.2">
      <c r="A67" t="s">
        <v>98</v>
      </c>
      <c r="B67" t="s">
        <v>129</v>
      </c>
      <c r="C67" t="s">
        <v>32</v>
      </c>
      <c r="D67">
        <v>31.094390276452199</v>
      </c>
      <c r="E67">
        <v>31.094390276452199</v>
      </c>
      <c r="F67" t="s">
        <v>98</v>
      </c>
      <c r="G67" s="1" t="s">
        <v>25</v>
      </c>
      <c r="H67">
        <v>1706</v>
      </c>
      <c r="I67">
        <f t="shared" si="80"/>
        <v>30.910823066772767</v>
      </c>
      <c r="J67">
        <f t="shared" ref="J67" si="81">J65</f>
        <v>0.25019559562946736</v>
      </c>
      <c r="K67">
        <f>I2</f>
        <v>34.438304412507847</v>
      </c>
      <c r="L67">
        <f>I14</f>
        <v>16.506393316399933</v>
      </c>
      <c r="M67">
        <f t="shared" ref="M67:M97" si="82">I67-K67</f>
        <v>-3.5274813457350795</v>
      </c>
      <c r="N67">
        <f t="shared" ref="N67:N97" si="83">I67-L67</f>
        <v>14.404429750372834</v>
      </c>
    </row>
    <row r="68" spans="1:14" x14ac:dyDescent="0.2">
      <c r="A68" t="s">
        <v>99</v>
      </c>
      <c r="B68" t="s">
        <v>129</v>
      </c>
      <c r="C68" t="s">
        <v>32</v>
      </c>
      <c r="D68">
        <v>31.376734894506999</v>
      </c>
      <c r="E68">
        <v>31.376734894506999</v>
      </c>
      <c r="F68" t="s">
        <v>99</v>
      </c>
      <c r="G68" s="4" t="s">
        <v>17</v>
      </c>
      <c r="H68">
        <v>1708</v>
      </c>
      <c r="I68">
        <f t="shared" ref="I68" si="84">AVERAGE(D68:D70)</f>
        <v>31.413443040317702</v>
      </c>
      <c r="J68">
        <f t="shared" ref="J68" si="85">STDEV(D68:D70)</f>
        <v>5.1913157655062825E-2</v>
      </c>
      <c r="K68">
        <f>I8</f>
        <v>31.7478339803437</v>
      </c>
      <c r="L68">
        <f>I20</f>
        <v>16.006878892505</v>
      </c>
      <c r="M68">
        <f t="shared" si="82"/>
        <v>-0.33439094002599745</v>
      </c>
      <c r="N68">
        <f t="shared" si="83"/>
        <v>15.406564147812702</v>
      </c>
    </row>
    <row r="69" spans="1:14" x14ac:dyDescent="0.2">
      <c r="A69" t="s">
        <v>100</v>
      </c>
      <c r="B69" t="s">
        <v>129</v>
      </c>
      <c r="C69" t="s">
        <v>32</v>
      </c>
      <c r="D69">
        <v>31.450151186128402</v>
      </c>
      <c r="E69">
        <v>31.450151186128402</v>
      </c>
      <c r="F69" t="s">
        <v>100</v>
      </c>
      <c r="G69" s="4" t="s">
        <v>17</v>
      </c>
      <c r="H69">
        <v>1708</v>
      </c>
      <c r="I69">
        <f t="shared" ref="I69:J69" si="86">I68</f>
        <v>31.413443040317702</v>
      </c>
      <c r="J69">
        <f t="shared" si="86"/>
        <v>5.1913157655062825E-2</v>
      </c>
      <c r="K69">
        <f>I8</f>
        <v>31.7478339803437</v>
      </c>
      <c r="L69">
        <f>I20</f>
        <v>16.006878892505</v>
      </c>
      <c r="M69">
        <f t="shared" si="82"/>
        <v>-0.33439094002599745</v>
      </c>
      <c r="N69">
        <f t="shared" si="83"/>
        <v>15.406564147812702</v>
      </c>
    </row>
    <row r="70" spans="1:14" x14ac:dyDescent="0.2">
      <c r="A70" t="s">
        <v>101</v>
      </c>
      <c r="B70" t="s">
        <v>129</v>
      </c>
      <c r="C70" t="s">
        <v>32</v>
      </c>
      <c r="E70">
        <v>33.257084070685202</v>
      </c>
      <c r="F70" t="s">
        <v>101</v>
      </c>
      <c r="G70" s="4" t="s">
        <v>17</v>
      </c>
      <c r="H70">
        <v>1708</v>
      </c>
      <c r="I70">
        <f t="shared" ref="I70:J70" si="87">I68</f>
        <v>31.413443040317702</v>
      </c>
      <c r="J70">
        <f t="shared" si="87"/>
        <v>5.1913157655062825E-2</v>
      </c>
      <c r="K70">
        <f>I8</f>
        <v>31.7478339803437</v>
      </c>
      <c r="L70">
        <f>I20</f>
        <v>16.006878892505</v>
      </c>
      <c r="M70">
        <f t="shared" si="82"/>
        <v>-0.33439094002599745</v>
      </c>
      <c r="N70">
        <f t="shared" si="83"/>
        <v>15.406564147812702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32.015242100730397</v>
      </c>
      <c r="F71" s="17" t="s">
        <v>102</v>
      </c>
      <c r="G71" s="19" t="s">
        <v>25</v>
      </c>
      <c r="H71" s="17">
        <v>1708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>
        <f>I8</f>
        <v>31.7478339803437</v>
      </c>
      <c r="L71" s="17">
        <f>I20</f>
        <v>16.006878892505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39.130832349477799</v>
      </c>
      <c r="F72" s="17" t="s">
        <v>103</v>
      </c>
      <c r="G72" s="19" t="s">
        <v>25</v>
      </c>
      <c r="H72" s="17">
        <v>1708</v>
      </c>
      <c r="I72" s="17" t="e">
        <f t="shared" ref="I72:J73" si="90">I71</f>
        <v>#DIV/0!</v>
      </c>
      <c r="J72" s="17" t="e">
        <f t="shared" si="90"/>
        <v>#DIV/0!</v>
      </c>
      <c r="K72" s="17">
        <f>I8</f>
        <v>31.7478339803437</v>
      </c>
      <c r="L72" s="17">
        <f>I20</f>
        <v>16.006878892505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>
        <v>25.9018034527422</v>
      </c>
      <c r="F73" s="17" t="s">
        <v>104</v>
      </c>
      <c r="G73" s="19" t="s">
        <v>25</v>
      </c>
      <c r="H73" s="17">
        <v>1708</v>
      </c>
      <c r="I73" s="17" t="e">
        <f t="shared" si="90"/>
        <v>#DIV/0!</v>
      </c>
      <c r="J73" s="17" t="e">
        <f t="shared" ref="J73" si="91">J71</f>
        <v>#DIV/0!</v>
      </c>
      <c r="K73" s="17">
        <f>I8</f>
        <v>31.7478339803437</v>
      </c>
      <c r="L73" s="17">
        <f>I20</f>
        <v>16.006878892505</v>
      </c>
      <c r="M73" s="17" t="e">
        <f t="shared" si="82"/>
        <v>#DIV/0!</v>
      </c>
      <c r="N73" s="17" t="e">
        <f t="shared" si="83"/>
        <v>#DIV/0!</v>
      </c>
    </row>
    <row r="74" spans="1:14" x14ac:dyDescent="0.2">
      <c r="A74" t="s">
        <v>105</v>
      </c>
      <c r="B74" t="s">
        <v>129</v>
      </c>
      <c r="C74" t="s">
        <v>32</v>
      </c>
      <c r="D74">
        <v>31.6671237230812</v>
      </c>
      <c r="E74">
        <v>31.6671237230812</v>
      </c>
      <c r="F74" t="s">
        <v>105</v>
      </c>
      <c r="G74" s="4" t="s">
        <v>18</v>
      </c>
      <c r="H74">
        <v>1706</v>
      </c>
      <c r="I74">
        <f t="shared" ref="I74" si="92">AVERAGE(D74:D76)</f>
        <v>31.489155130378201</v>
      </c>
      <c r="J74">
        <f>STDEV(D74:D76)</f>
        <v>0.25168559747703528</v>
      </c>
      <c r="K74">
        <f>I2</f>
        <v>34.438304412507847</v>
      </c>
      <c r="L74">
        <f>I14</f>
        <v>16.506393316399933</v>
      </c>
      <c r="M74">
        <f t="shared" si="82"/>
        <v>-2.9491492821296461</v>
      </c>
      <c r="N74">
        <f t="shared" si="83"/>
        <v>14.982761813978268</v>
      </c>
    </row>
    <row r="75" spans="1:14" x14ac:dyDescent="0.2">
      <c r="A75" t="s">
        <v>106</v>
      </c>
      <c r="B75" t="s">
        <v>129</v>
      </c>
      <c r="C75" t="s">
        <v>32</v>
      </c>
      <c r="E75">
        <v>32.074095267878199</v>
      </c>
      <c r="F75" t="s">
        <v>106</v>
      </c>
      <c r="G75" s="4" t="s">
        <v>18</v>
      </c>
      <c r="H75">
        <v>1706</v>
      </c>
      <c r="I75">
        <f t="shared" ref="I75:J75" si="93">I74</f>
        <v>31.489155130378201</v>
      </c>
      <c r="J75">
        <f t="shared" si="93"/>
        <v>0.25168559747703528</v>
      </c>
      <c r="K75">
        <f>I2</f>
        <v>34.438304412507847</v>
      </c>
      <c r="L75">
        <f>I14</f>
        <v>16.506393316399933</v>
      </c>
      <c r="M75">
        <f t="shared" si="82"/>
        <v>-2.9491492821296461</v>
      </c>
      <c r="N75">
        <f t="shared" si="83"/>
        <v>14.982761813978268</v>
      </c>
    </row>
    <row r="76" spans="1:14" x14ac:dyDescent="0.2">
      <c r="A76" t="s">
        <v>107</v>
      </c>
      <c r="B76" t="s">
        <v>129</v>
      </c>
      <c r="C76" t="s">
        <v>32</v>
      </c>
      <c r="D76">
        <v>31.311186537675201</v>
      </c>
      <c r="E76">
        <v>31.311186537675201</v>
      </c>
      <c r="F76" t="s">
        <v>107</v>
      </c>
      <c r="G76" s="4" t="s">
        <v>18</v>
      </c>
      <c r="H76">
        <v>1706</v>
      </c>
      <c r="I76">
        <f t="shared" ref="I76:J76" si="94">I74</f>
        <v>31.489155130378201</v>
      </c>
      <c r="J76">
        <f t="shared" si="94"/>
        <v>0.25168559747703528</v>
      </c>
      <c r="K76">
        <f>I2</f>
        <v>34.438304412507847</v>
      </c>
      <c r="L76">
        <f>I14</f>
        <v>16.506393316399933</v>
      </c>
      <c r="M76">
        <f t="shared" si="82"/>
        <v>-2.9491492821296461</v>
      </c>
      <c r="N76">
        <f t="shared" si="83"/>
        <v>14.982761813978268</v>
      </c>
    </row>
    <row r="77" spans="1:14" x14ac:dyDescent="0.2">
      <c r="A77" t="s">
        <v>108</v>
      </c>
      <c r="B77" t="s">
        <v>129</v>
      </c>
      <c r="C77" t="s">
        <v>32</v>
      </c>
      <c r="D77">
        <v>30.039290333520899</v>
      </c>
      <c r="E77">
        <v>30.039290333520899</v>
      </c>
      <c r="F77" t="s">
        <v>108</v>
      </c>
      <c r="G77" s="16" t="s">
        <v>144</v>
      </c>
      <c r="I77">
        <f t="shared" ref="I77" si="95">AVERAGE(D77:D79)</f>
        <v>30.039290333520899</v>
      </c>
      <c r="J77" t="e">
        <f t="shared" ref="J77" si="96">STDEV(D77:D79)</f>
        <v>#DIV/0!</v>
      </c>
      <c r="K77">
        <f>I2</f>
        <v>34.438304412507847</v>
      </c>
      <c r="L77">
        <f>I14</f>
        <v>16.506393316399933</v>
      </c>
      <c r="M77">
        <f t="shared" si="82"/>
        <v>-4.3990140789869479</v>
      </c>
      <c r="N77">
        <f t="shared" si="83"/>
        <v>13.532897017120966</v>
      </c>
    </row>
    <row r="78" spans="1:14" x14ac:dyDescent="0.2">
      <c r="A78" t="s">
        <v>109</v>
      </c>
      <c r="B78" t="s">
        <v>129</v>
      </c>
      <c r="C78" t="s">
        <v>32</v>
      </c>
      <c r="D78" t="s">
        <v>33</v>
      </c>
      <c r="E78" t="s">
        <v>33</v>
      </c>
      <c r="F78" t="s">
        <v>109</v>
      </c>
      <c r="I78">
        <f t="shared" ref="I78:J79" si="97">I77</f>
        <v>30.039290333520899</v>
      </c>
      <c r="J78" t="e">
        <f t="shared" si="97"/>
        <v>#DIV/0!</v>
      </c>
      <c r="K78">
        <f>I2</f>
        <v>34.438304412507847</v>
      </c>
      <c r="L78">
        <f>I14</f>
        <v>16.506393316399933</v>
      </c>
      <c r="M78">
        <f t="shared" si="82"/>
        <v>-4.3990140789869479</v>
      </c>
      <c r="N78">
        <f t="shared" si="83"/>
        <v>13.532897017120966</v>
      </c>
    </row>
    <row r="79" spans="1:14" x14ac:dyDescent="0.2">
      <c r="A79" t="s">
        <v>110</v>
      </c>
      <c r="B79" t="s">
        <v>129</v>
      </c>
      <c r="C79" t="s">
        <v>32</v>
      </c>
      <c r="D79" t="s">
        <v>33</v>
      </c>
      <c r="E79" t="s">
        <v>33</v>
      </c>
      <c r="F79" t="s">
        <v>110</v>
      </c>
      <c r="I79">
        <f t="shared" si="97"/>
        <v>30.039290333520899</v>
      </c>
      <c r="J79" t="e">
        <f t="shared" ref="J79" si="98">J77</f>
        <v>#DIV/0!</v>
      </c>
      <c r="K79">
        <f>I2</f>
        <v>34.438304412507847</v>
      </c>
      <c r="L79">
        <f>I14</f>
        <v>16.506393316399933</v>
      </c>
      <c r="M79">
        <f t="shared" si="82"/>
        <v>-4.3990140789869479</v>
      </c>
      <c r="N79">
        <f t="shared" si="83"/>
        <v>13.532897017120966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35.306485993619098</v>
      </c>
      <c r="F80" s="17" t="s">
        <v>111</v>
      </c>
      <c r="G80" s="20" t="s">
        <v>18</v>
      </c>
      <c r="H80" s="17">
        <v>1708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31.7478339803437</v>
      </c>
      <c r="L80" s="17">
        <f>I20</f>
        <v>16.006878892505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 t="s">
        <v>33</v>
      </c>
      <c r="F81" s="17" t="s">
        <v>112</v>
      </c>
      <c r="G81" s="20" t="s">
        <v>18</v>
      </c>
      <c r="H81" s="17">
        <v>1708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31.7478339803437</v>
      </c>
      <c r="L81" s="17">
        <f>I20</f>
        <v>16.006878892505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33.572657106934898</v>
      </c>
      <c r="F82" s="17" t="s">
        <v>113</v>
      </c>
      <c r="G82" s="20" t="s">
        <v>18</v>
      </c>
      <c r="H82" s="17">
        <v>1708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31.7478339803437</v>
      </c>
      <c r="L82" s="17">
        <f>I20</f>
        <v>16.006878892505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D83" t="s">
        <v>33</v>
      </c>
      <c r="E83" t="s">
        <v>33</v>
      </c>
      <c r="F83" t="s">
        <v>114</v>
      </c>
      <c r="I83" t="e">
        <f t="shared" ref="I83" si="103">AVERAGE(D83:D85)</f>
        <v>#DIV/0!</v>
      </c>
      <c r="J83" t="e">
        <f t="shared" ref="J83" si="104">STDEV(D83:D85)</f>
        <v>#DIV/0!</v>
      </c>
      <c r="K83">
        <f>I8</f>
        <v>31.7478339803437</v>
      </c>
      <c r="L83">
        <f>I20</f>
        <v>16.006878892505</v>
      </c>
      <c r="M83" t="e">
        <f t="shared" si="82"/>
        <v>#DIV/0!</v>
      </c>
      <c r="N83" t="e">
        <f t="shared" si="83"/>
        <v>#DIV/0!</v>
      </c>
    </row>
    <row r="84" spans="1:14" x14ac:dyDescent="0.2">
      <c r="A84" t="s">
        <v>115</v>
      </c>
      <c r="B84" t="s">
        <v>129</v>
      </c>
      <c r="C84" t="s">
        <v>32</v>
      </c>
      <c r="D84" t="s">
        <v>33</v>
      </c>
      <c r="E84" t="s">
        <v>33</v>
      </c>
      <c r="F84" t="s">
        <v>115</v>
      </c>
      <c r="I84" t="e">
        <f t="shared" ref="I84:J85" si="105">I83</f>
        <v>#DIV/0!</v>
      </c>
      <c r="J84" t="e">
        <f t="shared" si="105"/>
        <v>#DIV/0!</v>
      </c>
      <c r="K84">
        <f>I8</f>
        <v>31.7478339803437</v>
      </c>
      <c r="L84">
        <f>I20</f>
        <v>16.006878892505</v>
      </c>
      <c r="M84" t="e">
        <f t="shared" si="82"/>
        <v>#DIV/0!</v>
      </c>
      <c r="N84" t="e">
        <f t="shared" si="83"/>
        <v>#DIV/0!</v>
      </c>
    </row>
    <row r="85" spans="1:14" x14ac:dyDescent="0.2">
      <c r="A85" t="s">
        <v>116</v>
      </c>
      <c r="B85" t="s">
        <v>129</v>
      </c>
      <c r="C85" t="s">
        <v>32</v>
      </c>
      <c r="D85" t="s">
        <v>33</v>
      </c>
      <c r="E85" t="s">
        <v>33</v>
      </c>
      <c r="F85" t="s">
        <v>116</v>
      </c>
      <c r="I85" t="e">
        <f t="shared" si="105"/>
        <v>#DIV/0!</v>
      </c>
      <c r="J85" t="e">
        <f t="shared" ref="J85" si="106">J83</f>
        <v>#DIV/0!</v>
      </c>
      <c r="K85">
        <f>I8</f>
        <v>31.7478339803437</v>
      </c>
      <c r="L85">
        <f>I20</f>
        <v>16.006878892505</v>
      </c>
      <c r="M85" t="e">
        <f t="shared" si="82"/>
        <v>#DIV/0!</v>
      </c>
      <c r="N85" t="e">
        <f t="shared" si="83"/>
        <v>#DIV/0!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>
        <v>1706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34.438304412507847</v>
      </c>
      <c r="L86" s="17">
        <f>I14</f>
        <v>16.506393316399933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33.006610879363997</v>
      </c>
      <c r="F87" s="17" t="s">
        <v>118</v>
      </c>
      <c r="G87" s="21" t="s">
        <v>19</v>
      </c>
      <c r="H87" s="17">
        <v>1706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34.438304412507847</v>
      </c>
      <c r="L87" s="17">
        <f>I14</f>
        <v>16.506393316399933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32.1217532985521</v>
      </c>
      <c r="F88" s="17" t="s">
        <v>119</v>
      </c>
      <c r="G88" s="21" t="s">
        <v>19</v>
      </c>
      <c r="H88" s="17">
        <v>1706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34.438304412507847</v>
      </c>
      <c r="L88" s="17">
        <f>I14</f>
        <v>16.506393316399933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>
        <v>16.4721478395148</v>
      </c>
      <c r="E89">
        <v>16.4721478395148</v>
      </c>
      <c r="F89" t="s">
        <v>120</v>
      </c>
      <c r="G89" t="s">
        <v>146</v>
      </c>
      <c r="I89">
        <f t="shared" ref="I89" si="111">AVERAGE(D89:D91)</f>
        <v>16.4721478395148</v>
      </c>
      <c r="J89" t="e">
        <f t="shared" ref="J89" si="112">STDEV(D89:D91)</f>
        <v>#DIV/0!</v>
      </c>
      <c r="K89">
        <f>I2</f>
        <v>34.438304412507847</v>
      </c>
      <c r="L89">
        <f>I14</f>
        <v>16.506393316399933</v>
      </c>
      <c r="M89">
        <f t="shared" si="82"/>
        <v>-17.966156572993047</v>
      </c>
      <c r="N89">
        <f t="shared" si="83"/>
        <v>-3.4245476885132575E-2</v>
      </c>
    </row>
    <row r="90" spans="1:14" x14ac:dyDescent="0.2">
      <c r="A90" t="s">
        <v>121</v>
      </c>
      <c r="B90" t="s">
        <v>129</v>
      </c>
      <c r="C90" t="s">
        <v>32</v>
      </c>
      <c r="D90" t="s">
        <v>33</v>
      </c>
      <c r="E90" t="s">
        <v>33</v>
      </c>
      <c r="F90" t="s">
        <v>121</v>
      </c>
      <c r="I90">
        <f t="shared" ref="I90:J91" si="113">I89</f>
        <v>16.4721478395148</v>
      </c>
      <c r="J90" t="e">
        <f t="shared" si="113"/>
        <v>#DIV/0!</v>
      </c>
      <c r="K90">
        <f>I2</f>
        <v>34.438304412507847</v>
      </c>
      <c r="L90">
        <f>I14</f>
        <v>16.506393316399933</v>
      </c>
      <c r="M90">
        <f t="shared" si="82"/>
        <v>-17.966156572993047</v>
      </c>
      <c r="N90">
        <f t="shared" si="83"/>
        <v>-3.4245476885132575E-2</v>
      </c>
    </row>
    <row r="91" spans="1:14" x14ac:dyDescent="0.2">
      <c r="A91" t="s">
        <v>122</v>
      </c>
      <c r="B91" t="s">
        <v>129</v>
      </c>
      <c r="C91" t="s">
        <v>32</v>
      </c>
      <c r="D91" t="s">
        <v>33</v>
      </c>
      <c r="E91" t="s">
        <v>33</v>
      </c>
      <c r="F91" t="s">
        <v>122</v>
      </c>
      <c r="I91">
        <f t="shared" si="113"/>
        <v>16.4721478395148</v>
      </c>
      <c r="J91" t="e">
        <f t="shared" ref="J91" si="114">J89</f>
        <v>#DIV/0!</v>
      </c>
      <c r="K91">
        <f>I2</f>
        <v>34.438304412507847</v>
      </c>
      <c r="L91">
        <f>I14</f>
        <v>16.506393316399933</v>
      </c>
      <c r="M91">
        <f t="shared" si="82"/>
        <v>-17.966156572993047</v>
      </c>
      <c r="N91">
        <f t="shared" si="83"/>
        <v>-3.4245476885132575E-2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 t="s">
        <v>33</v>
      </c>
      <c r="F92" s="17" t="s">
        <v>123</v>
      </c>
      <c r="G92" s="21" t="s">
        <v>19</v>
      </c>
      <c r="H92" s="17">
        <v>1708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31.7478339803437</v>
      </c>
      <c r="L92" s="17">
        <f>I20</f>
        <v>16.006878892505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38.194280682879501</v>
      </c>
      <c r="F93" s="17" t="s">
        <v>124</v>
      </c>
      <c r="G93" s="21" t="s">
        <v>19</v>
      </c>
      <c r="H93" s="17">
        <v>1708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31.7478339803437</v>
      </c>
      <c r="L93" s="17">
        <f>I20</f>
        <v>16.006878892505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39.939309228307103</v>
      </c>
      <c r="F94" s="17" t="s">
        <v>125</v>
      </c>
      <c r="G94" s="21" t="s">
        <v>19</v>
      </c>
      <c r="H94" s="17">
        <v>1708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31.7478339803437</v>
      </c>
      <c r="L94" s="17">
        <f>I20</f>
        <v>16.006878892505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 t="s">
        <v>33</v>
      </c>
      <c r="E95" t="s">
        <v>33</v>
      </c>
      <c r="F95" t="s">
        <v>126</v>
      </c>
      <c r="I95" t="e">
        <f t="shared" ref="I95" si="119">AVERAGE(D95:D97)</f>
        <v>#DIV/0!</v>
      </c>
      <c r="J95" t="e">
        <f t="shared" ref="J95" si="120">STDEV(D95:D97)</f>
        <v>#DIV/0!</v>
      </c>
      <c r="K95">
        <f>I8</f>
        <v>31.7478339803437</v>
      </c>
      <c r="L95">
        <f>I20</f>
        <v>16.006878892505</v>
      </c>
      <c r="M95" t="e">
        <f t="shared" si="82"/>
        <v>#DIV/0!</v>
      </c>
      <c r="N95" t="e">
        <f t="shared" si="83"/>
        <v>#DIV/0!</v>
      </c>
    </row>
    <row r="96" spans="1:14" x14ac:dyDescent="0.2">
      <c r="A96" t="s">
        <v>127</v>
      </c>
      <c r="B96" t="s">
        <v>129</v>
      </c>
      <c r="C96" t="s">
        <v>32</v>
      </c>
      <c r="D96" t="s">
        <v>33</v>
      </c>
      <c r="E96" t="s">
        <v>33</v>
      </c>
      <c r="F96" t="s">
        <v>127</v>
      </c>
      <c r="I96" t="e">
        <f t="shared" ref="I96:J97" si="121">I95</f>
        <v>#DIV/0!</v>
      </c>
      <c r="J96" t="e">
        <f t="shared" si="121"/>
        <v>#DIV/0!</v>
      </c>
      <c r="K96">
        <f>I8</f>
        <v>31.7478339803437</v>
      </c>
      <c r="L96">
        <f>I20</f>
        <v>16.006878892505</v>
      </c>
      <c r="M96" t="e">
        <f t="shared" si="82"/>
        <v>#DIV/0!</v>
      </c>
      <c r="N96" t="e">
        <f t="shared" si="83"/>
        <v>#DIV/0!</v>
      </c>
    </row>
    <row r="97" spans="1:14" x14ac:dyDescent="0.2">
      <c r="A97" t="s">
        <v>128</v>
      </c>
      <c r="B97" t="s">
        <v>129</v>
      </c>
      <c r="C97" t="s">
        <v>32</v>
      </c>
      <c r="D97" t="s">
        <v>33</v>
      </c>
      <c r="E97" t="s">
        <v>33</v>
      </c>
      <c r="F97" t="s">
        <v>128</v>
      </c>
      <c r="I97" t="e">
        <f t="shared" si="121"/>
        <v>#DIV/0!</v>
      </c>
      <c r="J97" t="e">
        <f t="shared" ref="J97" si="122">J95</f>
        <v>#DIV/0!</v>
      </c>
      <c r="K97">
        <f>I8</f>
        <v>31.7478339803437</v>
      </c>
      <c r="L97">
        <f>I20</f>
        <v>16.006878892505</v>
      </c>
      <c r="M97" t="e">
        <f t="shared" si="82"/>
        <v>#DIV/0!</v>
      </c>
      <c r="N97" t="e">
        <f t="shared" si="83"/>
        <v>#DIV/0!</v>
      </c>
    </row>
  </sheetData>
  <conditionalFormatting sqref="J2:J97">
    <cfRule type="cellIs" dxfId="6" priority="1" operator="greaterThan">
      <formula>0.3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2A7F-BF9A-8D46-A6EE-B871FF11B9FB}">
  <dimension ref="A1:N97"/>
  <sheetViews>
    <sheetView topLeftCell="A37" workbookViewId="0">
      <selection activeCell="A80" sqref="A80:XFD88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32.457836941748099</v>
      </c>
      <c r="F2" t="s">
        <v>31</v>
      </c>
      <c r="G2" s="9" t="s">
        <v>9</v>
      </c>
      <c r="H2">
        <v>1710</v>
      </c>
      <c r="I2">
        <f>AVERAGE(D2:D4)</f>
        <v>31.540348269932551</v>
      </c>
      <c r="J2">
        <f>STDEV(D2:D4)</f>
        <v>0.23260011687733992</v>
      </c>
      <c r="K2">
        <f>I2</f>
        <v>31.540348269932551</v>
      </c>
      <c r="L2">
        <f>I14</f>
        <v>17.525685224474163</v>
      </c>
      <c r="M2">
        <f>I2-K2</f>
        <v>0</v>
      </c>
      <c r="N2">
        <f>I2-L2</f>
        <v>14.014663045458388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31.375875149983798</v>
      </c>
      <c r="E3">
        <v>31.375875149983798</v>
      </c>
      <c r="F3" t="s">
        <v>34</v>
      </c>
      <c r="G3" s="9" t="s">
        <v>9</v>
      </c>
      <c r="H3">
        <v>1710</v>
      </c>
      <c r="I3">
        <f>I2</f>
        <v>31.540348269932551</v>
      </c>
      <c r="J3">
        <f>J2</f>
        <v>0.23260011687733992</v>
      </c>
      <c r="K3">
        <f>I2</f>
        <v>31.540348269932551</v>
      </c>
      <c r="L3">
        <f>I14</f>
        <v>17.525685224474163</v>
      </c>
      <c r="M3">
        <f t="shared" ref="M3:M66" si="0">I3-K3</f>
        <v>0</v>
      </c>
      <c r="N3">
        <f t="shared" ref="N3:N66" si="1">I3-L3</f>
        <v>14.014663045458388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31.7048213898813</v>
      </c>
      <c r="E4">
        <v>31.7048213898813</v>
      </c>
      <c r="F4" t="s">
        <v>35</v>
      </c>
      <c r="G4" s="9" t="s">
        <v>9</v>
      </c>
      <c r="H4">
        <v>1710</v>
      </c>
      <c r="I4">
        <f>I2</f>
        <v>31.540348269932551</v>
      </c>
      <c r="J4">
        <f>J2</f>
        <v>0.23260011687733992</v>
      </c>
      <c r="K4">
        <f>I2</f>
        <v>31.540348269932551</v>
      </c>
      <c r="L4">
        <f>I14</f>
        <v>17.525685224474163</v>
      </c>
      <c r="M4">
        <f t="shared" si="0"/>
        <v>0</v>
      </c>
      <c r="N4">
        <f t="shared" si="1"/>
        <v>14.014663045458388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34.064322553923198</v>
      </c>
      <c r="E5">
        <v>34.064322553923198</v>
      </c>
      <c r="F5" t="s">
        <v>36</v>
      </c>
      <c r="G5" s="2" t="s">
        <v>20</v>
      </c>
      <c r="H5">
        <v>1710</v>
      </c>
      <c r="I5">
        <f>AVERAGE(D5:D7)</f>
        <v>34.074473995107795</v>
      </c>
      <c r="J5">
        <f>STDEV(D5:D7)</f>
        <v>1.4356305800894725E-2</v>
      </c>
      <c r="K5">
        <f>I2</f>
        <v>31.540348269932551</v>
      </c>
      <c r="L5">
        <f>I14</f>
        <v>17.525685224474163</v>
      </c>
      <c r="M5">
        <f t="shared" si="0"/>
        <v>2.5341257251752438</v>
      </c>
      <c r="N5">
        <f t="shared" si="1"/>
        <v>16.548788770633632</v>
      </c>
    </row>
    <row r="6" spans="1:14" ht="17" thickBot="1" x14ac:dyDescent="0.25">
      <c r="A6" t="s">
        <v>37</v>
      </c>
      <c r="B6" t="s">
        <v>129</v>
      </c>
      <c r="C6" t="s">
        <v>32</v>
      </c>
      <c r="D6">
        <v>34.084625436292399</v>
      </c>
      <c r="E6">
        <v>34.084625436292399</v>
      </c>
      <c r="F6" t="s">
        <v>37</v>
      </c>
      <c r="G6" s="2" t="s">
        <v>20</v>
      </c>
      <c r="H6">
        <v>1710</v>
      </c>
      <c r="I6">
        <f>I5</f>
        <v>34.074473995107795</v>
      </c>
      <c r="J6">
        <f>J5</f>
        <v>1.4356305800894725E-2</v>
      </c>
      <c r="K6">
        <f>I2</f>
        <v>31.540348269932551</v>
      </c>
      <c r="L6">
        <f>I14</f>
        <v>17.525685224474163</v>
      </c>
      <c r="M6">
        <f t="shared" si="0"/>
        <v>2.5341257251752438</v>
      </c>
      <c r="N6">
        <f t="shared" si="1"/>
        <v>16.548788770633632</v>
      </c>
    </row>
    <row r="7" spans="1:14" ht="17" thickBot="1" x14ac:dyDescent="0.25">
      <c r="A7" t="s">
        <v>38</v>
      </c>
      <c r="B7" t="s">
        <v>129</v>
      </c>
      <c r="C7" t="s">
        <v>32</v>
      </c>
      <c r="E7">
        <v>35.185476792040298</v>
      </c>
      <c r="F7" t="s">
        <v>38</v>
      </c>
      <c r="G7" s="2" t="s">
        <v>20</v>
      </c>
      <c r="H7">
        <v>1710</v>
      </c>
      <c r="I7">
        <f>I6</f>
        <v>34.074473995107795</v>
      </c>
      <c r="J7">
        <f>J5</f>
        <v>1.4356305800894725E-2</v>
      </c>
      <c r="K7">
        <f>I2</f>
        <v>31.540348269932551</v>
      </c>
      <c r="L7">
        <f>I14</f>
        <v>17.525685224474163</v>
      </c>
      <c r="M7">
        <f t="shared" si="0"/>
        <v>2.5341257251752438</v>
      </c>
      <c r="N7">
        <f t="shared" si="1"/>
        <v>16.548788770633632</v>
      </c>
    </row>
    <row r="8" spans="1:14" ht="17" thickBot="1" x14ac:dyDescent="0.25">
      <c r="A8" t="s">
        <v>39</v>
      </c>
      <c r="B8" t="s">
        <v>129</v>
      </c>
      <c r="C8" t="s">
        <v>32</v>
      </c>
      <c r="E8">
        <v>31.7950971163785</v>
      </c>
      <c r="F8" t="s">
        <v>39</v>
      </c>
      <c r="G8" s="9" t="s">
        <v>9</v>
      </c>
      <c r="H8">
        <v>1713</v>
      </c>
      <c r="I8">
        <f t="shared" ref="I8" si="2">AVERAGE(D8:D10)</f>
        <v>32.31021105648275</v>
      </c>
      <c r="J8">
        <f t="shared" ref="J8" si="3">STDEV(D8:D10)</f>
        <v>6.3975493560446572E-2</v>
      </c>
      <c r="K8">
        <f>I8</f>
        <v>32.31021105648275</v>
      </c>
      <c r="L8">
        <f>I20</f>
        <v>13.005492575418899</v>
      </c>
      <c r="M8">
        <f t="shared" si="0"/>
        <v>0</v>
      </c>
      <c r="N8">
        <f t="shared" si="1"/>
        <v>19.304718481063851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32.264973551156402</v>
      </c>
      <c r="E9">
        <v>32.264973551156402</v>
      </c>
      <c r="F9" t="s">
        <v>40</v>
      </c>
      <c r="G9" s="9" t="s">
        <v>9</v>
      </c>
      <c r="H9">
        <v>1713</v>
      </c>
      <c r="I9">
        <f t="shared" ref="I9:J9" si="4">I8</f>
        <v>32.31021105648275</v>
      </c>
      <c r="J9">
        <f t="shared" si="4"/>
        <v>6.3975493560446572E-2</v>
      </c>
      <c r="K9">
        <f>I8</f>
        <v>32.31021105648275</v>
      </c>
      <c r="L9">
        <f>I20</f>
        <v>13.005492575418899</v>
      </c>
      <c r="M9">
        <f t="shared" si="0"/>
        <v>0</v>
      </c>
      <c r="N9">
        <f t="shared" si="1"/>
        <v>19.304718481063851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32.355448561809098</v>
      </c>
      <c r="E10">
        <v>32.355448561809098</v>
      </c>
      <c r="F10" t="s">
        <v>41</v>
      </c>
      <c r="G10" s="9" t="s">
        <v>9</v>
      </c>
      <c r="H10">
        <v>1713</v>
      </c>
      <c r="I10">
        <f t="shared" ref="I10:J10" si="5">I8</f>
        <v>32.31021105648275</v>
      </c>
      <c r="J10">
        <f t="shared" si="5"/>
        <v>6.3975493560446572E-2</v>
      </c>
      <c r="K10">
        <f>I8</f>
        <v>32.31021105648275</v>
      </c>
      <c r="L10">
        <f>I20</f>
        <v>13.005492575418899</v>
      </c>
      <c r="M10">
        <f t="shared" si="0"/>
        <v>0</v>
      </c>
      <c r="N10">
        <f t="shared" si="1"/>
        <v>19.304718481063851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35.206973025655302</v>
      </c>
      <c r="F11" s="17" t="s">
        <v>42</v>
      </c>
      <c r="G11" s="18" t="s">
        <v>20</v>
      </c>
      <c r="H11" s="17">
        <v>1713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32.31021105648275</v>
      </c>
      <c r="L11" s="17">
        <f>I20</f>
        <v>13.005492575418899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1713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32.31021105648275</v>
      </c>
      <c r="L12" s="17">
        <f>I20</f>
        <v>13.005492575418899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38.697861780154497</v>
      </c>
      <c r="F13" s="17" t="s">
        <v>44</v>
      </c>
      <c r="G13" s="18" t="s">
        <v>20</v>
      </c>
      <c r="H13" s="17">
        <v>1713</v>
      </c>
      <c r="I13" s="17" t="e">
        <f t="shared" si="8"/>
        <v>#DIV/0!</v>
      </c>
      <c r="J13" s="17" t="e">
        <f t="shared" ref="J13" si="9">J11</f>
        <v>#DIV/0!</v>
      </c>
      <c r="K13" s="17">
        <f>I8</f>
        <v>32.31021105648275</v>
      </c>
      <c r="L13" s="17">
        <f>I20</f>
        <v>13.005492575418899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17.460904556072801</v>
      </c>
      <c r="E14">
        <v>17.460904556072801</v>
      </c>
      <c r="F14" t="s">
        <v>45</v>
      </c>
      <c r="G14" s="11" t="s">
        <v>8</v>
      </c>
      <c r="H14">
        <v>1710</v>
      </c>
      <c r="I14">
        <f t="shared" ref="I14" si="10">AVERAGE(D14:D16)</f>
        <v>17.525685224474163</v>
      </c>
      <c r="J14">
        <f t="shared" ref="J14" si="11">STDEV(D14:D16)</f>
        <v>0.1158492812561789</v>
      </c>
      <c r="K14">
        <f>I2</f>
        <v>31.540348269932551</v>
      </c>
      <c r="L14">
        <f>I14</f>
        <v>17.525685224474163</v>
      </c>
      <c r="M14">
        <f t="shared" si="0"/>
        <v>-14.014663045458388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17.6594345973378</v>
      </c>
      <c r="E15">
        <v>17.6594345973378</v>
      </c>
      <c r="F15" t="s">
        <v>46</v>
      </c>
      <c r="G15" s="11" t="s">
        <v>8</v>
      </c>
      <c r="H15">
        <v>1710</v>
      </c>
      <c r="I15">
        <f t="shared" ref="I15:J15" si="12">I14</f>
        <v>17.525685224474163</v>
      </c>
      <c r="J15">
        <f t="shared" si="12"/>
        <v>0.1158492812561789</v>
      </c>
      <c r="K15">
        <f>I2</f>
        <v>31.540348269932551</v>
      </c>
      <c r="L15">
        <f>I14</f>
        <v>17.525685224474163</v>
      </c>
      <c r="M15">
        <f t="shared" si="0"/>
        <v>-14.014663045458388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17.456716520011899</v>
      </c>
      <c r="E16">
        <v>17.456716520011899</v>
      </c>
      <c r="F16" t="s">
        <v>47</v>
      </c>
      <c r="G16" s="11" t="s">
        <v>8</v>
      </c>
      <c r="H16">
        <v>1710</v>
      </c>
      <c r="I16">
        <f t="shared" ref="I16:J16" si="13">I14</f>
        <v>17.525685224474163</v>
      </c>
      <c r="J16">
        <f t="shared" si="13"/>
        <v>0.1158492812561789</v>
      </c>
      <c r="K16">
        <f>I2</f>
        <v>31.540348269932551</v>
      </c>
      <c r="L16">
        <f>I14</f>
        <v>17.525685224474163</v>
      </c>
      <c r="M16">
        <f t="shared" si="0"/>
        <v>-14.014663045458388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33.812507328093098</v>
      </c>
      <c r="E17">
        <v>33.812507328093098</v>
      </c>
      <c r="F17" t="s">
        <v>48</v>
      </c>
      <c r="G17" s="1" t="s">
        <v>21</v>
      </c>
      <c r="H17">
        <v>1710</v>
      </c>
      <c r="I17">
        <f t="shared" ref="I17" si="14">AVERAGE(D17:D19)</f>
        <v>33.546211799939101</v>
      </c>
      <c r="J17">
        <f t="shared" ref="J17" si="15">STDEV(D17:D19)</f>
        <v>0.37659874751469319</v>
      </c>
      <c r="K17">
        <f>I2</f>
        <v>31.540348269932551</v>
      </c>
      <c r="L17">
        <f>I14</f>
        <v>17.525685224474163</v>
      </c>
      <c r="M17">
        <f t="shared" si="0"/>
        <v>2.0058635300065504</v>
      </c>
      <c r="N17">
        <f t="shared" si="1"/>
        <v>16.020526575464938</v>
      </c>
    </row>
    <row r="18" spans="1:14" x14ac:dyDescent="0.2">
      <c r="A18" t="s">
        <v>49</v>
      </c>
      <c r="B18" t="s">
        <v>129</v>
      </c>
      <c r="C18" t="s">
        <v>32</v>
      </c>
      <c r="D18">
        <v>33.279916271785098</v>
      </c>
      <c r="E18">
        <v>33.279916271785098</v>
      </c>
      <c r="F18" t="s">
        <v>49</v>
      </c>
      <c r="G18" s="1" t="s">
        <v>21</v>
      </c>
      <c r="H18">
        <v>1710</v>
      </c>
      <c r="I18">
        <f t="shared" ref="I18:J19" si="16">I17</f>
        <v>33.546211799939101</v>
      </c>
      <c r="J18">
        <f t="shared" si="16"/>
        <v>0.37659874751469319</v>
      </c>
      <c r="K18">
        <f>I2</f>
        <v>31.540348269932551</v>
      </c>
      <c r="L18">
        <f>I14</f>
        <v>17.525685224474163</v>
      </c>
      <c r="M18">
        <f t="shared" si="0"/>
        <v>2.0058635300065504</v>
      </c>
      <c r="N18">
        <f t="shared" si="1"/>
        <v>16.020526575464938</v>
      </c>
    </row>
    <row r="19" spans="1:14" x14ac:dyDescent="0.2">
      <c r="A19" t="s">
        <v>50</v>
      </c>
      <c r="B19" t="s">
        <v>129</v>
      </c>
      <c r="C19" t="s">
        <v>32</v>
      </c>
      <c r="E19">
        <v>32.325740383573901</v>
      </c>
      <c r="F19" t="s">
        <v>50</v>
      </c>
      <c r="G19" s="1" t="s">
        <v>21</v>
      </c>
      <c r="H19">
        <v>1710</v>
      </c>
      <c r="I19">
        <f t="shared" si="16"/>
        <v>33.546211799939101</v>
      </c>
      <c r="J19">
        <f t="shared" ref="J19" si="17">J17</f>
        <v>0.37659874751469319</v>
      </c>
      <c r="K19">
        <f>I2</f>
        <v>31.540348269932551</v>
      </c>
      <c r="L19">
        <f>I14</f>
        <v>17.525685224474163</v>
      </c>
      <c r="M19">
        <f t="shared" si="0"/>
        <v>2.0058635300065504</v>
      </c>
      <c r="N19">
        <f t="shared" si="1"/>
        <v>16.020526575464938</v>
      </c>
    </row>
    <row r="20" spans="1:14" x14ac:dyDescent="0.2">
      <c r="A20" t="s">
        <v>51</v>
      </c>
      <c r="B20" t="s">
        <v>129</v>
      </c>
      <c r="C20" t="s">
        <v>32</v>
      </c>
      <c r="D20">
        <v>13.1419955956812</v>
      </c>
      <c r="E20">
        <v>13.1419955956812</v>
      </c>
      <c r="F20" t="s">
        <v>51</v>
      </c>
      <c r="G20" s="11" t="s">
        <v>8</v>
      </c>
      <c r="H20">
        <v>1713</v>
      </c>
      <c r="I20">
        <f t="shared" ref="I20" si="18">AVERAGE(D20:D22)</f>
        <v>13.005492575418899</v>
      </c>
      <c r="J20">
        <f t="shared" ref="J20" si="19">STDEV(D20:D22)</f>
        <v>0.11830133916684901</v>
      </c>
      <c r="K20">
        <f>I8</f>
        <v>32.31021105648275</v>
      </c>
      <c r="L20">
        <f>I20</f>
        <v>13.005492575418899</v>
      </c>
      <c r="M20">
        <f t="shared" si="0"/>
        <v>-19.304718481063851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12.9417578056082</v>
      </c>
      <c r="E21">
        <v>12.9417578056082</v>
      </c>
      <c r="F21" t="s">
        <v>52</v>
      </c>
      <c r="G21" s="11" t="s">
        <v>8</v>
      </c>
      <c r="H21">
        <v>1713</v>
      </c>
      <c r="I21">
        <f t="shared" ref="I21:J21" si="20">I20</f>
        <v>13.005492575418899</v>
      </c>
      <c r="J21">
        <f t="shared" si="20"/>
        <v>0.11830133916684901</v>
      </c>
      <c r="K21">
        <f>I8</f>
        <v>32.31021105648275</v>
      </c>
      <c r="L21">
        <f>I20</f>
        <v>13.005492575418899</v>
      </c>
      <c r="M21">
        <f t="shared" si="0"/>
        <v>-19.304718481063851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12.9327243249673</v>
      </c>
      <c r="E22">
        <v>12.9327243249673</v>
      </c>
      <c r="F22" t="s">
        <v>53</v>
      </c>
      <c r="G22" s="11" t="s">
        <v>8</v>
      </c>
      <c r="H22">
        <v>1713</v>
      </c>
      <c r="I22">
        <f t="shared" ref="I22:J22" si="21">I20</f>
        <v>13.005492575418899</v>
      </c>
      <c r="J22">
        <f t="shared" si="21"/>
        <v>0.11830133916684901</v>
      </c>
      <c r="K22">
        <f>I8</f>
        <v>32.31021105648275</v>
      </c>
      <c r="L22">
        <f>I20</f>
        <v>13.005492575418899</v>
      </c>
      <c r="M22">
        <f t="shared" si="0"/>
        <v>-19.304718481063851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35.662479519751301</v>
      </c>
      <c r="F23" s="17" t="s">
        <v>54</v>
      </c>
      <c r="G23" s="19" t="s">
        <v>21</v>
      </c>
      <c r="H23" s="17">
        <v>1713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32.31021105648275</v>
      </c>
      <c r="L23" s="17">
        <f>I20</f>
        <v>13.005492575418899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36.666597323030999</v>
      </c>
      <c r="F24" s="17" t="s">
        <v>55</v>
      </c>
      <c r="G24" s="19" t="s">
        <v>21</v>
      </c>
      <c r="H24" s="17">
        <v>1713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32.31021105648275</v>
      </c>
      <c r="L24" s="17">
        <f>I20</f>
        <v>13.005492575418899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 t="s">
        <v>33</v>
      </c>
      <c r="F25" s="17" t="s">
        <v>56</v>
      </c>
      <c r="G25" s="19" t="s">
        <v>21</v>
      </c>
      <c r="H25" s="17">
        <v>1713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32.31021105648275</v>
      </c>
      <c r="L25" s="17">
        <f>I20</f>
        <v>13.005492575418899</v>
      </c>
      <c r="M25" s="17" t="e">
        <f t="shared" si="0"/>
        <v>#DIV/0!</v>
      </c>
      <c r="N25" s="17" t="e">
        <f t="shared" si="1"/>
        <v>#DIV/0!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31.695769654265298</v>
      </c>
      <c r="F26" s="17" t="s">
        <v>57</v>
      </c>
      <c r="G26" s="20" t="s">
        <v>14</v>
      </c>
      <c r="H26" s="17">
        <v>1710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31.540348269932551</v>
      </c>
      <c r="L26" s="17">
        <f>I14</f>
        <v>17.525685224474163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33.060031153358601</v>
      </c>
      <c r="F27" s="17" t="s">
        <v>58</v>
      </c>
      <c r="G27" s="20" t="s">
        <v>14</v>
      </c>
      <c r="H27" s="17">
        <v>1710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31.540348269932551</v>
      </c>
      <c r="L27" s="17">
        <f>I14</f>
        <v>17.525685224474163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27.128036081795099</v>
      </c>
      <c r="F28" s="17" t="s">
        <v>59</v>
      </c>
      <c r="G28" s="20" t="s">
        <v>14</v>
      </c>
      <c r="H28" s="17">
        <v>1710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31.540348269932551</v>
      </c>
      <c r="L28" s="17">
        <f>I14</f>
        <v>17.525685224474163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E29">
        <v>31.251410369433199</v>
      </c>
      <c r="F29" t="s">
        <v>60</v>
      </c>
      <c r="G29" s="1" t="s">
        <v>23</v>
      </c>
      <c r="H29">
        <v>1710</v>
      </c>
      <c r="I29">
        <f t="shared" ref="I29" si="30">AVERAGE(D29:D31)</f>
        <v>32.130253829843149</v>
      </c>
      <c r="J29">
        <f t="shared" ref="J29" si="31">STDEV(D29:D31)</f>
        <v>0.24850154513677883</v>
      </c>
      <c r="K29">
        <f>I2</f>
        <v>31.540348269932551</v>
      </c>
      <c r="L29">
        <f>I14</f>
        <v>17.525685224474163</v>
      </c>
      <c r="M29">
        <f t="shared" si="0"/>
        <v>0.58990555991059779</v>
      </c>
      <c r="N29">
        <f t="shared" si="1"/>
        <v>14.604568605368986</v>
      </c>
    </row>
    <row r="30" spans="1:14" x14ac:dyDescent="0.2">
      <c r="A30" t="s">
        <v>61</v>
      </c>
      <c r="B30" t="s">
        <v>129</v>
      </c>
      <c r="C30" t="s">
        <v>32</v>
      </c>
      <c r="D30">
        <v>32.305970957544702</v>
      </c>
      <c r="E30">
        <v>32.305970957544702</v>
      </c>
      <c r="F30" t="s">
        <v>61</v>
      </c>
      <c r="G30" s="1" t="s">
        <v>23</v>
      </c>
      <c r="H30">
        <v>1710</v>
      </c>
      <c r="I30">
        <f t="shared" ref="I30:J31" si="32">I29</f>
        <v>32.130253829843149</v>
      </c>
      <c r="J30">
        <f t="shared" si="32"/>
        <v>0.24850154513677883</v>
      </c>
      <c r="K30">
        <f>I2</f>
        <v>31.540348269932551</v>
      </c>
      <c r="L30">
        <f>I14</f>
        <v>17.525685224474163</v>
      </c>
      <c r="M30">
        <f t="shared" si="0"/>
        <v>0.58990555991059779</v>
      </c>
      <c r="N30">
        <f t="shared" si="1"/>
        <v>14.604568605368986</v>
      </c>
    </row>
    <row r="31" spans="1:14" x14ac:dyDescent="0.2">
      <c r="A31" t="s">
        <v>62</v>
      </c>
      <c r="B31" t="s">
        <v>129</v>
      </c>
      <c r="C31" t="s">
        <v>32</v>
      </c>
      <c r="D31">
        <v>31.954536702141599</v>
      </c>
      <c r="E31">
        <v>31.954536702141599</v>
      </c>
      <c r="F31" t="s">
        <v>62</v>
      </c>
      <c r="G31" s="1" t="s">
        <v>23</v>
      </c>
      <c r="H31">
        <v>1710</v>
      </c>
      <c r="I31">
        <f t="shared" si="32"/>
        <v>32.130253829843149</v>
      </c>
      <c r="J31">
        <f t="shared" ref="J31" si="33">J29</f>
        <v>0.24850154513677883</v>
      </c>
      <c r="K31">
        <f>I2</f>
        <v>31.540348269932551</v>
      </c>
      <c r="L31">
        <f>I14</f>
        <v>17.525685224474163</v>
      </c>
      <c r="M31">
        <f t="shared" si="0"/>
        <v>0.58990555991059779</v>
      </c>
      <c r="N31">
        <f t="shared" si="1"/>
        <v>14.604568605368986</v>
      </c>
    </row>
    <row r="32" spans="1:14" x14ac:dyDescent="0.2">
      <c r="A32" t="s">
        <v>63</v>
      </c>
      <c r="B32" t="s">
        <v>129</v>
      </c>
      <c r="C32" t="s">
        <v>32</v>
      </c>
      <c r="E32">
        <v>31.0571183419666</v>
      </c>
      <c r="F32" t="s">
        <v>63</v>
      </c>
      <c r="G32" s="4" t="s">
        <v>14</v>
      </c>
      <c r="H32">
        <v>1713</v>
      </c>
      <c r="I32">
        <f t="shared" ref="I32" si="34">AVERAGE(D32:D34)</f>
        <v>32.2103132682564</v>
      </c>
      <c r="J32">
        <f t="shared" ref="J32" si="35">STDEV(D32:D34)</f>
        <v>7.5645679013631895E-2</v>
      </c>
      <c r="K32">
        <f>I8</f>
        <v>32.31021105648275</v>
      </c>
      <c r="L32">
        <f>I20</f>
        <v>13.005492575418899</v>
      </c>
      <c r="M32">
        <f t="shared" si="0"/>
        <v>-9.9897788226350315E-2</v>
      </c>
      <c r="N32">
        <f t="shared" si="1"/>
        <v>19.204820692837501</v>
      </c>
    </row>
    <row r="33" spans="1:14" x14ac:dyDescent="0.2">
      <c r="A33" t="s">
        <v>64</v>
      </c>
      <c r="B33" t="s">
        <v>129</v>
      </c>
      <c r="C33" t="s">
        <v>32</v>
      </c>
      <c r="D33">
        <v>32.156823695658403</v>
      </c>
      <c r="E33">
        <v>32.156823695658403</v>
      </c>
      <c r="F33" t="s">
        <v>64</v>
      </c>
      <c r="G33" s="4" t="s">
        <v>14</v>
      </c>
      <c r="H33">
        <v>1713</v>
      </c>
      <c r="I33">
        <f t="shared" ref="I33:J33" si="36">I32</f>
        <v>32.2103132682564</v>
      </c>
      <c r="J33">
        <f t="shared" si="36"/>
        <v>7.5645679013631895E-2</v>
      </c>
      <c r="K33">
        <f>I8</f>
        <v>32.31021105648275</v>
      </c>
      <c r="L33">
        <f>I20</f>
        <v>13.005492575418899</v>
      </c>
      <c r="M33">
        <f t="shared" si="0"/>
        <v>-9.9897788226350315E-2</v>
      </c>
      <c r="N33">
        <f t="shared" si="1"/>
        <v>19.204820692837501</v>
      </c>
    </row>
    <row r="34" spans="1:14" x14ac:dyDescent="0.2">
      <c r="A34" t="s">
        <v>65</v>
      </c>
      <c r="B34" t="s">
        <v>129</v>
      </c>
      <c r="C34" t="s">
        <v>32</v>
      </c>
      <c r="D34">
        <v>32.263802840854403</v>
      </c>
      <c r="E34">
        <v>32.263802840854403</v>
      </c>
      <c r="F34" t="s">
        <v>65</v>
      </c>
      <c r="G34" s="4" t="s">
        <v>14</v>
      </c>
      <c r="H34">
        <v>1713</v>
      </c>
      <c r="I34">
        <f t="shared" ref="I34:J34" si="37">I32</f>
        <v>32.2103132682564</v>
      </c>
      <c r="J34">
        <f t="shared" si="37"/>
        <v>7.5645679013631895E-2</v>
      </c>
      <c r="K34">
        <f>I8</f>
        <v>32.31021105648275</v>
      </c>
      <c r="L34">
        <f>I20</f>
        <v>13.005492575418899</v>
      </c>
      <c r="M34">
        <f t="shared" si="0"/>
        <v>-9.9897788226350315E-2</v>
      </c>
      <c r="N34">
        <f t="shared" si="1"/>
        <v>19.204820692837501</v>
      </c>
    </row>
    <row r="35" spans="1:14" x14ac:dyDescent="0.2">
      <c r="A35" t="s">
        <v>66</v>
      </c>
      <c r="B35" t="s">
        <v>129</v>
      </c>
      <c r="C35" t="s">
        <v>32</v>
      </c>
      <c r="D35">
        <v>32.343823126781103</v>
      </c>
      <c r="E35">
        <v>32.343823126781103</v>
      </c>
      <c r="F35" t="s">
        <v>66</v>
      </c>
      <c r="G35" s="1" t="s">
        <v>23</v>
      </c>
      <c r="H35">
        <v>1713</v>
      </c>
      <c r="I35">
        <f t="shared" ref="I35" si="38">AVERAGE(D35:D37)</f>
        <v>32.578435592429955</v>
      </c>
      <c r="J35">
        <f t="shared" ref="J35" si="39">STDEV(D35:D37)</f>
        <v>0.33179213082239234</v>
      </c>
      <c r="K35">
        <f>I8</f>
        <v>32.31021105648275</v>
      </c>
      <c r="L35">
        <f>I20</f>
        <v>13.005492575418899</v>
      </c>
      <c r="M35">
        <f t="shared" si="0"/>
        <v>0.26822453594720486</v>
      </c>
      <c r="N35">
        <f t="shared" si="1"/>
        <v>19.572943017011056</v>
      </c>
    </row>
    <row r="36" spans="1:14" x14ac:dyDescent="0.2">
      <c r="A36" t="s">
        <v>67</v>
      </c>
      <c r="B36" t="s">
        <v>129</v>
      </c>
      <c r="C36" t="s">
        <v>32</v>
      </c>
      <c r="D36">
        <v>32.813048058078799</v>
      </c>
      <c r="E36">
        <v>32.813048058078799</v>
      </c>
      <c r="F36" t="s">
        <v>67</v>
      </c>
      <c r="G36" s="1" t="s">
        <v>23</v>
      </c>
      <c r="H36">
        <v>1713</v>
      </c>
      <c r="I36">
        <f t="shared" ref="I36:J37" si="40">I35</f>
        <v>32.578435592429955</v>
      </c>
      <c r="J36">
        <f t="shared" si="40"/>
        <v>0.33179213082239234</v>
      </c>
      <c r="K36">
        <f>I8</f>
        <v>32.31021105648275</v>
      </c>
      <c r="L36">
        <f>I20</f>
        <v>13.005492575418899</v>
      </c>
      <c r="M36">
        <f t="shared" si="0"/>
        <v>0.26822453594720486</v>
      </c>
      <c r="N36">
        <f t="shared" si="1"/>
        <v>19.572943017011056</v>
      </c>
    </row>
    <row r="37" spans="1:14" x14ac:dyDescent="0.2">
      <c r="A37" t="s">
        <v>68</v>
      </c>
      <c r="B37" t="s">
        <v>129</v>
      </c>
      <c r="C37" t="s">
        <v>32</v>
      </c>
      <c r="E37">
        <v>39.264550703301197</v>
      </c>
      <c r="F37" t="s">
        <v>68</v>
      </c>
      <c r="G37" s="1" t="s">
        <v>23</v>
      </c>
      <c r="H37">
        <v>1713</v>
      </c>
      <c r="I37">
        <f t="shared" si="40"/>
        <v>32.578435592429955</v>
      </c>
      <c r="J37">
        <f t="shared" ref="J37" si="41">J35</f>
        <v>0.33179213082239234</v>
      </c>
      <c r="K37">
        <f>I8</f>
        <v>32.31021105648275</v>
      </c>
      <c r="L37">
        <f>I20</f>
        <v>13.005492575418899</v>
      </c>
      <c r="M37">
        <f t="shared" si="0"/>
        <v>0.26822453594720486</v>
      </c>
      <c r="N37">
        <f t="shared" si="1"/>
        <v>19.572943017011056</v>
      </c>
    </row>
    <row r="38" spans="1:14" x14ac:dyDescent="0.2">
      <c r="A38" t="s">
        <v>69</v>
      </c>
      <c r="B38" t="s">
        <v>129</v>
      </c>
      <c r="C38" t="s">
        <v>32</v>
      </c>
      <c r="E38">
        <v>33.497284048294901</v>
      </c>
      <c r="F38" t="s">
        <v>69</v>
      </c>
      <c r="G38" s="4" t="s">
        <v>15</v>
      </c>
      <c r="H38">
        <v>1710</v>
      </c>
      <c r="I38">
        <f t="shared" ref="I38" si="42">AVERAGE(D38:D40)</f>
        <v>32.2361495534306</v>
      </c>
      <c r="J38">
        <f t="shared" ref="J38" si="43">STDEV(D38:D40)</f>
        <v>0.21833023520102224</v>
      </c>
      <c r="K38">
        <f>I2</f>
        <v>31.540348269932551</v>
      </c>
      <c r="L38">
        <f>I14</f>
        <v>17.525685224474163</v>
      </c>
      <c r="M38">
        <f t="shared" si="0"/>
        <v>0.69580128349804937</v>
      </c>
      <c r="N38">
        <f t="shared" si="1"/>
        <v>14.710464328956437</v>
      </c>
    </row>
    <row r="39" spans="1:14" x14ac:dyDescent="0.2">
      <c r="A39" t="s">
        <v>70</v>
      </c>
      <c r="B39" t="s">
        <v>129</v>
      </c>
      <c r="C39" t="s">
        <v>32</v>
      </c>
      <c r="D39">
        <v>32.081766763581903</v>
      </c>
      <c r="E39">
        <v>32.081766763581903</v>
      </c>
      <c r="F39" t="s">
        <v>70</v>
      </c>
      <c r="G39" s="4" t="s">
        <v>15</v>
      </c>
      <c r="H39">
        <v>1710</v>
      </c>
      <c r="I39">
        <f t="shared" ref="I39:J39" si="44">I38</f>
        <v>32.2361495534306</v>
      </c>
      <c r="J39">
        <f t="shared" si="44"/>
        <v>0.21833023520102224</v>
      </c>
      <c r="K39">
        <f>I2</f>
        <v>31.540348269932551</v>
      </c>
      <c r="L39">
        <f>I14</f>
        <v>17.525685224474163</v>
      </c>
      <c r="M39">
        <f t="shared" si="0"/>
        <v>0.69580128349804937</v>
      </c>
      <c r="N39">
        <f t="shared" si="1"/>
        <v>14.710464328956437</v>
      </c>
    </row>
    <row r="40" spans="1:14" x14ac:dyDescent="0.2">
      <c r="A40" t="s">
        <v>71</v>
      </c>
      <c r="B40" t="s">
        <v>129</v>
      </c>
      <c r="C40" t="s">
        <v>32</v>
      </c>
      <c r="D40">
        <v>32.390532343279297</v>
      </c>
      <c r="E40">
        <v>32.390532343279297</v>
      </c>
      <c r="F40" t="s">
        <v>71</v>
      </c>
      <c r="G40" s="4" t="s">
        <v>15</v>
      </c>
      <c r="H40">
        <v>1710</v>
      </c>
      <c r="I40">
        <f t="shared" ref="I40:J40" si="45">I38</f>
        <v>32.2361495534306</v>
      </c>
      <c r="J40">
        <f t="shared" si="45"/>
        <v>0.21833023520102224</v>
      </c>
      <c r="K40">
        <f>I2</f>
        <v>31.540348269932551</v>
      </c>
      <c r="L40">
        <f>I14</f>
        <v>17.525685224474163</v>
      </c>
      <c r="M40">
        <f t="shared" si="0"/>
        <v>0.69580128349804937</v>
      </c>
      <c r="N40">
        <f t="shared" si="1"/>
        <v>14.710464328956437</v>
      </c>
    </row>
    <row r="41" spans="1:14" x14ac:dyDescent="0.2">
      <c r="A41" t="s">
        <v>72</v>
      </c>
      <c r="B41" t="s">
        <v>129</v>
      </c>
      <c r="C41" t="s">
        <v>32</v>
      </c>
      <c r="D41">
        <v>33.715646794364901</v>
      </c>
      <c r="E41">
        <v>33.715646794364901</v>
      </c>
      <c r="F41" t="s">
        <v>72</v>
      </c>
      <c r="G41" s="1" t="s">
        <v>22</v>
      </c>
      <c r="H41">
        <v>1710</v>
      </c>
      <c r="I41">
        <f t="shared" ref="I41" si="46">AVERAGE(D41:D43)</f>
        <v>33.448549760880297</v>
      </c>
      <c r="J41">
        <f t="shared" ref="J41" si="47">STDEV(D41:D43)</f>
        <v>0.3777322472235416</v>
      </c>
      <c r="K41">
        <f>I2</f>
        <v>31.540348269932551</v>
      </c>
      <c r="L41">
        <f>I14</f>
        <v>17.525685224474163</v>
      </c>
      <c r="M41">
        <f t="shared" si="0"/>
        <v>1.9082014909477465</v>
      </c>
      <c r="N41">
        <f t="shared" si="1"/>
        <v>15.922864536406134</v>
      </c>
    </row>
    <row r="42" spans="1:14" x14ac:dyDescent="0.2">
      <c r="A42" t="s">
        <v>73</v>
      </c>
      <c r="B42" t="s">
        <v>129</v>
      </c>
      <c r="C42" t="s">
        <v>32</v>
      </c>
      <c r="D42" t="s">
        <v>33</v>
      </c>
      <c r="E42" t="s">
        <v>33</v>
      </c>
      <c r="F42" t="s">
        <v>73</v>
      </c>
      <c r="G42" s="1" t="s">
        <v>22</v>
      </c>
      <c r="H42">
        <v>1710</v>
      </c>
      <c r="I42">
        <f t="shared" ref="I42:J43" si="48">I41</f>
        <v>33.448549760880297</v>
      </c>
      <c r="J42">
        <f t="shared" si="48"/>
        <v>0.3777322472235416</v>
      </c>
      <c r="K42">
        <f>I2</f>
        <v>31.540348269932551</v>
      </c>
      <c r="L42">
        <f>I14</f>
        <v>17.525685224474163</v>
      </c>
      <c r="M42">
        <f t="shared" si="0"/>
        <v>1.9082014909477465</v>
      </c>
      <c r="N42">
        <f t="shared" si="1"/>
        <v>15.922864536406134</v>
      </c>
    </row>
    <row r="43" spans="1:14" x14ac:dyDescent="0.2">
      <c r="A43" t="s">
        <v>74</v>
      </c>
      <c r="B43" t="s">
        <v>129</v>
      </c>
      <c r="C43" t="s">
        <v>32</v>
      </c>
      <c r="D43">
        <v>33.181452727395701</v>
      </c>
      <c r="E43">
        <v>33.181452727395701</v>
      </c>
      <c r="F43" t="s">
        <v>74</v>
      </c>
      <c r="G43" s="1" t="s">
        <v>22</v>
      </c>
      <c r="H43">
        <v>1710</v>
      </c>
      <c r="I43">
        <f t="shared" si="48"/>
        <v>33.448549760880297</v>
      </c>
      <c r="J43">
        <f t="shared" ref="J43" si="49">J41</f>
        <v>0.3777322472235416</v>
      </c>
      <c r="K43">
        <f>I2</f>
        <v>31.540348269932551</v>
      </c>
      <c r="L43">
        <f>I14</f>
        <v>17.525685224474163</v>
      </c>
      <c r="M43">
        <f t="shared" si="0"/>
        <v>1.9082014909477465</v>
      </c>
      <c r="N43">
        <f t="shared" si="1"/>
        <v>15.922864536406134</v>
      </c>
    </row>
    <row r="44" spans="1:14" x14ac:dyDescent="0.2">
      <c r="A44" t="s">
        <v>75</v>
      </c>
      <c r="B44" t="s">
        <v>129</v>
      </c>
      <c r="C44" t="s">
        <v>32</v>
      </c>
      <c r="D44">
        <v>37.490344064681999</v>
      </c>
      <c r="E44">
        <v>37.490344064681999</v>
      </c>
      <c r="F44" t="s">
        <v>75</v>
      </c>
      <c r="G44" s="4" t="s">
        <v>15</v>
      </c>
      <c r="H44">
        <v>1713</v>
      </c>
      <c r="I44">
        <f t="shared" ref="I44" si="50">AVERAGE(D44:D46)</f>
        <v>37.841433603420548</v>
      </c>
      <c r="J44">
        <f t="shared" ref="J44" si="51">STDEV(D44:D46)</f>
        <v>0.49651558729136996</v>
      </c>
      <c r="K44">
        <f>I8</f>
        <v>32.31021105648275</v>
      </c>
      <c r="L44">
        <f>I20</f>
        <v>13.005492575418899</v>
      </c>
      <c r="M44">
        <f t="shared" si="0"/>
        <v>5.5312225469377978</v>
      </c>
      <c r="N44">
        <f t="shared" si="1"/>
        <v>24.835941028001649</v>
      </c>
    </row>
    <row r="45" spans="1:14" x14ac:dyDescent="0.2">
      <c r="A45" t="s">
        <v>76</v>
      </c>
      <c r="B45" t="s">
        <v>129</v>
      </c>
      <c r="C45" t="s">
        <v>32</v>
      </c>
      <c r="E45">
        <v>33.651139268634601</v>
      </c>
      <c r="F45" t="s">
        <v>76</v>
      </c>
      <c r="G45" s="4" t="s">
        <v>15</v>
      </c>
      <c r="H45">
        <v>1713</v>
      </c>
      <c r="I45">
        <f t="shared" ref="I45:J45" si="52">I44</f>
        <v>37.841433603420548</v>
      </c>
      <c r="J45">
        <f t="shared" si="52"/>
        <v>0.49651558729136996</v>
      </c>
      <c r="K45">
        <f>I8</f>
        <v>32.31021105648275</v>
      </c>
      <c r="L45">
        <f>I20</f>
        <v>13.005492575418899</v>
      </c>
      <c r="M45">
        <f t="shared" si="0"/>
        <v>5.5312225469377978</v>
      </c>
      <c r="N45">
        <f t="shared" si="1"/>
        <v>24.835941028001649</v>
      </c>
    </row>
    <row r="46" spans="1:14" x14ac:dyDescent="0.2">
      <c r="A46" t="s">
        <v>77</v>
      </c>
      <c r="B46" t="s">
        <v>129</v>
      </c>
      <c r="C46" t="s">
        <v>32</v>
      </c>
      <c r="D46">
        <v>38.192523142159096</v>
      </c>
      <c r="E46">
        <v>38.192523142159096</v>
      </c>
      <c r="F46" t="s">
        <v>77</v>
      </c>
      <c r="G46" s="4" t="s">
        <v>15</v>
      </c>
      <c r="H46">
        <v>1713</v>
      </c>
      <c r="I46">
        <f t="shared" ref="I46:J46" si="53">I44</f>
        <v>37.841433603420548</v>
      </c>
      <c r="J46">
        <f t="shared" si="53"/>
        <v>0.49651558729136996</v>
      </c>
      <c r="K46">
        <f>I8</f>
        <v>32.31021105648275</v>
      </c>
      <c r="L46">
        <f>I20</f>
        <v>13.005492575418899</v>
      </c>
      <c r="M46">
        <f t="shared" si="0"/>
        <v>5.5312225469377978</v>
      </c>
      <c r="N46">
        <f t="shared" si="1"/>
        <v>24.835941028001649</v>
      </c>
    </row>
    <row r="47" spans="1:14" x14ac:dyDescent="0.2">
      <c r="A47" t="s">
        <v>78</v>
      </c>
      <c r="B47" t="s">
        <v>129</v>
      </c>
      <c r="C47" t="s">
        <v>32</v>
      </c>
      <c r="D47">
        <v>35.975766173715499</v>
      </c>
      <c r="E47">
        <v>35.975766173715499</v>
      </c>
      <c r="F47" t="s">
        <v>78</v>
      </c>
      <c r="G47" s="1" t="s">
        <v>22</v>
      </c>
      <c r="H47">
        <v>1713</v>
      </c>
      <c r="I47">
        <f t="shared" ref="I47" si="54">AVERAGE(D47:D49)</f>
        <v>35.975766173715499</v>
      </c>
      <c r="J47" t="e">
        <f t="shared" ref="J47" si="55">STDEV(D47:D49)</f>
        <v>#DIV/0!</v>
      </c>
      <c r="K47">
        <f>I8</f>
        <v>32.31021105648275</v>
      </c>
      <c r="L47">
        <f>I20</f>
        <v>13.005492575418899</v>
      </c>
      <c r="M47">
        <f t="shared" si="0"/>
        <v>3.6655551172327492</v>
      </c>
      <c r="N47">
        <f t="shared" si="1"/>
        <v>22.9702735982966</v>
      </c>
    </row>
    <row r="48" spans="1:14" x14ac:dyDescent="0.2">
      <c r="A48" t="s">
        <v>79</v>
      </c>
      <c r="B48" t="s">
        <v>129</v>
      </c>
      <c r="C48" t="s">
        <v>32</v>
      </c>
      <c r="D48" t="s">
        <v>33</v>
      </c>
      <c r="E48" t="s">
        <v>33</v>
      </c>
      <c r="F48" t="s">
        <v>79</v>
      </c>
      <c r="G48" s="1" t="s">
        <v>22</v>
      </c>
      <c r="H48">
        <v>1713</v>
      </c>
      <c r="I48">
        <f t="shared" ref="I48:J49" si="56">I47</f>
        <v>35.975766173715499</v>
      </c>
      <c r="J48" t="e">
        <f t="shared" si="56"/>
        <v>#DIV/0!</v>
      </c>
      <c r="K48">
        <f>I8</f>
        <v>32.31021105648275</v>
      </c>
      <c r="L48">
        <f>I20</f>
        <v>13.005492575418899</v>
      </c>
      <c r="M48">
        <f t="shared" si="0"/>
        <v>3.6655551172327492</v>
      </c>
      <c r="N48">
        <f t="shared" si="1"/>
        <v>22.9702735982966</v>
      </c>
    </row>
    <row r="49" spans="1:14" x14ac:dyDescent="0.2">
      <c r="A49" t="s">
        <v>80</v>
      </c>
      <c r="B49" t="s">
        <v>129</v>
      </c>
      <c r="C49" t="s">
        <v>32</v>
      </c>
      <c r="D49" t="s">
        <v>33</v>
      </c>
      <c r="E49" t="s">
        <v>33</v>
      </c>
      <c r="F49" t="s">
        <v>80</v>
      </c>
      <c r="G49" s="1" t="s">
        <v>22</v>
      </c>
      <c r="H49">
        <v>1713</v>
      </c>
      <c r="I49">
        <f t="shared" si="56"/>
        <v>35.975766173715499</v>
      </c>
      <c r="J49" t="e">
        <f t="shared" ref="J49" si="57">J47</f>
        <v>#DIV/0!</v>
      </c>
      <c r="K49">
        <f>I8</f>
        <v>32.31021105648275</v>
      </c>
      <c r="L49">
        <f>I20</f>
        <v>13.005492575418899</v>
      </c>
      <c r="M49">
        <f t="shared" si="0"/>
        <v>3.6655551172327492</v>
      </c>
      <c r="N49">
        <f t="shared" si="1"/>
        <v>22.9702735982966</v>
      </c>
    </row>
    <row r="50" spans="1:14" x14ac:dyDescent="0.2">
      <c r="A50" t="s">
        <v>81</v>
      </c>
      <c r="B50" t="s">
        <v>129</v>
      </c>
      <c r="C50" t="s">
        <v>32</v>
      </c>
      <c r="D50">
        <v>32.338360344639803</v>
      </c>
      <c r="E50">
        <v>32.338360344639803</v>
      </c>
      <c r="F50" t="s">
        <v>81</v>
      </c>
      <c r="G50" s="4" t="s">
        <v>16</v>
      </c>
      <c r="H50">
        <v>1710</v>
      </c>
      <c r="I50">
        <f t="shared" ref="I50" si="58">AVERAGE(D50:D52)</f>
        <v>32.282908718927651</v>
      </c>
      <c r="J50">
        <f t="shared" ref="J50" si="59">STDEV(D50:D52)</f>
        <v>7.8420441137762004E-2</v>
      </c>
      <c r="K50">
        <f>I2</f>
        <v>31.540348269932551</v>
      </c>
      <c r="L50">
        <f>I14</f>
        <v>17.525685224474163</v>
      </c>
      <c r="M50">
        <f t="shared" si="0"/>
        <v>0.74256044899509988</v>
      </c>
      <c r="N50">
        <f t="shared" si="1"/>
        <v>14.757223494453488</v>
      </c>
    </row>
    <row r="51" spans="1:14" x14ac:dyDescent="0.2">
      <c r="A51" t="s">
        <v>82</v>
      </c>
      <c r="B51" t="s">
        <v>129</v>
      </c>
      <c r="C51" t="s">
        <v>32</v>
      </c>
      <c r="E51">
        <v>31.158558098720501</v>
      </c>
      <c r="F51" t="s">
        <v>82</v>
      </c>
      <c r="G51" s="4" t="s">
        <v>16</v>
      </c>
      <c r="H51">
        <v>1710</v>
      </c>
      <c r="I51">
        <f t="shared" ref="I51:J51" si="60">I50</f>
        <v>32.282908718927651</v>
      </c>
      <c r="J51">
        <f t="shared" si="60"/>
        <v>7.8420441137762004E-2</v>
      </c>
      <c r="K51">
        <f>I2</f>
        <v>31.540348269932551</v>
      </c>
      <c r="L51">
        <f>I14</f>
        <v>17.525685224474163</v>
      </c>
      <c r="M51">
        <f t="shared" si="0"/>
        <v>0.74256044899509988</v>
      </c>
      <c r="N51">
        <f t="shared" si="1"/>
        <v>14.757223494453488</v>
      </c>
    </row>
    <row r="52" spans="1:14" x14ac:dyDescent="0.2">
      <c r="A52" t="s">
        <v>83</v>
      </c>
      <c r="B52" t="s">
        <v>129</v>
      </c>
      <c r="C52" t="s">
        <v>32</v>
      </c>
      <c r="D52">
        <v>32.227457093215499</v>
      </c>
      <c r="E52">
        <v>32.227457093215499</v>
      </c>
      <c r="F52" t="s">
        <v>83</v>
      </c>
      <c r="G52" s="4" t="s">
        <v>16</v>
      </c>
      <c r="H52">
        <v>1710</v>
      </c>
      <c r="I52">
        <f t="shared" ref="I52:J52" si="61">I50</f>
        <v>32.282908718927651</v>
      </c>
      <c r="J52">
        <f t="shared" si="61"/>
        <v>7.8420441137762004E-2</v>
      </c>
      <c r="K52">
        <f>I2</f>
        <v>31.540348269932551</v>
      </c>
      <c r="L52">
        <f>I14</f>
        <v>17.525685224474163</v>
      </c>
      <c r="M52">
        <f t="shared" si="0"/>
        <v>0.74256044899509988</v>
      </c>
      <c r="N52">
        <f t="shared" si="1"/>
        <v>14.757223494453488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34.881993267999803</v>
      </c>
      <c r="F53" s="17" t="s">
        <v>84</v>
      </c>
      <c r="G53" s="19" t="s">
        <v>24</v>
      </c>
      <c r="H53" s="17">
        <v>1710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31.540348269932551</v>
      </c>
      <c r="L53" s="17">
        <f>I14</f>
        <v>17.525685224474163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>
        <v>38.489371669364701</v>
      </c>
      <c r="F54" s="17" t="s">
        <v>85</v>
      </c>
      <c r="G54" s="19" t="s">
        <v>24</v>
      </c>
      <c r="H54" s="17">
        <v>1710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31.540348269932551</v>
      </c>
      <c r="L54" s="17">
        <f>I14</f>
        <v>17.525685224474163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32.813123772224202</v>
      </c>
      <c r="F55" s="17" t="s">
        <v>86</v>
      </c>
      <c r="G55" s="19" t="s">
        <v>24</v>
      </c>
      <c r="H55" s="17">
        <v>1710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31.540348269932551</v>
      </c>
      <c r="L55" s="17">
        <f>I14</f>
        <v>17.525685224474163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32.466055646511897</v>
      </c>
      <c r="E56">
        <v>32.466055646511897</v>
      </c>
      <c r="F56" t="s">
        <v>87</v>
      </c>
      <c r="G56" s="4" t="s">
        <v>16</v>
      </c>
      <c r="H56">
        <v>1713</v>
      </c>
      <c r="I56">
        <f t="shared" ref="I56" si="66">AVERAGE(D56:D58)</f>
        <v>32.145696532357796</v>
      </c>
      <c r="J56">
        <f t="shared" ref="J56" si="67">STDEV(D56:D58)</f>
        <v>0.43509296915073314</v>
      </c>
      <c r="K56">
        <f>I8</f>
        <v>32.31021105648275</v>
      </c>
      <c r="L56">
        <f>I20</f>
        <v>13.005492575418899</v>
      </c>
      <c r="M56">
        <f t="shared" si="0"/>
        <v>-0.16451452412495371</v>
      </c>
      <c r="N56">
        <f t="shared" si="1"/>
        <v>19.140203956938898</v>
      </c>
    </row>
    <row r="57" spans="1:14" x14ac:dyDescent="0.2">
      <c r="A57" t="s">
        <v>88</v>
      </c>
      <c r="B57" t="s">
        <v>129</v>
      </c>
      <c r="C57" t="s">
        <v>32</v>
      </c>
      <c r="D57">
        <v>32.320678757541501</v>
      </c>
      <c r="E57">
        <v>32.320678757541501</v>
      </c>
      <c r="F57" t="s">
        <v>88</v>
      </c>
      <c r="G57" s="4" t="s">
        <v>16</v>
      </c>
      <c r="H57">
        <v>1713</v>
      </c>
      <c r="I57">
        <f t="shared" ref="I57:J57" si="68">I56</f>
        <v>32.145696532357796</v>
      </c>
      <c r="J57">
        <f t="shared" si="68"/>
        <v>0.43509296915073314</v>
      </c>
      <c r="K57">
        <f>I8</f>
        <v>32.31021105648275</v>
      </c>
      <c r="L57">
        <f>I20</f>
        <v>13.005492575418899</v>
      </c>
      <c r="M57">
        <f t="shared" si="0"/>
        <v>-0.16451452412495371</v>
      </c>
      <c r="N57">
        <f t="shared" si="1"/>
        <v>19.140203956938898</v>
      </c>
    </row>
    <row r="58" spans="1:14" x14ac:dyDescent="0.2">
      <c r="A58" t="s">
        <v>89</v>
      </c>
      <c r="B58" t="s">
        <v>129</v>
      </c>
      <c r="C58" t="s">
        <v>32</v>
      </c>
      <c r="D58">
        <v>31.650355193020001</v>
      </c>
      <c r="E58">
        <v>31.650355193020001</v>
      </c>
      <c r="F58" t="s">
        <v>89</v>
      </c>
      <c r="G58" s="4" t="s">
        <v>16</v>
      </c>
      <c r="H58">
        <v>1713</v>
      </c>
      <c r="I58">
        <f t="shared" ref="I58:J58" si="69">I56</f>
        <v>32.145696532357796</v>
      </c>
      <c r="J58">
        <f t="shared" si="69"/>
        <v>0.43509296915073314</v>
      </c>
      <c r="K58">
        <f>I8</f>
        <v>32.31021105648275</v>
      </c>
      <c r="L58">
        <f>I20</f>
        <v>13.005492575418899</v>
      </c>
      <c r="M58">
        <f t="shared" si="0"/>
        <v>-0.16451452412495371</v>
      </c>
      <c r="N58">
        <f t="shared" si="1"/>
        <v>19.140203956938898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35.823730564442002</v>
      </c>
      <c r="F59" s="17" t="s">
        <v>90</v>
      </c>
      <c r="G59" s="19" t="s">
        <v>24</v>
      </c>
      <c r="H59" s="17">
        <v>1713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32.31021105648275</v>
      </c>
      <c r="L59" s="17">
        <f>I20</f>
        <v>13.005492575418899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33.908609739695102</v>
      </c>
      <c r="F60" s="17" t="s">
        <v>91</v>
      </c>
      <c r="G60" s="19" t="s">
        <v>24</v>
      </c>
      <c r="H60" s="17">
        <v>1713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32.31021105648275</v>
      </c>
      <c r="L60" s="17">
        <f>I20</f>
        <v>13.005492575418899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9" t="s">
        <v>24</v>
      </c>
      <c r="H61" s="17">
        <v>1713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32.31021105648275</v>
      </c>
      <c r="L61" s="17">
        <f>I20</f>
        <v>13.005492575418899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31.165260631049499</v>
      </c>
      <c r="E62">
        <v>31.165260631049499</v>
      </c>
      <c r="F62" t="s">
        <v>93</v>
      </c>
      <c r="G62" s="4" t="s">
        <v>17</v>
      </c>
      <c r="H62">
        <v>1710</v>
      </c>
      <c r="I62">
        <f t="shared" ref="I62" si="74">AVERAGE(D62:D64)</f>
        <v>31.039259774032899</v>
      </c>
      <c r="J62">
        <f t="shared" ref="J62" si="75">STDEV(D62:D64)</f>
        <v>0.17819212086350797</v>
      </c>
      <c r="K62">
        <f>I2</f>
        <v>31.540348269932551</v>
      </c>
      <c r="L62">
        <f>I14</f>
        <v>17.525685224474163</v>
      </c>
      <c r="M62">
        <f t="shared" si="0"/>
        <v>-0.50108849589965132</v>
      </c>
      <c r="N62">
        <f t="shared" si="1"/>
        <v>13.513574549558736</v>
      </c>
    </row>
    <row r="63" spans="1:14" x14ac:dyDescent="0.2">
      <c r="A63" t="s">
        <v>94</v>
      </c>
      <c r="B63" t="s">
        <v>129</v>
      </c>
      <c r="C63" t="s">
        <v>32</v>
      </c>
      <c r="E63">
        <v>30.2489561613367</v>
      </c>
      <c r="F63" t="s">
        <v>94</v>
      </c>
      <c r="G63" s="4" t="s">
        <v>17</v>
      </c>
      <c r="H63">
        <v>1710</v>
      </c>
      <c r="I63">
        <f t="shared" ref="I63:J63" si="76">I62</f>
        <v>31.039259774032899</v>
      </c>
      <c r="J63">
        <f t="shared" si="76"/>
        <v>0.17819212086350797</v>
      </c>
      <c r="K63">
        <f>I2</f>
        <v>31.540348269932551</v>
      </c>
      <c r="L63">
        <f>I14</f>
        <v>17.525685224474163</v>
      </c>
      <c r="M63">
        <f t="shared" si="0"/>
        <v>-0.50108849589965132</v>
      </c>
      <c r="N63">
        <f t="shared" si="1"/>
        <v>13.513574549558736</v>
      </c>
    </row>
    <row r="64" spans="1:14" x14ac:dyDescent="0.2">
      <c r="A64" t="s">
        <v>95</v>
      </c>
      <c r="B64" t="s">
        <v>129</v>
      </c>
      <c r="C64" t="s">
        <v>32</v>
      </c>
      <c r="D64">
        <v>30.9132589170163</v>
      </c>
      <c r="E64">
        <v>30.9132589170163</v>
      </c>
      <c r="F64" t="s">
        <v>95</v>
      </c>
      <c r="G64" s="4" t="s">
        <v>17</v>
      </c>
      <c r="H64">
        <v>1710</v>
      </c>
      <c r="I64">
        <f t="shared" ref="I64:J64" si="77">I62</f>
        <v>31.039259774032899</v>
      </c>
      <c r="J64">
        <f t="shared" si="77"/>
        <v>0.17819212086350797</v>
      </c>
      <c r="K64">
        <f>I2</f>
        <v>31.540348269932551</v>
      </c>
      <c r="L64">
        <f>I14</f>
        <v>17.525685224474163</v>
      </c>
      <c r="M64">
        <f t="shared" si="0"/>
        <v>-0.50108849589965132</v>
      </c>
      <c r="N64">
        <f t="shared" si="1"/>
        <v>13.513574549558736</v>
      </c>
    </row>
    <row r="65" spans="1:14" x14ac:dyDescent="0.2">
      <c r="A65" t="s">
        <v>96</v>
      </c>
      <c r="B65" t="s">
        <v>129</v>
      </c>
      <c r="C65" t="s">
        <v>32</v>
      </c>
      <c r="D65">
        <v>31.651589627114198</v>
      </c>
      <c r="E65">
        <v>31.651589627114198</v>
      </c>
      <c r="F65" t="s">
        <v>96</v>
      </c>
      <c r="G65" s="1" t="s">
        <v>25</v>
      </c>
      <c r="H65">
        <v>1710</v>
      </c>
      <c r="I65">
        <f t="shared" ref="I65" si="78">AVERAGE(D65:D67)</f>
        <v>31.562627307486963</v>
      </c>
      <c r="J65">
        <f t="shared" ref="J65" si="79">STDEV(D65:D67)</f>
        <v>0.14568568225600217</v>
      </c>
      <c r="K65">
        <f>I2</f>
        <v>31.540348269932551</v>
      </c>
      <c r="L65">
        <f>I14</f>
        <v>17.525685224474163</v>
      </c>
      <c r="M65">
        <f t="shared" si="0"/>
        <v>2.2279037554412184E-2</v>
      </c>
      <c r="N65">
        <f t="shared" si="1"/>
        <v>14.0369420830128</v>
      </c>
    </row>
    <row r="66" spans="1:14" x14ac:dyDescent="0.2">
      <c r="A66" t="s">
        <v>97</v>
      </c>
      <c r="B66" t="s">
        <v>129</v>
      </c>
      <c r="C66" t="s">
        <v>32</v>
      </c>
      <c r="D66">
        <v>31.641793215084199</v>
      </c>
      <c r="E66">
        <v>31.641793215084199</v>
      </c>
      <c r="F66" t="s">
        <v>97</v>
      </c>
      <c r="G66" s="1" t="s">
        <v>25</v>
      </c>
      <c r="H66">
        <v>1710</v>
      </c>
      <c r="I66">
        <f t="shared" ref="I66:J67" si="80">I65</f>
        <v>31.562627307486963</v>
      </c>
      <c r="J66">
        <f t="shared" si="80"/>
        <v>0.14568568225600217</v>
      </c>
      <c r="K66">
        <f>I2</f>
        <v>31.540348269932551</v>
      </c>
      <c r="L66">
        <f>I14</f>
        <v>17.525685224474163</v>
      </c>
      <c r="M66">
        <f t="shared" si="0"/>
        <v>2.2279037554412184E-2</v>
      </c>
      <c r="N66">
        <f t="shared" si="1"/>
        <v>14.0369420830128</v>
      </c>
    </row>
    <row r="67" spans="1:14" x14ac:dyDescent="0.2">
      <c r="A67" t="s">
        <v>98</v>
      </c>
      <c r="B67" t="s">
        <v>129</v>
      </c>
      <c r="C67" t="s">
        <v>32</v>
      </c>
      <c r="D67">
        <v>31.394499080262499</v>
      </c>
      <c r="E67">
        <v>31.394499080262499</v>
      </c>
      <c r="F67" t="s">
        <v>98</v>
      </c>
      <c r="G67" s="1" t="s">
        <v>25</v>
      </c>
      <c r="H67">
        <v>1710</v>
      </c>
      <c r="I67">
        <f t="shared" si="80"/>
        <v>31.562627307486963</v>
      </c>
      <c r="J67">
        <f t="shared" ref="J67" si="81">J65</f>
        <v>0.14568568225600217</v>
      </c>
      <c r="K67">
        <f>I2</f>
        <v>31.540348269932551</v>
      </c>
      <c r="L67">
        <f>I14</f>
        <v>17.525685224474163</v>
      </c>
      <c r="M67">
        <f t="shared" ref="M67:M97" si="82">I67-K67</f>
        <v>2.2279037554412184E-2</v>
      </c>
      <c r="N67">
        <f t="shared" ref="N67:N97" si="83">I67-L67</f>
        <v>14.0369420830128</v>
      </c>
    </row>
    <row r="68" spans="1:14" s="17" customFormat="1" x14ac:dyDescent="0.2">
      <c r="A68" s="17" t="s">
        <v>99</v>
      </c>
      <c r="B68" s="17" t="s">
        <v>129</v>
      </c>
      <c r="C68" s="17" t="s">
        <v>32</v>
      </c>
      <c r="E68" s="17">
        <v>31.842258224002901</v>
      </c>
      <c r="F68" s="17" t="s">
        <v>99</v>
      </c>
      <c r="G68" s="20" t="s">
        <v>17</v>
      </c>
      <c r="H68" s="17">
        <v>1713</v>
      </c>
      <c r="I68" s="17" t="e">
        <f t="shared" ref="I68" si="84">AVERAGE(D68:D70)</f>
        <v>#DIV/0!</v>
      </c>
      <c r="J68" s="17" t="e">
        <f t="shared" ref="J68" si="85">STDEV(D68:D70)</f>
        <v>#DIV/0!</v>
      </c>
      <c r="K68" s="17">
        <f>I8</f>
        <v>32.31021105648275</v>
      </c>
      <c r="L68" s="17">
        <f>I20</f>
        <v>13.005492575418899</v>
      </c>
      <c r="M68" s="17" t="e">
        <f t="shared" si="82"/>
        <v>#DIV/0!</v>
      </c>
      <c r="N68" s="17" t="e">
        <f t="shared" si="83"/>
        <v>#DIV/0!</v>
      </c>
    </row>
    <row r="69" spans="1:14" s="17" customFormat="1" x14ac:dyDescent="0.2">
      <c r="A69" s="17" t="s">
        <v>100</v>
      </c>
      <c r="B69" s="17" t="s">
        <v>129</v>
      </c>
      <c r="C69" s="17" t="s">
        <v>32</v>
      </c>
      <c r="E69" s="17">
        <v>30.898422507308702</v>
      </c>
      <c r="F69" s="17" t="s">
        <v>100</v>
      </c>
      <c r="G69" s="20" t="s">
        <v>17</v>
      </c>
      <c r="H69" s="17">
        <v>1713</v>
      </c>
      <c r="I69" s="17" t="e">
        <f t="shared" ref="I69:J69" si="86">I68</f>
        <v>#DIV/0!</v>
      </c>
      <c r="J69" s="17" t="e">
        <f t="shared" si="86"/>
        <v>#DIV/0!</v>
      </c>
      <c r="K69" s="17">
        <f>I8</f>
        <v>32.31021105648275</v>
      </c>
      <c r="L69" s="17">
        <f>I20</f>
        <v>13.005492575418899</v>
      </c>
      <c r="M69" s="17" t="e">
        <f t="shared" si="82"/>
        <v>#DIV/0!</v>
      </c>
      <c r="N69" s="17" t="e">
        <f t="shared" si="83"/>
        <v>#DIV/0!</v>
      </c>
    </row>
    <row r="70" spans="1:14" s="17" customFormat="1" x14ac:dyDescent="0.2">
      <c r="A70" s="17" t="s">
        <v>101</v>
      </c>
      <c r="B70" s="17" t="s">
        <v>129</v>
      </c>
      <c r="C70" s="17" t="s">
        <v>32</v>
      </c>
      <c r="E70" s="17">
        <v>33.460718330821798</v>
      </c>
      <c r="F70" s="17" t="s">
        <v>101</v>
      </c>
      <c r="G70" s="20" t="s">
        <v>17</v>
      </c>
      <c r="H70" s="17">
        <v>1713</v>
      </c>
      <c r="I70" s="17" t="e">
        <f t="shared" ref="I70:J70" si="87">I68</f>
        <v>#DIV/0!</v>
      </c>
      <c r="J70" s="17" t="e">
        <f t="shared" si="87"/>
        <v>#DIV/0!</v>
      </c>
      <c r="K70" s="17">
        <f>I8</f>
        <v>32.31021105648275</v>
      </c>
      <c r="L70" s="17">
        <f>I20</f>
        <v>13.005492575418899</v>
      </c>
      <c r="M70" s="17" t="e">
        <f t="shared" si="82"/>
        <v>#DIV/0!</v>
      </c>
      <c r="N70" s="17" t="e">
        <f t="shared" si="83"/>
        <v>#DIV/0!</v>
      </c>
    </row>
    <row r="71" spans="1:14" s="17" customFormat="1" x14ac:dyDescent="0.2">
      <c r="A71" s="17" t="s">
        <v>102</v>
      </c>
      <c r="B71" s="17" t="s">
        <v>129</v>
      </c>
      <c r="C71" s="17" t="s">
        <v>32</v>
      </c>
      <c r="E71" s="17">
        <v>33.732634553980802</v>
      </c>
      <c r="F71" s="17" t="s">
        <v>102</v>
      </c>
      <c r="G71" s="19" t="s">
        <v>25</v>
      </c>
      <c r="H71" s="17">
        <v>1713</v>
      </c>
      <c r="I71" s="17" t="e">
        <f t="shared" ref="I71" si="88">AVERAGE(D71:D73)</f>
        <v>#DIV/0!</v>
      </c>
      <c r="J71" s="17" t="e">
        <f t="shared" ref="J71" si="89">STDEV(D71:D73)</f>
        <v>#DIV/0!</v>
      </c>
      <c r="K71" s="17">
        <f>I8</f>
        <v>32.31021105648275</v>
      </c>
      <c r="L71" s="17">
        <f>I20</f>
        <v>13.005492575418899</v>
      </c>
      <c r="M71" s="17" t="e">
        <f t="shared" si="82"/>
        <v>#DIV/0!</v>
      </c>
      <c r="N71" s="17" t="e">
        <f t="shared" si="83"/>
        <v>#DIV/0!</v>
      </c>
    </row>
    <row r="72" spans="1:14" s="17" customFormat="1" x14ac:dyDescent="0.2">
      <c r="A72" s="17" t="s">
        <v>103</v>
      </c>
      <c r="B72" s="17" t="s">
        <v>129</v>
      </c>
      <c r="C72" s="17" t="s">
        <v>32</v>
      </c>
      <c r="E72" s="17">
        <v>32.437984973932899</v>
      </c>
      <c r="F72" s="17" t="s">
        <v>103</v>
      </c>
      <c r="G72" s="19" t="s">
        <v>25</v>
      </c>
      <c r="H72" s="17">
        <v>1713</v>
      </c>
      <c r="I72" s="17" t="e">
        <f t="shared" ref="I72:J73" si="90">I71</f>
        <v>#DIV/0!</v>
      </c>
      <c r="J72" s="17" t="e">
        <f t="shared" si="90"/>
        <v>#DIV/0!</v>
      </c>
      <c r="K72" s="17">
        <f>I8</f>
        <v>32.31021105648275</v>
      </c>
      <c r="L72" s="17">
        <f>I20</f>
        <v>13.005492575418899</v>
      </c>
      <c r="M72" s="17" t="e">
        <f t="shared" si="82"/>
        <v>#DIV/0!</v>
      </c>
      <c r="N72" s="17" t="e">
        <f t="shared" si="83"/>
        <v>#DIV/0!</v>
      </c>
    </row>
    <row r="73" spans="1:14" s="17" customFormat="1" x14ac:dyDescent="0.2">
      <c r="A73" s="17" t="s">
        <v>104</v>
      </c>
      <c r="B73" s="17" t="s">
        <v>129</v>
      </c>
      <c r="C73" s="17" t="s">
        <v>32</v>
      </c>
      <c r="E73" s="17">
        <v>31.653589782948199</v>
      </c>
      <c r="F73" s="17" t="s">
        <v>104</v>
      </c>
      <c r="G73" s="19" t="s">
        <v>25</v>
      </c>
      <c r="H73" s="17">
        <v>1713</v>
      </c>
      <c r="I73" s="17" t="e">
        <f t="shared" si="90"/>
        <v>#DIV/0!</v>
      </c>
      <c r="J73" s="17" t="e">
        <f t="shared" ref="J73" si="91">J71</f>
        <v>#DIV/0!</v>
      </c>
      <c r="K73" s="17">
        <f>I8</f>
        <v>32.31021105648275</v>
      </c>
      <c r="L73" s="17">
        <f>I20</f>
        <v>13.005492575418899</v>
      </c>
      <c r="M73" s="17" t="e">
        <f t="shared" si="82"/>
        <v>#DIV/0!</v>
      </c>
      <c r="N73" s="17" t="e">
        <f t="shared" si="83"/>
        <v>#DIV/0!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33.491916036082202</v>
      </c>
      <c r="F74" s="17" t="s">
        <v>105</v>
      </c>
      <c r="G74" s="20" t="s">
        <v>18</v>
      </c>
      <c r="H74" s="17">
        <v>1710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31.540348269932551</v>
      </c>
      <c r="L74" s="17">
        <f>I14</f>
        <v>17.525685224474163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>
        <v>35.837228740348102</v>
      </c>
      <c r="F75" s="17" t="s">
        <v>106</v>
      </c>
      <c r="G75" s="20" t="s">
        <v>18</v>
      </c>
      <c r="H75" s="17">
        <v>1710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31.540348269932551</v>
      </c>
      <c r="L75" s="17">
        <f>I14</f>
        <v>17.525685224474163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34.6446474408733</v>
      </c>
      <c r="F76" s="17" t="s">
        <v>107</v>
      </c>
      <c r="G76" s="20" t="s">
        <v>18</v>
      </c>
      <c r="H76" s="17">
        <v>1710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31.540348269932551</v>
      </c>
      <c r="L76" s="17">
        <f>I14</f>
        <v>17.525685224474163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>
        <v>31.735904448935798</v>
      </c>
      <c r="E77">
        <v>31.735904448935798</v>
      </c>
      <c r="F77" t="s">
        <v>108</v>
      </c>
      <c r="G77" s="16" t="s">
        <v>144</v>
      </c>
      <c r="I77">
        <f t="shared" ref="I77" si="95">AVERAGE(D77:D79)</f>
        <v>31.840933267716895</v>
      </c>
      <c r="J77">
        <f t="shared" ref="J77" si="96">STDEV(D77:D79)</f>
        <v>0.62983676969735014</v>
      </c>
      <c r="K77">
        <f>I2</f>
        <v>31.540348269932551</v>
      </c>
      <c r="L77">
        <f>I14</f>
        <v>17.525685224474163</v>
      </c>
      <c r="M77">
        <f t="shared" si="82"/>
        <v>0.30058499778434467</v>
      </c>
      <c r="N77">
        <f t="shared" si="83"/>
        <v>14.315248043242732</v>
      </c>
    </row>
    <row r="78" spans="1:14" x14ac:dyDescent="0.2">
      <c r="A78" t="s">
        <v>109</v>
      </c>
      <c r="B78" t="s">
        <v>129</v>
      </c>
      <c r="C78" t="s">
        <v>32</v>
      </c>
      <c r="D78">
        <v>31.270213317591001</v>
      </c>
      <c r="E78">
        <v>31.270213317591001</v>
      </c>
      <c r="F78" t="s">
        <v>109</v>
      </c>
      <c r="I78">
        <f t="shared" ref="I78:J79" si="97">I77</f>
        <v>31.840933267716895</v>
      </c>
      <c r="J78">
        <f t="shared" si="97"/>
        <v>0.62983676969735014</v>
      </c>
      <c r="K78">
        <f>I2</f>
        <v>31.540348269932551</v>
      </c>
      <c r="L78">
        <f>I14</f>
        <v>17.525685224474163</v>
      </c>
      <c r="M78">
        <f t="shared" si="82"/>
        <v>0.30058499778434467</v>
      </c>
      <c r="N78">
        <f t="shared" si="83"/>
        <v>14.315248043242732</v>
      </c>
    </row>
    <row r="79" spans="1:14" x14ac:dyDescent="0.2">
      <c r="A79" t="s">
        <v>110</v>
      </c>
      <c r="B79" t="s">
        <v>129</v>
      </c>
      <c r="C79" t="s">
        <v>32</v>
      </c>
      <c r="D79">
        <v>32.516682036623898</v>
      </c>
      <c r="E79">
        <v>32.516682036623898</v>
      </c>
      <c r="F79" t="s">
        <v>110</v>
      </c>
      <c r="I79">
        <f t="shared" si="97"/>
        <v>31.840933267716895</v>
      </c>
      <c r="J79">
        <f t="shared" ref="J79" si="98">J77</f>
        <v>0.62983676969735014</v>
      </c>
      <c r="K79">
        <f>I2</f>
        <v>31.540348269932551</v>
      </c>
      <c r="L79">
        <f>I14</f>
        <v>17.525685224474163</v>
      </c>
      <c r="M79">
        <f t="shared" si="82"/>
        <v>0.30058499778434467</v>
      </c>
      <c r="N79">
        <f t="shared" si="83"/>
        <v>14.315248043242732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34.301159197225701</v>
      </c>
      <c r="F80" s="17" t="s">
        <v>111</v>
      </c>
      <c r="G80" s="20" t="s">
        <v>18</v>
      </c>
      <c r="H80" s="17">
        <v>1713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32.31021105648275</v>
      </c>
      <c r="L80" s="17">
        <f>I20</f>
        <v>13.005492575418899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 t="s">
        <v>33</v>
      </c>
      <c r="F81" s="17" t="s">
        <v>112</v>
      </c>
      <c r="G81" s="20" t="s">
        <v>18</v>
      </c>
      <c r="H81" s="17">
        <v>1713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32.31021105648275</v>
      </c>
      <c r="L81" s="17">
        <f>I20</f>
        <v>13.005492575418899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 t="s">
        <v>33</v>
      </c>
      <c r="F82" s="17" t="s">
        <v>113</v>
      </c>
      <c r="G82" s="20" t="s">
        <v>18</v>
      </c>
      <c r="H82" s="17">
        <v>1713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32.31021105648275</v>
      </c>
      <c r="L82" s="17">
        <f>I20</f>
        <v>13.005492575418899</v>
      </c>
      <c r="M82" s="17" t="e">
        <f t="shared" si="82"/>
        <v>#DIV/0!</v>
      </c>
      <c r="N82" s="17" t="e">
        <f t="shared" si="83"/>
        <v>#DIV/0!</v>
      </c>
    </row>
    <row r="83" spans="1:14" s="17" customFormat="1" x14ac:dyDescent="0.2">
      <c r="A83" s="17" t="s">
        <v>114</v>
      </c>
      <c r="B83" s="17" t="s">
        <v>129</v>
      </c>
      <c r="C83" s="17" t="s">
        <v>32</v>
      </c>
      <c r="D83" s="17">
        <v>32.444480098851102</v>
      </c>
      <c r="E83" s="17">
        <v>32.444480098851102</v>
      </c>
      <c r="F83" s="17" t="s">
        <v>114</v>
      </c>
      <c r="I83" s="17">
        <f t="shared" ref="I83" si="103">AVERAGE(D83:D85)</f>
        <v>32.536520944233935</v>
      </c>
      <c r="J83" s="17">
        <f t="shared" ref="J83" si="104">STDEV(D83:D85)</f>
        <v>0.46690033449785601</v>
      </c>
      <c r="K83" s="17">
        <f>I8</f>
        <v>32.31021105648275</v>
      </c>
      <c r="L83" s="17">
        <f>I20</f>
        <v>13.005492575418899</v>
      </c>
      <c r="M83" s="17">
        <f t="shared" si="82"/>
        <v>0.2263098877511851</v>
      </c>
      <c r="N83" s="17">
        <f t="shared" si="83"/>
        <v>19.531028368815036</v>
      </c>
    </row>
    <row r="84" spans="1:14" s="17" customFormat="1" x14ac:dyDescent="0.2">
      <c r="A84" s="17" t="s">
        <v>115</v>
      </c>
      <c r="B84" s="17" t="s">
        <v>129</v>
      </c>
      <c r="C84" s="17" t="s">
        <v>32</v>
      </c>
      <c r="D84" s="17">
        <v>32.122495407873302</v>
      </c>
      <c r="E84" s="17">
        <v>32.122495407873302</v>
      </c>
      <c r="F84" s="17" t="s">
        <v>115</v>
      </c>
      <c r="I84" s="17">
        <f t="shared" ref="I84:J85" si="105">I83</f>
        <v>32.536520944233935</v>
      </c>
      <c r="J84" s="17">
        <f t="shared" si="105"/>
        <v>0.46690033449785601</v>
      </c>
      <c r="K84" s="17">
        <f>I8</f>
        <v>32.31021105648275</v>
      </c>
      <c r="L84" s="17">
        <f>I20</f>
        <v>13.005492575418899</v>
      </c>
      <c r="M84" s="17">
        <f t="shared" si="82"/>
        <v>0.2263098877511851</v>
      </c>
      <c r="N84" s="17">
        <f t="shared" si="83"/>
        <v>19.531028368815036</v>
      </c>
    </row>
    <row r="85" spans="1:14" s="17" customFormat="1" x14ac:dyDescent="0.2">
      <c r="A85" s="17" t="s">
        <v>116</v>
      </c>
      <c r="B85" s="17" t="s">
        <v>129</v>
      </c>
      <c r="C85" s="17" t="s">
        <v>32</v>
      </c>
      <c r="D85" s="17">
        <v>33.042587325977401</v>
      </c>
      <c r="E85" s="17">
        <v>33.042587325977401</v>
      </c>
      <c r="F85" s="17" t="s">
        <v>116</v>
      </c>
      <c r="I85" s="17">
        <f t="shared" si="105"/>
        <v>32.536520944233935</v>
      </c>
      <c r="J85" s="17">
        <f t="shared" ref="J85" si="106">J83</f>
        <v>0.46690033449785601</v>
      </c>
      <c r="K85" s="17">
        <f>I8</f>
        <v>32.31021105648275</v>
      </c>
      <c r="L85" s="17">
        <f>I20</f>
        <v>13.005492575418899</v>
      </c>
      <c r="M85" s="17">
        <f t="shared" si="82"/>
        <v>0.2263098877511851</v>
      </c>
      <c r="N85" s="17">
        <f t="shared" si="83"/>
        <v>19.531028368815036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21" t="s">
        <v>19</v>
      </c>
      <c r="H86" s="17">
        <v>1710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31.540348269932551</v>
      </c>
      <c r="L86" s="17">
        <f>I14</f>
        <v>17.525685224474163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35.352604903309903</v>
      </c>
      <c r="F87" s="17" t="s">
        <v>118</v>
      </c>
      <c r="G87" s="21" t="s">
        <v>19</v>
      </c>
      <c r="H87" s="17">
        <v>1710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31.540348269932551</v>
      </c>
      <c r="L87" s="17">
        <f>I14</f>
        <v>17.525685224474163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34.154671161084202</v>
      </c>
      <c r="F88" s="17" t="s">
        <v>119</v>
      </c>
      <c r="G88" s="21" t="s">
        <v>19</v>
      </c>
      <c r="H88" s="17">
        <v>1710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31.540348269932551</v>
      </c>
      <c r="L88" s="17">
        <f>I14</f>
        <v>17.525685224474163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>
        <v>18.080987217038601</v>
      </c>
      <c r="E89">
        <v>18.080987217038601</v>
      </c>
      <c r="F89" t="s">
        <v>120</v>
      </c>
      <c r="G89" t="s">
        <v>146</v>
      </c>
      <c r="I89">
        <f t="shared" ref="I89" si="111">AVERAGE(D89:D91)</f>
        <v>17.807155621385366</v>
      </c>
      <c r="J89">
        <f t="shared" ref="J89" si="112">STDEV(D89:D91)</f>
        <v>0.23827253167816675</v>
      </c>
      <c r="K89">
        <f>I2</f>
        <v>31.540348269932551</v>
      </c>
      <c r="L89">
        <f>I14</f>
        <v>17.525685224474163</v>
      </c>
      <c r="M89">
        <f t="shared" si="82"/>
        <v>-13.733192648547185</v>
      </c>
      <c r="N89">
        <f t="shared" si="83"/>
        <v>0.28147039691120312</v>
      </c>
    </row>
    <row r="90" spans="1:14" x14ac:dyDescent="0.2">
      <c r="A90" t="s">
        <v>121</v>
      </c>
      <c r="B90" t="s">
        <v>129</v>
      </c>
      <c r="C90" t="s">
        <v>32</v>
      </c>
      <c r="D90">
        <v>17.6470883167217</v>
      </c>
      <c r="E90">
        <v>17.6470883167217</v>
      </c>
      <c r="F90" t="s">
        <v>121</v>
      </c>
      <c r="I90">
        <f t="shared" ref="I90:J91" si="113">I89</f>
        <v>17.807155621385366</v>
      </c>
      <c r="J90">
        <f t="shared" si="113"/>
        <v>0.23827253167816675</v>
      </c>
      <c r="K90">
        <f>I2</f>
        <v>31.540348269932551</v>
      </c>
      <c r="L90">
        <f>I14</f>
        <v>17.525685224474163</v>
      </c>
      <c r="M90">
        <f t="shared" si="82"/>
        <v>-13.733192648547185</v>
      </c>
      <c r="N90">
        <f t="shared" si="83"/>
        <v>0.28147039691120312</v>
      </c>
    </row>
    <row r="91" spans="1:14" x14ac:dyDescent="0.2">
      <c r="A91" t="s">
        <v>122</v>
      </c>
      <c r="B91" t="s">
        <v>129</v>
      </c>
      <c r="C91" t="s">
        <v>32</v>
      </c>
      <c r="D91">
        <v>17.693391330395801</v>
      </c>
      <c r="E91">
        <v>17.693391330395801</v>
      </c>
      <c r="F91" t="s">
        <v>122</v>
      </c>
      <c r="I91">
        <f t="shared" si="113"/>
        <v>17.807155621385366</v>
      </c>
      <c r="J91">
        <f t="shared" ref="J91" si="114">J89</f>
        <v>0.23827253167816675</v>
      </c>
      <c r="K91">
        <f>I2</f>
        <v>31.540348269932551</v>
      </c>
      <c r="L91">
        <f>I14</f>
        <v>17.525685224474163</v>
      </c>
      <c r="M91">
        <f t="shared" si="82"/>
        <v>-13.733192648547185</v>
      </c>
      <c r="N91">
        <f t="shared" si="83"/>
        <v>0.28147039691120312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34.581868399151098</v>
      </c>
      <c r="E92">
        <v>34.581868399151098</v>
      </c>
      <c r="F92" t="s">
        <v>123</v>
      </c>
      <c r="G92" s="6" t="s">
        <v>19</v>
      </c>
      <c r="H92">
        <v>1713</v>
      </c>
      <c r="I92">
        <f t="shared" ref="I92" si="115">AVERAGE(D92:D94)</f>
        <v>34.797450284681503</v>
      </c>
      <c r="J92">
        <f t="shared" ref="J92" si="116">STDEV(D92:D94)</f>
        <v>0.30487882631905755</v>
      </c>
      <c r="K92">
        <f>I8</f>
        <v>32.31021105648275</v>
      </c>
      <c r="L92">
        <f>I20</f>
        <v>13.005492575418899</v>
      </c>
      <c r="M92">
        <f t="shared" si="82"/>
        <v>2.487239228198753</v>
      </c>
      <c r="N92">
        <f t="shared" si="83"/>
        <v>21.791957709262604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35.013032170211901</v>
      </c>
      <c r="E93">
        <v>35.013032170211901</v>
      </c>
      <c r="F93" t="s">
        <v>124</v>
      </c>
      <c r="G93" s="6" t="s">
        <v>19</v>
      </c>
      <c r="H93">
        <v>1713</v>
      </c>
      <c r="I93">
        <f t="shared" ref="I93:J93" si="117">I92</f>
        <v>34.797450284681503</v>
      </c>
      <c r="J93">
        <f t="shared" si="117"/>
        <v>0.30487882631905755</v>
      </c>
      <c r="K93">
        <f>I8</f>
        <v>32.31021105648275</v>
      </c>
      <c r="L93">
        <f>I20</f>
        <v>13.005492575418899</v>
      </c>
      <c r="M93">
        <f t="shared" si="82"/>
        <v>2.487239228198753</v>
      </c>
      <c r="N93">
        <f t="shared" si="83"/>
        <v>21.791957709262604</v>
      </c>
    </row>
    <row r="94" spans="1:14" ht="17" thickBot="1" x14ac:dyDescent="0.25">
      <c r="A94" t="s">
        <v>125</v>
      </c>
      <c r="B94" t="s">
        <v>129</v>
      </c>
      <c r="C94" t="s">
        <v>32</v>
      </c>
      <c r="E94">
        <v>35.716159084648503</v>
      </c>
      <c r="F94" t="s">
        <v>125</v>
      </c>
      <c r="G94" s="6" t="s">
        <v>19</v>
      </c>
      <c r="H94">
        <v>1713</v>
      </c>
      <c r="I94">
        <f t="shared" ref="I94:J94" si="118">I92</f>
        <v>34.797450284681503</v>
      </c>
      <c r="J94">
        <f t="shared" si="118"/>
        <v>0.30487882631905755</v>
      </c>
      <c r="K94">
        <f>I8</f>
        <v>32.31021105648275</v>
      </c>
      <c r="L94">
        <f>I20</f>
        <v>13.005492575418899</v>
      </c>
      <c r="M94">
        <f t="shared" si="82"/>
        <v>2.487239228198753</v>
      </c>
      <c r="N94">
        <f t="shared" si="83"/>
        <v>21.791957709262604</v>
      </c>
    </row>
    <row r="95" spans="1:14" x14ac:dyDescent="0.2">
      <c r="A95" t="s">
        <v>126</v>
      </c>
      <c r="B95" t="s">
        <v>129</v>
      </c>
      <c r="C95" t="s">
        <v>32</v>
      </c>
      <c r="D95">
        <v>13.655750402497601</v>
      </c>
      <c r="E95">
        <v>13.655750402497601</v>
      </c>
      <c r="F95" t="s">
        <v>126</v>
      </c>
      <c r="I95">
        <f t="shared" ref="I95" si="119">AVERAGE(D95:D97)</f>
        <v>14.038326217987802</v>
      </c>
      <c r="J95">
        <f t="shared" ref="J95" si="120">STDEV(D95:D97)</f>
        <v>0.38696534187193454</v>
      </c>
      <c r="K95">
        <f>I8</f>
        <v>32.31021105648275</v>
      </c>
      <c r="L95">
        <f>I20</f>
        <v>13.005492575418899</v>
      </c>
      <c r="M95">
        <f t="shared" si="82"/>
        <v>-18.271884838494948</v>
      </c>
      <c r="N95">
        <f t="shared" si="83"/>
        <v>1.0328336425689031</v>
      </c>
    </row>
    <row r="96" spans="1:14" x14ac:dyDescent="0.2">
      <c r="A96" t="s">
        <v>127</v>
      </c>
      <c r="B96" t="s">
        <v>129</v>
      </c>
      <c r="C96" t="s">
        <v>32</v>
      </c>
      <c r="D96">
        <v>14.0296916786151</v>
      </c>
      <c r="E96">
        <v>14.0296916786151</v>
      </c>
      <c r="F96" t="s">
        <v>127</v>
      </c>
      <c r="I96">
        <f t="shared" ref="I96:J97" si="121">I95</f>
        <v>14.038326217987802</v>
      </c>
      <c r="J96">
        <f t="shared" si="121"/>
        <v>0.38696534187193454</v>
      </c>
      <c r="K96">
        <f>I8</f>
        <v>32.31021105648275</v>
      </c>
      <c r="L96">
        <f>I20</f>
        <v>13.005492575418899</v>
      </c>
      <c r="M96">
        <f t="shared" si="82"/>
        <v>-18.271884838494948</v>
      </c>
      <c r="N96">
        <f t="shared" si="83"/>
        <v>1.0328336425689031</v>
      </c>
    </row>
    <row r="97" spans="1:14" x14ac:dyDescent="0.2">
      <c r="A97" t="s">
        <v>128</v>
      </c>
      <c r="B97" t="s">
        <v>129</v>
      </c>
      <c r="C97" t="s">
        <v>32</v>
      </c>
      <c r="D97">
        <v>14.429536572850701</v>
      </c>
      <c r="E97">
        <v>14.429536572850701</v>
      </c>
      <c r="F97" t="s">
        <v>128</v>
      </c>
      <c r="I97">
        <f t="shared" si="121"/>
        <v>14.038326217987802</v>
      </c>
      <c r="J97">
        <f t="shared" ref="J97" si="122">J95</f>
        <v>0.38696534187193454</v>
      </c>
      <c r="K97">
        <f>I8</f>
        <v>32.31021105648275</v>
      </c>
      <c r="L97">
        <f>I20</f>
        <v>13.005492575418899</v>
      </c>
      <c r="M97">
        <f t="shared" si="82"/>
        <v>-18.271884838494948</v>
      </c>
      <c r="N97">
        <f t="shared" si="83"/>
        <v>1.0328336425689031</v>
      </c>
    </row>
  </sheetData>
  <conditionalFormatting sqref="J2:J97">
    <cfRule type="cellIs" dxfId="5" priority="1" operator="greaterThan">
      <formula>0.3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4CA1-B00F-C047-9B25-87C97404B423}">
  <dimension ref="A1:N97"/>
  <sheetViews>
    <sheetView workbookViewId="0">
      <selection activeCell="I7" sqref="I7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D2">
        <v>32.000992612036796</v>
      </c>
      <c r="E2">
        <v>29.019614294805301</v>
      </c>
      <c r="F2" t="s">
        <v>31</v>
      </c>
      <c r="G2" s="9" t="s">
        <v>9</v>
      </c>
      <c r="H2">
        <v>163</v>
      </c>
      <c r="I2">
        <f>AVERAGE(D2:D4)</f>
        <v>31.861568050671465</v>
      </c>
      <c r="J2">
        <f>STDEV(D2:D4)</f>
        <v>0.20753101115526057</v>
      </c>
      <c r="K2">
        <f>I2</f>
        <v>31.861568050671465</v>
      </c>
      <c r="L2">
        <f>I14</f>
        <v>15.6966884804306</v>
      </c>
      <c r="M2">
        <f>I2-K2</f>
        <v>0</v>
      </c>
      <c r="N2">
        <f>I2-L2</f>
        <v>16.164879570240863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31.623066806021399</v>
      </c>
      <c r="E3">
        <v>32.1908558994148</v>
      </c>
      <c r="F3" t="s">
        <v>34</v>
      </c>
      <c r="G3" s="9" t="s">
        <v>9</v>
      </c>
      <c r="H3">
        <v>163</v>
      </c>
      <c r="I3">
        <f>I2</f>
        <v>31.861568050671465</v>
      </c>
      <c r="J3">
        <f>J2</f>
        <v>0.20753101115526057</v>
      </c>
      <c r="K3">
        <f>I2</f>
        <v>31.861568050671465</v>
      </c>
      <c r="L3">
        <f>I14</f>
        <v>15.6966884804306</v>
      </c>
      <c r="M3">
        <f t="shared" ref="M3:M66" si="0">I3-K3</f>
        <v>0</v>
      </c>
      <c r="N3">
        <f t="shared" ref="N3:N66" si="1">I3-L3</f>
        <v>16.164879570240863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31.960644733956201</v>
      </c>
      <c r="E4">
        <v>33.137502006177797</v>
      </c>
      <c r="F4" t="s">
        <v>35</v>
      </c>
      <c r="G4" s="9" t="s">
        <v>9</v>
      </c>
      <c r="H4">
        <v>163</v>
      </c>
      <c r="I4">
        <f>I2</f>
        <v>31.861568050671465</v>
      </c>
      <c r="J4">
        <f>J2</f>
        <v>0.20753101115526057</v>
      </c>
      <c r="K4">
        <f>I2</f>
        <v>31.861568050671465</v>
      </c>
      <c r="L4">
        <f>I14</f>
        <v>15.6966884804306</v>
      </c>
      <c r="M4">
        <f t="shared" si="0"/>
        <v>0</v>
      </c>
      <c r="N4">
        <f t="shared" si="1"/>
        <v>16.164879570240863</v>
      </c>
    </row>
    <row r="5" spans="1:14" ht="17" thickBot="1" x14ac:dyDescent="0.25">
      <c r="A5" t="s">
        <v>36</v>
      </c>
      <c r="B5" t="s">
        <v>129</v>
      </c>
      <c r="C5" t="s">
        <v>32</v>
      </c>
      <c r="D5">
        <v>36.107203328104802</v>
      </c>
      <c r="E5">
        <v>36.107203328104802</v>
      </c>
      <c r="F5" t="s">
        <v>36</v>
      </c>
      <c r="G5" s="2" t="s">
        <v>20</v>
      </c>
      <c r="H5">
        <v>163</v>
      </c>
      <c r="I5">
        <f>AVERAGE(D5:D7)</f>
        <v>35.881714242430306</v>
      </c>
      <c r="J5">
        <f>STDEV(D5:D7)</f>
        <v>0.31888972312798669</v>
      </c>
      <c r="K5">
        <f>I2</f>
        <v>31.861568050671465</v>
      </c>
      <c r="L5">
        <f>I14</f>
        <v>15.6966884804306</v>
      </c>
      <c r="M5">
        <f t="shared" si="0"/>
        <v>4.0201461917588404</v>
      </c>
      <c r="N5">
        <f t="shared" si="1"/>
        <v>20.185025761999704</v>
      </c>
    </row>
    <row r="6" spans="1:14" ht="17" thickBot="1" x14ac:dyDescent="0.25">
      <c r="A6" t="s">
        <v>37</v>
      </c>
      <c r="B6" t="s">
        <v>129</v>
      </c>
      <c r="C6" t="s">
        <v>32</v>
      </c>
      <c r="E6">
        <v>33.889492057601601</v>
      </c>
      <c r="F6" t="s">
        <v>37</v>
      </c>
      <c r="G6" s="2" t="s">
        <v>20</v>
      </c>
      <c r="H6">
        <v>163</v>
      </c>
      <c r="I6">
        <f>I5</f>
        <v>35.881714242430306</v>
      </c>
      <c r="J6">
        <f>J5</f>
        <v>0.31888972312798669</v>
      </c>
      <c r="K6">
        <f>I2</f>
        <v>31.861568050671465</v>
      </c>
      <c r="L6">
        <f>I14</f>
        <v>15.6966884804306</v>
      </c>
      <c r="M6">
        <f t="shared" si="0"/>
        <v>4.0201461917588404</v>
      </c>
      <c r="N6">
        <f t="shared" si="1"/>
        <v>20.185025761999704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35.656225156755802</v>
      </c>
      <c r="E7">
        <v>35.656225156755802</v>
      </c>
      <c r="F7" t="s">
        <v>38</v>
      </c>
      <c r="G7" s="2" t="s">
        <v>20</v>
      </c>
      <c r="H7">
        <v>163</v>
      </c>
      <c r="I7">
        <f>I6</f>
        <v>35.881714242430306</v>
      </c>
      <c r="J7">
        <f>J5</f>
        <v>0.31888972312798669</v>
      </c>
      <c r="K7">
        <f>I2</f>
        <v>31.861568050671465</v>
      </c>
      <c r="L7">
        <f>I14</f>
        <v>15.6966884804306</v>
      </c>
      <c r="M7">
        <f t="shared" si="0"/>
        <v>4.0201461917588404</v>
      </c>
      <c r="N7">
        <f t="shared" si="1"/>
        <v>20.185025761999704</v>
      </c>
    </row>
    <row r="8" spans="1:14" ht="17" thickBot="1" x14ac:dyDescent="0.25">
      <c r="A8" t="s">
        <v>39</v>
      </c>
      <c r="B8" t="s">
        <v>129</v>
      </c>
      <c r="C8" t="s">
        <v>32</v>
      </c>
      <c r="E8">
        <v>31.115285097198999</v>
      </c>
      <c r="F8" t="s">
        <v>39</v>
      </c>
      <c r="G8" s="9" t="s">
        <v>9</v>
      </c>
      <c r="H8">
        <v>1701</v>
      </c>
      <c r="I8">
        <f t="shared" ref="I8" si="2">AVERAGE(D8:D10)</f>
        <v>32.103245026870098</v>
      </c>
      <c r="J8">
        <f t="shared" ref="J8" si="3">STDEV(D8:D10)</f>
        <v>4.2367608055080677E-2</v>
      </c>
      <c r="K8">
        <f>I8</f>
        <v>32.103245026870098</v>
      </c>
      <c r="L8">
        <f>I20</f>
        <v>19.402324003190166</v>
      </c>
      <c r="M8">
        <f t="shared" si="0"/>
        <v>0</v>
      </c>
      <c r="N8">
        <f t="shared" si="1"/>
        <v>12.700921023679932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32.1332034498285</v>
      </c>
      <c r="E9">
        <v>32.1332034498285</v>
      </c>
      <c r="F9" t="s">
        <v>40</v>
      </c>
      <c r="G9" s="9" t="s">
        <v>9</v>
      </c>
      <c r="H9">
        <v>1701</v>
      </c>
      <c r="I9">
        <f t="shared" ref="I9:J9" si="4">I8</f>
        <v>32.103245026870098</v>
      </c>
      <c r="J9">
        <f t="shared" si="4"/>
        <v>4.2367608055080677E-2</v>
      </c>
      <c r="K9">
        <f>I8</f>
        <v>32.103245026870098</v>
      </c>
      <c r="L9">
        <f>I20</f>
        <v>19.402324003190166</v>
      </c>
      <c r="M9">
        <f t="shared" si="0"/>
        <v>0</v>
      </c>
      <c r="N9">
        <f t="shared" si="1"/>
        <v>12.700921023679932</v>
      </c>
    </row>
    <row r="10" spans="1:14" ht="17" thickBot="1" x14ac:dyDescent="0.25">
      <c r="A10" t="s">
        <v>41</v>
      </c>
      <c r="B10" t="s">
        <v>129</v>
      </c>
      <c r="C10" t="s">
        <v>32</v>
      </c>
      <c r="D10">
        <v>32.073286603911697</v>
      </c>
      <c r="E10">
        <v>32.073286603911697</v>
      </c>
      <c r="F10" t="s">
        <v>41</v>
      </c>
      <c r="G10" s="9" t="s">
        <v>9</v>
      </c>
      <c r="H10">
        <v>1701</v>
      </c>
      <c r="I10">
        <f t="shared" ref="I10:J10" si="5">I8</f>
        <v>32.103245026870098</v>
      </c>
      <c r="J10">
        <f t="shared" si="5"/>
        <v>4.2367608055080677E-2</v>
      </c>
      <c r="K10">
        <f>I8</f>
        <v>32.103245026870098</v>
      </c>
      <c r="L10">
        <f>I20</f>
        <v>19.402324003190166</v>
      </c>
      <c r="M10">
        <f t="shared" si="0"/>
        <v>0</v>
      </c>
      <c r="N10">
        <f t="shared" si="1"/>
        <v>12.700921023679932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34.342915594651402</v>
      </c>
      <c r="F11" s="17" t="s">
        <v>42</v>
      </c>
      <c r="G11" s="18" t="s">
        <v>20</v>
      </c>
      <c r="H11" s="17">
        <v>1701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32.103245026870098</v>
      </c>
      <c r="L11" s="17">
        <f>I20</f>
        <v>19.402324003190166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1701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32.103245026870098</v>
      </c>
      <c r="L12" s="17">
        <f>I20</f>
        <v>19.402324003190166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37.178622608763703</v>
      </c>
      <c r="F13" s="17" t="s">
        <v>44</v>
      </c>
      <c r="G13" s="18" t="s">
        <v>20</v>
      </c>
      <c r="H13" s="17">
        <v>1701</v>
      </c>
      <c r="I13" s="17" t="e">
        <f t="shared" si="8"/>
        <v>#DIV/0!</v>
      </c>
      <c r="J13" s="17" t="e">
        <f t="shared" ref="J13" si="9">J11</f>
        <v>#DIV/0!</v>
      </c>
      <c r="K13" s="17">
        <f>I8</f>
        <v>32.103245026870098</v>
      </c>
      <c r="L13" s="17">
        <f>I20</f>
        <v>19.402324003190166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15.7943165849401</v>
      </c>
      <c r="E14">
        <v>16.214741206070101</v>
      </c>
      <c r="F14" t="s">
        <v>45</v>
      </c>
      <c r="G14" s="11" t="s">
        <v>8</v>
      </c>
      <c r="H14">
        <v>163</v>
      </c>
      <c r="I14">
        <f t="shared" ref="I14" si="10">AVERAGE(D14:D16)</f>
        <v>15.6966884804306</v>
      </c>
      <c r="J14">
        <f t="shared" ref="J14" si="11">STDEV(D14:D16)</f>
        <v>8.7015003928929302E-2</v>
      </c>
      <c r="K14">
        <f>I2</f>
        <v>31.861568050671465</v>
      </c>
      <c r="L14">
        <f>I14</f>
        <v>15.6966884804306</v>
      </c>
      <c r="M14">
        <f t="shared" si="0"/>
        <v>-16.164879570240863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15.6684456657702</v>
      </c>
      <c r="E15">
        <v>16.016873031801602</v>
      </c>
      <c r="F15" t="s">
        <v>46</v>
      </c>
      <c r="G15" s="11" t="s">
        <v>8</v>
      </c>
      <c r="H15">
        <v>163</v>
      </c>
      <c r="I15">
        <f t="shared" ref="I15:J15" si="12">I14</f>
        <v>15.6966884804306</v>
      </c>
      <c r="J15">
        <f t="shared" si="12"/>
        <v>8.7015003928929302E-2</v>
      </c>
      <c r="K15">
        <f>I2</f>
        <v>31.861568050671465</v>
      </c>
      <c r="L15">
        <f>I14</f>
        <v>15.6966884804306</v>
      </c>
      <c r="M15">
        <f t="shared" si="0"/>
        <v>-16.164879570240863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15.6273031905815</v>
      </c>
      <c r="E16">
        <v>15.9996361544869</v>
      </c>
      <c r="F16" t="s">
        <v>47</v>
      </c>
      <c r="G16" s="11" t="s">
        <v>8</v>
      </c>
      <c r="H16">
        <v>163</v>
      </c>
      <c r="I16">
        <f t="shared" ref="I16:J16" si="13">I14</f>
        <v>15.6966884804306</v>
      </c>
      <c r="J16">
        <f t="shared" si="13"/>
        <v>8.7015003928929302E-2</v>
      </c>
      <c r="K16">
        <f>I2</f>
        <v>31.861568050671465</v>
      </c>
      <c r="L16">
        <f>I14</f>
        <v>15.6966884804306</v>
      </c>
      <c r="M16">
        <f t="shared" si="0"/>
        <v>-16.164879570240863</v>
      </c>
      <c r="N16">
        <f t="shared" si="1"/>
        <v>0</v>
      </c>
    </row>
    <row r="17" spans="1:14" s="17" customFormat="1" x14ac:dyDescent="0.2">
      <c r="A17" s="17" t="s">
        <v>48</v>
      </c>
      <c r="B17" s="17" t="s">
        <v>129</v>
      </c>
      <c r="C17" s="17" t="s">
        <v>32</v>
      </c>
      <c r="E17" s="17">
        <v>37.028472009647302</v>
      </c>
      <c r="F17" s="17" t="s">
        <v>48</v>
      </c>
      <c r="G17" s="19" t="s">
        <v>21</v>
      </c>
      <c r="H17" s="17">
        <v>163</v>
      </c>
      <c r="I17" s="17" t="e">
        <f t="shared" ref="I17" si="14">AVERAGE(D17:D19)</f>
        <v>#DIV/0!</v>
      </c>
      <c r="J17" s="17" t="e">
        <f t="shared" ref="J17" si="15">STDEV(D17:D19)</f>
        <v>#DIV/0!</v>
      </c>
      <c r="K17" s="17">
        <f>I2</f>
        <v>31.861568050671465</v>
      </c>
      <c r="L17" s="17">
        <f>I14</f>
        <v>15.6966884804306</v>
      </c>
      <c r="M17" s="17" t="e">
        <f t="shared" si="0"/>
        <v>#DIV/0!</v>
      </c>
      <c r="N17" s="17" t="e">
        <f t="shared" si="1"/>
        <v>#DIV/0!</v>
      </c>
    </row>
    <row r="18" spans="1:14" s="17" customFormat="1" x14ac:dyDescent="0.2">
      <c r="A18" s="17" t="s">
        <v>49</v>
      </c>
      <c r="B18" s="17" t="s">
        <v>129</v>
      </c>
      <c r="C18" s="17" t="s">
        <v>32</v>
      </c>
      <c r="E18" s="17">
        <v>33.076328468677097</v>
      </c>
      <c r="F18" s="17" t="s">
        <v>49</v>
      </c>
      <c r="G18" s="19" t="s">
        <v>21</v>
      </c>
      <c r="H18" s="17">
        <v>163</v>
      </c>
      <c r="I18" s="17" t="e">
        <f t="shared" ref="I18:J19" si="16">I17</f>
        <v>#DIV/0!</v>
      </c>
      <c r="J18" s="17" t="e">
        <f t="shared" si="16"/>
        <v>#DIV/0!</v>
      </c>
      <c r="K18" s="17">
        <f>I2</f>
        <v>31.861568050671465</v>
      </c>
      <c r="L18" s="17">
        <f>I14</f>
        <v>15.6966884804306</v>
      </c>
      <c r="M18" s="17" t="e">
        <f t="shared" si="0"/>
        <v>#DIV/0!</v>
      </c>
      <c r="N18" s="17" t="e">
        <f t="shared" si="1"/>
        <v>#DIV/0!</v>
      </c>
    </row>
    <row r="19" spans="1:14" s="17" customFormat="1" x14ac:dyDescent="0.2">
      <c r="A19" s="17" t="s">
        <v>50</v>
      </c>
      <c r="B19" s="17" t="s">
        <v>129</v>
      </c>
      <c r="C19" s="17" t="s">
        <v>32</v>
      </c>
      <c r="E19" s="17">
        <v>35.9770453807363</v>
      </c>
      <c r="F19" s="17" t="s">
        <v>50</v>
      </c>
      <c r="G19" s="19" t="s">
        <v>21</v>
      </c>
      <c r="H19" s="17">
        <v>163</v>
      </c>
      <c r="I19" s="17" t="e">
        <f t="shared" si="16"/>
        <v>#DIV/0!</v>
      </c>
      <c r="J19" s="17" t="e">
        <f t="shared" ref="J19" si="17">J17</f>
        <v>#DIV/0!</v>
      </c>
      <c r="K19" s="17">
        <f>I2</f>
        <v>31.861568050671465</v>
      </c>
      <c r="L19" s="17">
        <f>I14</f>
        <v>15.6966884804306</v>
      </c>
      <c r="M19" s="17" t="e">
        <f t="shared" si="0"/>
        <v>#DIV/0!</v>
      </c>
      <c r="N19" s="17" t="e">
        <f t="shared" si="1"/>
        <v>#DIV/0!</v>
      </c>
    </row>
    <row r="20" spans="1:14" x14ac:dyDescent="0.2">
      <c r="A20" t="s">
        <v>51</v>
      </c>
      <c r="B20" t="s">
        <v>129</v>
      </c>
      <c r="C20" t="s">
        <v>32</v>
      </c>
      <c r="D20">
        <v>19.3834171092338</v>
      </c>
      <c r="E20">
        <v>19.3834171092338</v>
      </c>
      <c r="F20" t="s">
        <v>51</v>
      </c>
      <c r="G20" s="11" t="s">
        <v>8</v>
      </c>
      <c r="H20">
        <v>1701</v>
      </c>
      <c r="I20">
        <f t="shared" ref="I20" si="18">AVERAGE(D20:D22)</f>
        <v>19.402324003190166</v>
      </c>
      <c r="J20">
        <f t="shared" ref="J20" si="19">STDEV(D20:D22)</f>
        <v>2.5229239225972592E-2</v>
      </c>
      <c r="K20">
        <f>I8</f>
        <v>32.103245026870098</v>
      </c>
      <c r="L20">
        <f>I20</f>
        <v>19.402324003190166</v>
      </c>
      <c r="M20">
        <f t="shared" si="0"/>
        <v>-12.700921023679932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19.430971499574699</v>
      </c>
      <c r="E21">
        <v>19.430971499574699</v>
      </c>
      <c r="F21" t="s">
        <v>52</v>
      </c>
      <c r="G21" s="11" t="s">
        <v>8</v>
      </c>
      <c r="H21">
        <v>1701</v>
      </c>
      <c r="I21">
        <f t="shared" ref="I21:J21" si="20">I20</f>
        <v>19.402324003190166</v>
      </c>
      <c r="J21">
        <f t="shared" si="20"/>
        <v>2.5229239225972592E-2</v>
      </c>
      <c r="K21">
        <f>I8</f>
        <v>32.103245026870098</v>
      </c>
      <c r="L21">
        <f>I20</f>
        <v>19.402324003190166</v>
      </c>
      <c r="M21">
        <f t="shared" si="0"/>
        <v>-12.700921023679932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19.392583400762</v>
      </c>
      <c r="E22">
        <v>19.392583400762</v>
      </c>
      <c r="F22" t="s">
        <v>53</v>
      </c>
      <c r="G22" s="11" t="s">
        <v>8</v>
      </c>
      <c r="H22">
        <v>1701</v>
      </c>
      <c r="I22">
        <f t="shared" ref="I22:J22" si="21">I20</f>
        <v>19.402324003190166</v>
      </c>
      <c r="J22">
        <f t="shared" si="21"/>
        <v>2.5229239225972592E-2</v>
      </c>
      <c r="K22">
        <f>I8</f>
        <v>32.103245026870098</v>
      </c>
      <c r="L22">
        <f>I20</f>
        <v>19.402324003190166</v>
      </c>
      <c r="M22">
        <f t="shared" si="0"/>
        <v>-12.700921023679932</v>
      </c>
      <c r="N22">
        <f t="shared" si="1"/>
        <v>0</v>
      </c>
    </row>
    <row r="23" spans="1:14" x14ac:dyDescent="0.2">
      <c r="A23" t="s">
        <v>54</v>
      </c>
      <c r="B23" t="s">
        <v>129</v>
      </c>
      <c r="C23" t="s">
        <v>32</v>
      </c>
      <c r="D23">
        <v>33.215478428436697</v>
      </c>
      <c r="E23">
        <v>33.215478428436697</v>
      </c>
      <c r="F23" t="s">
        <v>54</v>
      </c>
      <c r="G23" s="1" t="s">
        <v>21</v>
      </c>
      <c r="H23">
        <v>1701</v>
      </c>
      <c r="I23">
        <f t="shared" ref="I23" si="22">AVERAGE(D23:D25)</f>
        <v>33.468739362472903</v>
      </c>
      <c r="J23">
        <f t="shared" ref="J23" si="23">STDEV(D23:D25)</f>
        <v>0.35816504773327495</v>
      </c>
      <c r="K23">
        <f>I8</f>
        <v>32.103245026870098</v>
      </c>
      <c r="L23">
        <f>I20</f>
        <v>19.402324003190166</v>
      </c>
      <c r="M23">
        <f t="shared" si="0"/>
        <v>1.3654943356028042</v>
      </c>
      <c r="N23">
        <f t="shared" si="1"/>
        <v>14.066415359282736</v>
      </c>
    </row>
    <row r="24" spans="1:14" x14ac:dyDescent="0.2">
      <c r="A24" t="s">
        <v>55</v>
      </c>
      <c r="B24" t="s">
        <v>129</v>
      </c>
      <c r="C24" t="s">
        <v>32</v>
      </c>
      <c r="D24">
        <v>33.722000296509101</v>
      </c>
      <c r="E24">
        <v>33.722000296509101</v>
      </c>
      <c r="F24" t="s">
        <v>55</v>
      </c>
      <c r="G24" s="1" t="s">
        <v>21</v>
      </c>
      <c r="H24">
        <v>1701</v>
      </c>
      <c r="I24">
        <f t="shared" ref="I24:J25" si="24">I23</f>
        <v>33.468739362472903</v>
      </c>
      <c r="J24">
        <f t="shared" si="24"/>
        <v>0.35816504773327495</v>
      </c>
      <c r="K24">
        <f>I8</f>
        <v>32.103245026870098</v>
      </c>
      <c r="L24">
        <f>I20</f>
        <v>19.402324003190166</v>
      </c>
      <c r="M24">
        <f t="shared" si="0"/>
        <v>1.3654943356028042</v>
      </c>
      <c r="N24">
        <f t="shared" si="1"/>
        <v>14.066415359282736</v>
      </c>
    </row>
    <row r="25" spans="1:14" x14ac:dyDescent="0.2">
      <c r="A25" t="s">
        <v>56</v>
      </c>
      <c r="B25" t="s">
        <v>129</v>
      </c>
      <c r="C25" t="s">
        <v>32</v>
      </c>
      <c r="E25">
        <v>1.4714099624086101</v>
      </c>
      <c r="F25" t="s">
        <v>56</v>
      </c>
      <c r="G25" s="1" t="s">
        <v>21</v>
      </c>
      <c r="H25">
        <v>1701</v>
      </c>
      <c r="I25">
        <f t="shared" si="24"/>
        <v>33.468739362472903</v>
      </c>
      <c r="J25">
        <f t="shared" ref="J25" si="25">J23</f>
        <v>0.35816504773327495</v>
      </c>
      <c r="K25">
        <f>I8</f>
        <v>32.103245026870098</v>
      </c>
      <c r="L25">
        <f>I20</f>
        <v>19.402324003190166</v>
      </c>
      <c r="M25">
        <f t="shared" si="0"/>
        <v>1.3654943356028042</v>
      </c>
      <c r="N25">
        <f t="shared" si="1"/>
        <v>14.066415359282736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30.6282427061373</v>
      </c>
      <c r="F26" s="17" t="s">
        <v>57</v>
      </c>
      <c r="G26" s="20" t="s">
        <v>14</v>
      </c>
      <c r="H26" s="17">
        <v>163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31.861568050671465</v>
      </c>
      <c r="L26" s="17">
        <f>I14</f>
        <v>15.6966884804306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31.508629137874401</v>
      </c>
      <c r="F27" s="17" t="s">
        <v>58</v>
      </c>
      <c r="G27" s="20" t="s">
        <v>14</v>
      </c>
      <c r="H27" s="17">
        <v>163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31.861568050671465</v>
      </c>
      <c r="L27" s="17">
        <f>I14</f>
        <v>15.6966884804306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35.408808320572703</v>
      </c>
      <c r="F28" s="17" t="s">
        <v>59</v>
      </c>
      <c r="G28" s="20" t="s">
        <v>14</v>
      </c>
      <c r="H28" s="17">
        <v>163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31.861568050671465</v>
      </c>
      <c r="L28" s="17">
        <f>I14</f>
        <v>15.6966884804306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32.2861523565997</v>
      </c>
      <c r="E29">
        <v>32.2861523565997</v>
      </c>
      <c r="F29" t="s">
        <v>60</v>
      </c>
      <c r="G29" s="1" t="s">
        <v>23</v>
      </c>
      <c r="H29">
        <v>163</v>
      </c>
      <c r="I29">
        <f t="shared" ref="I29" si="30">AVERAGE(D29:D31)</f>
        <v>32.21719267223903</v>
      </c>
      <c r="J29">
        <f t="shared" ref="J29" si="31">STDEV(D29:D31)</f>
        <v>0.10120679762823573</v>
      </c>
      <c r="K29">
        <f>I2</f>
        <v>31.861568050671465</v>
      </c>
      <c r="L29">
        <f>I14</f>
        <v>15.6966884804306</v>
      </c>
      <c r="M29">
        <f t="shared" si="0"/>
        <v>0.35562462156756425</v>
      </c>
      <c r="N29">
        <f t="shared" si="1"/>
        <v>16.520504191808428</v>
      </c>
    </row>
    <row r="30" spans="1:14" x14ac:dyDescent="0.2">
      <c r="A30" t="s">
        <v>61</v>
      </c>
      <c r="B30" t="s">
        <v>129</v>
      </c>
      <c r="C30" t="s">
        <v>32</v>
      </c>
      <c r="D30">
        <v>32.264421075271898</v>
      </c>
      <c r="E30">
        <v>32.264421075271898</v>
      </c>
      <c r="F30" t="s">
        <v>61</v>
      </c>
      <c r="G30" s="1" t="s">
        <v>23</v>
      </c>
      <c r="H30">
        <v>163</v>
      </c>
      <c r="I30">
        <f t="shared" ref="I30:J31" si="32">I29</f>
        <v>32.21719267223903</v>
      </c>
      <c r="J30">
        <f t="shared" si="32"/>
        <v>0.10120679762823573</v>
      </c>
      <c r="K30">
        <f>I2</f>
        <v>31.861568050671465</v>
      </c>
      <c r="L30">
        <f>I14</f>
        <v>15.6966884804306</v>
      </c>
      <c r="M30">
        <f t="shared" si="0"/>
        <v>0.35562462156756425</v>
      </c>
      <c r="N30">
        <f t="shared" si="1"/>
        <v>16.520504191808428</v>
      </c>
    </row>
    <row r="31" spans="1:14" x14ac:dyDescent="0.2">
      <c r="A31" t="s">
        <v>62</v>
      </c>
      <c r="B31" t="s">
        <v>129</v>
      </c>
      <c r="C31" t="s">
        <v>32</v>
      </c>
      <c r="D31">
        <v>32.101004584845498</v>
      </c>
      <c r="E31">
        <v>32.101004584845498</v>
      </c>
      <c r="F31" t="s">
        <v>62</v>
      </c>
      <c r="G31" s="1" t="s">
        <v>23</v>
      </c>
      <c r="H31">
        <v>163</v>
      </c>
      <c r="I31">
        <f t="shared" si="32"/>
        <v>32.21719267223903</v>
      </c>
      <c r="J31">
        <f t="shared" ref="J31" si="33">J29</f>
        <v>0.10120679762823573</v>
      </c>
      <c r="K31">
        <f>I2</f>
        <v>31.861568050671465</v>
      </c>
      <c r="L31">
        <f>I14</f>
        <v>15.6966884804306</v>
      </c>
      <c r="M31">
        <f t="shared" si="0"/>
        <v>0.35562462156756425</v>
      </c>
      <c r="N31">
        <f t="shared" si="1"/>
        <v>16.520504191808428</v>
      </c>
    </row>
    <row r="32" spans="1:14" x14ac:dyDescent="0.2">
      <c r="A32" t="s">
        <v>63</v>
      </c>
      <c r="B32" t="s">
        <v>129</v>
      </c>
      <c r="C32" t="s">
        <v>32</v>
      </c>
      <c r="D32">
        <v>32.090322142630299</v>
      </c>
      <c r="E32">
        <v>32.090322142630299</v>
      </c>
      <c r="F32" t="s">
        <v>63</v>
      </c>
      <c r="G32" s="4" t="s">
        <v>14</v>
      </c>
      <c r="H32">
        <v>1701</v>
      </c>
      <c r="I32">
        <f t="shared" ref="I32" si="34">AVERAGE(D32:D34)</f>
        <v>32.084986066029003</v>
      </c>
      <c r="J32">
        <f t="shared" ref="J32" si="35">STDEV(D32:D34)</f>
        <v>7.5463518994192168E-3</v>
      </c>
      <c r="K32">
        <f>I8</f>
        <v>32.103245026870098</v>
      </c>
      <c r="L32">
        <f>I20</f>
        <v>19.402324003190166</v>
      </c>
      <c r="M32">
        <f t="shared" si="0"/>
        <v>-1.8258960841095018E-2</v>
      </c>
      <c r="N32">
        <f t="shared" si="1"/>
        <v>12.682662062838837</v>
      </c>
    </row>
    <row r="33" spans="1:14" x14ac:dyDescent="0.2">
      <c r="A33" t="s">
        <v>64</v>
      </c>
      <c r="B33" t="s">
        <v>129</v>
      </c>
      <c r="C33" t="s">
        <v>32</v>
      </c>
      <c r="D33">
        <v>32.079649989427701</v>
      </c>
      <c r="E33">
        <v>32.079649989427701</v>
      </c>
      <c r="F33" t="s">
        <v>64</v>
      </c>
      <c r="G33" s="4" t="s">
        <v>14</v>
      </c>
      <c r="H33">
        <v>1701</v>
      </c>
      <c r="I33">
        <f t="shared" ref="I33:J33" si="36">I32</f>
        <v>32.084986066029003</v>
      </c>
      <c r="J33">
        <f t="shared" si="36"/>
        <v>7.5463518994192168E-3</v>
      </c>
      <c r="K33">
        <f>I8</f>
        <v>32.103245026870098</v>
      </c>
      <c r="L33">
        <f>I20</f>
        <v>19.402324003190166</v>
      </c>
      <c r="M33">
        <f t="shared" si="0"/>
        <v>-1.8258960841095018E-2</v>
      </c>
      <c r="N33">
        <f t="shared" si="1"/>
        <v>12.682662062838837</v>
      </c>
    </row>
    <row r="34" spans="1:14" x14ac:dyDescent="0.2">
      <c r="A34" t="s">
        <v>65</v>
      </c>
      <c r="B34" t="s">
        <v>129</v>
      </c>
      <c r="C34" t="s">
        <v>32</v>
      </c>
      <c r="E34">
        <v>30.776886623854899</v>
      </c>
      <c r="F34" t="s">
        <v>65</v>
      </c>
      <c r="G34" s="4" t="s">
        <v>14</v>
      </c>
      <c r="H34">
        <v>1701</v>
      </c>
      <c r="I34">
        <f t="shared" ref="I34:J34" si="37">I32</f>
        <v>32.084986066029003</v>
      </c>
      <c r="J34">
        <f t="shared" si="37"/>
        <v>7.5463518994192168E-3</v>
      </c>
      <c r="K34">
        <f>I8</f>
        <v>32.103245026870098</v>
      </c>
      <c r="L34">
        <f>I20</f>
        <v>19.402324003190166</v>
      </c>
      <c r="M34">
        <f t="shared" si="0"/>
        <v>-1.8258960841095018E-2</v>
      </c>
      <c r="N34">
        <f t="shared" si="1"/>
        <v>12.682662062838837</v>
      </c>
    </row>
    <row r="35" spans="1:14" x14ac:dyDescent="0.2">
      <c r="A35" t="s">
        <v>66</v>
      </c>
      <c r="B35" t="s">
        <v>129</v>
      </c>
      <c r="C35" t="s">
        <v>32</v>
      </c>
      <c r="D35">
        <v>34.4441832048457</v>
      </c>
      <c r="E35">
        <v>34.4441832048457</v>
      </c>
      <c r="F35" t="s">
        <v>66</v>
      </c>
      <c r="G35" s="1" t="s">
        <v>23</v>
      </c>
      <c r="H35">
        <v>1701</v>
      </c>
      <c r="I35">
        <f t="shared" ref="I35" si="38">AVERAGE(D35:D37)</f>
        <v>34.290814226292952</v>
      </c>
      <c r="J35">
        <f t="shared" ref="J35" si="39">STDEV(D35:D37)</f>
        <v>0.21689648951660534</v>
      </c>
      <c r="K35">
        <f>I8</f>
        <v>32.103245026870098</v>
      </c>
      <c r="L35">
        <f>I20</f>
        <v>19.402324003190166</v>
      </c>
      <c r="M35">
        <f t="shared" si="0"/>
        <v>2.1875691994228532</v>
      </c>
      <c r="N35">
        <f t="shared" si="1"/>
        <v>14.888490223102785</v>
      </c>
    </row>
    <row r="36" spans="1:14" x14ac:dyDescent="0.2">
      <c r="A36" t="s">
        <v>67</v>
      </c>
      <c r="B36" t="s">
        <v>129</v>
      </c>
      <c r="C36" t="s">
        <v>32</v>
      </c>
      <c r="D36">
        <v>34.137445247740203</v>
      </c>
      <c r="E36">
        <v>34.137445247740203</v>
      </c>
      <c r="F36" t="s">
        <v>67</v>
      </c>
      <c r="G36" s="1" t="s">
        <v>23</v>
      </c>
      <c r="H36">
        <v>1701</v>
      </c>
      <c r="I36">
        <f t="shared" ref="I36:J37" si="40">I35</f>
        <v>34.290814226292952</v>
      </c>
      <c r="J36">
        <f t="shared" si="40"/>
        <v>0.21689648951660534</v>
      </c>
      <c r="K36">
        <f>I8</f>
        <v>32.103245026870098</v>
      </c>
      <c r="L36">
        <f>I20</f>
        <v>19.402324003190166</v>
      </c>
      <c r="M36">
        <f t="shared" si="0"/>
        <v>2.1875691994228532</v>
      </c>
      <c r="N36">
        <f t="shared" si="1"/>
        <v>14.888490223102785</v>
      </c>
    </row>
    <row r="37" spans="1:14" x14ac:dyDescent="0.2">
      <c r="A37" t="s">
        <v>68</v>
      </c>
      <c r="B37" t="s">
        <v>129</v>
      </c>
      <c r="C37" t="s">
        <v>32</v>
      </c>
      <c r="E37">
        <v>24.2644706611526</v>
      </c>
      <c r="F37" t="s">
        <v>68</v>
      </c>
      <c r="G37" s="1" t="s">
        <v>23</v>
      </c>
      <c r="H37">
        <v>1701</v>
      </c>
      <c r="I37">
        <f t="shared" si="40"/>
        <v>34.290814226292952</v>
      </c>
      <c r="J37">
        <f t="shared" ref="J37" si="41">J35</f>
        <v>0.21689648951660534</v>
      </c>
      <c r="K37">
        <f>I8</f>
        <v>32.103245026870098</v>
      </c>
      <c r="L37">
        <f>I20</f>
        <v>19.402324003190166</v>
      </c>
      <c r="M37">
        <f t="shared" si="0"/>
        <v>2.1875691994228532</v>
      </c>
      <c r="N37">
        <f t="shared" si="1"/>
        <v>14.888490223102785</v>
      </c>
    </row>
    <row r="38" spans="1:14" x14ac:dyDescent="0.2">
      <c r="A38" t="s">
        <v>69</v>
      </c>
      <c r="B38" t="s">
        <v>129</v>
      </c>
      <c r="C38" t="s">
        <v>32</v>
      </c>
      <c r="E38">
        <v>34.6582165420172</v>
      </c>
      <c r="F38" t="s">
        <v>69</v>
      </c>
      <c r="G38" s="4" t="s">
        <v>15</v>
      </c>
      <c r="H38">
        <v>163</v>
      </c>
      <c r="I38">
        <f t="shared" ref="I38" si="42">AVERAGE(D38:D40)</f>
        <v>32.454730609885203</v>
      </c>
      <c r="J38">
        <f t="shared" ref="J38" si="43">STDEV(D38:D40)</f>
        <v>0.42633693201857065</v>
      </c>
      <c r="K38">
        <f>I2</f>
        <v>31.861568050671465</v>
      </c>
      <c r="L38">
        <f>I14</f>
        <v>15.6966884804306</v>
      </c>
      <c r="M38">
        <f t="shared" si="0"/>
        <v>0.59316255921373795</v>
      </c>
      <c r="N38">
        <f t="shared" si="1"/>
        <v>16.758042129454601</v>
      </c>
    </row>
    <row r="39" spans="1:14" x14ac:dyDescent="0.2">
      <c r="A39" t="s">
        <v>70</v>
      </c>
      <c r="B39" t="s">
        <v>129</v>
      </c>
      <c r="C39" t="s">
        <v>32</v>
      </c>
      <c r="D39">
        <v>32.1532648741846</v>
      </c>
      <c r="E39">
        <v>32.1532648741846</v>
      </c>
      <c r="F39" t="s">
        <v>70</v>
      </c>
      <c r="G39" s="4" t="s">
        <v>15</v>
      </c>
      <c r="H39">
        <v>163</v>
      </c>
      <c r="I39">
        <f t="shared" ref="I39:J39" si="44">I38</f>
        <v>32.454730609885203</v>
      </c>
      <c r="J39">
        <f t="shared" si="44"/>
        <v>0.42633693201857065</v>
      </c>
      <c r="K39">
        <f>I2</f>
        <v>31.861568050671465</v>
      </c>
      <c r="L39">
        <f>I14</f>
        <v>15.6966884804306</v>
      </c>
      <c r="M39">
        <f t="shared" si="0"/>
        <v>0.59316255921373795</v>
      </c>
      <c r="N39">
        <f t="shared" si="1"/>
        <v>16.758042129454601</v>
      </c>
    </row>
    <row r="40" spans="1:14" x14ac:dyDescent="0.2">
      <c r="A40" t="s">
        <v>71</v>
      </c>
      <c r="B40" t="s">
        <v>129</v>
      </c>
      <c r="C40" t="s">
        <v>32</v>
      </c>
      <c r="D40">
        <v>32.756196345585799</v>
      </c>
      <c r="E40">
        <v>32.756196345585799</v>
      </c>
      <c r="F40" t="s">
        <v>71</v>
      </c>
      <c r="G40" s="4" t="s">
        <v>15</v>
      </c>
      <c r="H40">
        <v>163</v>
      </c>
      <c r="I40">
        <f t="shared" ref="I40:J40" si="45">I38</f>
        <v>32.454730609885203</v>
      </c>
      <c r="J40">
        <f t="shared" si="45"/>
        <v>0.42633693201857065</v>
      </c>
      <c r="K40">
        <f>I2</f>
        <v>31.861568050671465</v>
      </c>
      <c r="L40">
        <f>I14</f>
        <v>15.6966884804306</v>
      </c>
      <c r="M40">
        <f t="shared" si="0"/>
        <v>0.59316255921373795</v>
      </c>
      <c r="N40">
        <f t="shared" si="1"/>
        <v>16.758042129454601</v>
      </c>
    </row>
    <row r="41" spans="1:14" x14ac:dyDescent="0.2">
      <c r="A41" t="s">
        <v>72</v>
      </c>
      <c r="B41" t="s">
        <v>129</v>
      </c>
      <c r="C41" t="s">
        <v>32</v>
      </c>
      <c r="D41">
        <v>32.8336199603349</v>
      </c>
      <c r="E41">
        <v>32.8336199603349</v>
      </c>
      <c r="F41" t="s">
        <v>72</v>
      </c>
      <c r="G41" s="1" t="s">
        <v>22</v>
      </c>
      <c r="H41">
        <v>163</v>
      </c>
      <c r="I41">
        <f t="shared" ref="I41" si="46">AVERAGE(D41:D43)</f>
        <v>32.9887518254219</v>
      </c>
      <c r="J41">
        <f t="shared" ref="J41" si="47">STDEV(D41:D43)</f>
        <v>0.21938958756226887</v>
      </c>
      <c r="K41">
        <f>I2</f>
        <v>31.861568050671465</v>
      </c>
      <c r="L41">
        <f>I14</f>
        <v>15.6966884804306</v>
      </c>
      <c r="M41">
        <f t="shared" si="0"/>
        <v>1.127183774750435</v>
      </c>
      <c r="N41">
        <f t="shared" si="1"/>
        <v>17.292063344991298</v>
      </c>
    </row>
    <row r="42" spans="1:14" x14ac:dyDescent="0.2">
      <c r="A42" t="s">
        <v>73</v>
      </c>
      <c r="B42" t="s">
        <v>129</v>
      </c>
      <c r="C42" t="s">
        <v>32</v>
      </c>
      <c r="D42">
        <v>33.1438836905089</v>
      </c>
      <c r="E42">
        <v>33.1438836905089</v>
      </c>
      <c r="F42" t="s">
        <v>73</v>
      </c>
      <c r="G42" s="1" t="s">
        <v>22</v>
      </c>
      <c r="H42">
        <v>163</v>
      </c>
      <c r="I42">
        <f t="shared" ref="I42:J43" si="48">I41</f>
        <v>32.9887518254219</v>
      </c>
      <c r="J42">
        <f t="shared" si="48"/>
        <v>0.21938958756226887</v>
      </c>
      <c r="K42">
        <f>I2</f>
        <v>31.861568050671465</v>
      </c>
      <c r="L42">
        <f>I14</f>
        <v>15.6966884804306</v>
      </c>
      <c r="M42">
        <f t="shared" si="0"/>
        <v>1.127183774750435</v>
      </c>
      <c r="N42">
        <f t="shared" si="1"/>
        <v>17.292063344991298</v>
      </c>
    </row>
    <row r="43" spans="1:14" x14ac:dyDescent="0.2">
      <c r="A43" t="s">
        <v>74</v>
      </c>
      <c r="B43" t="s">
        <v>129</v>
      </c>
      <c r="C43" t="s">
        <v>32</v>
      </c>
      <c r="E43">
        <v>34.496520368449303</v>
      </c>
      <c r="F43" t="s">
        <v>74</v>
      </c>
      <c r="G43" s="1" t="s">
        <v>22</v>
      </c>
      <c r="H43">
        <v>163</v>
      </c>
      <c r="I43">
        <f t="shared" si="48"/>
        <v>32.9887518254219</v>
      </c>
      <c r="J43">
        <f t="shared" ref="J43" si="49">J41</f>
        <v>0.21938958756226887</v>
      </c>
      <c r="K43">
        <f>I2</f>
        <v>31.861568050671465</v>
      </c>
      <c r="L43">
        <f>I14</f>
        <v>15.6966884804306</v>
      </c>
      <c r="M43">
        <f t="shared" si="0"/>
        <v>1.127183774750435</v>
      </c>
      <c r="N43">
        <f t="shared" si="1"/>
        <v>17.292063344991298</v>
      </c>
    </row>
    <row r="44" spans="1:14" x14ac:dyDescent="0.2">
      <c r="A44" t="s">
        <v>75</v>
      </c>
      <c r="B44" t="s">
        <v>129</v>
      </c>
      <c r="C44" t="s">
        <v>32</v>
      </c>
      <c r="D44">
        <v>31.059050221816499</v>
      </c>
      <c r="E44">
        <v>31.059050221816499</v>
      </c>
      <c r="F44" t="s">
        <v>75</v>
      </c>
      <c r="G44" s="4" t="s">
        <v>15</v>
      </c>
      <c r="H44">
        <v>1701</v>
      </c>
      <c r="I44">
        <f t="shared" ref="I44" si="50">AVERAGE(D44:D46)</f>
        <v>31.066049045379</v>
      </c>
      <c r="J44">
        <f t="shared" ref="J44" si="51">STDEV(D44:D46)</f>
        <v>9.8978312027454985E-3</v>
      </c>
      <c r="K44">
        <f>I8</f>
        <v>32.103245026870098</v>
      </c>
      <c r="L44">
        <f>I20</f>
        <v>19.402324003190166</v>
      </c>
      <c r="M44">
        <f t="shared" si="0"/>
        <v>-1.0371959814910987</v>
      </c>
      <c r="N44">
        <f t="shared" si="1"/>
        <v>11.663725042188833</v>
      </c>
    </row>
    <row r="45" spans="1:14" x14ac:dyDescent="0.2">
      <c r="A45" t="s">
        <v>76</v>
      </c>
      <c r="B45" t="s">
        <v>129</v>
      </c>
      <c r="C45" t="s">
        <v>32</v>
      </c>
      <c r="E45">
        <v>31.955056083472499</v>
      </c>
      <c r="F45" t="s">
        <v>76</v>
      </c>
      <c r="G45" s="4" t="s">
        <v>15</v>
      </c>
      <c r="H45">
        <v>1701</v>
      </c>
      <c r="I45">
        <f t="shared" ref="I45:J45" si="52">I44</f>
        <v>31.066049045379</v>
      </c>
      <c r="J45">
        <f t="shared" si="52"/>
        <v>9.8978312027454985E-3</v>
      </c>
      <c r="K45">
        <f>I8</f>
        <v>32.103245026870098</v>
      </c>
      <c r="L45">
        <f>I20</f>
        <v>19.402324003190166</v>
      </c>
      <c r="M45">
        <f t="shared" si="0"/>
        <v>-1.0371959814910987</v>
      </c>
      <c r="N45">
        <f t="shared" si="1"/>
        <v>11.663725042188833</v>
      </c>
    </row>
    <row r="46" spans="1:14" x14ac:dyDescent="0.2">
      <c r="A46" t="s">
        <v>77</v>
      </c>
      <c r="B46" t="s">
        <v>129</v>
      </c>
      <c r="C46" t="s">
        <v>32</v>
      </c>
      <c r="D46">
        <v>31.073047868941501</v>
      </c>
      <c r="E46">
        <v>31.073047868941501</v>
      </c>
      <c r="F46" t="s">
        <v>77</v>
      </c>
      <c r="G46" s="4" t="s">
        <v>15</v>
      </c>
      <c r="H46">
        <v>1701</v>
      </c>
      <c r="I46">
        <f t="shared" ref="I46:J46" si="53">I44</f>
        <v>31.066049045379</v>
      </c>
      <c r="J46">
        <f t="shared" si="53"/>
        <v>9.8978312027454985E-3</v>
      </c>
      <c r="K46">
        <f>I8</f>
        <v>32.103245026870098</v>
      </c>
      <c r="L46">
        <f>I20</f>
        <v>19.402324003190166</v>
      </c>
      <c r="M46">
        <f t="shared" si="0"/>
        <v>-1.0371959814910987</v>
      </c>
      <c r="N46">
        <f t="shared" si="1"/>
        <v>11.663725042188833</v>
      </c>
    </row>
    <row r="47" spans="1:14" x14ac:dyDescent="0.2">
      <c r="A47" t="s">
        <v>78</v>
      </c>
      <c r="B47" t="s">
        <v>129</v>
      </c>
      <c r="C47" t="s">
        <v>32</v>
      </c>
      <c r="E47">
        <v>34.650657530314</v>
      </c>
      <c r="F47" t="s">
        <v>78</v>
      </c>
      <c r="G47" s="1" t="s">
        <v>22</v>
      </c>
      <c r="H47">
        <v>1701</v>
      </c>
      <c r="I47" t="e">
        <f t="shared" ref="I47" si="54">AVERAGE(D47:D49)</f>
        <v>#DIV/0!</v>
      </c>
      <c r="J47" t="e">
        <f t="shared" ref="J47" si="55">STDEV(D47:D49)</f>
        <v>#DIV/0!</v>
      </c>
      <c r="K47">
        <f>I8</f>
        <v>32.103245026870098</v>
      </c>
      <c r="L47">
        <f>I20</f>
        <v>19.402324003190166</v>
      </c>
      <c r="M47" t="e">
        <f t="shared" si="0"/>
        <v>#DIV/0!</v>
      </c>
      <c r="N47" t="e">
        <f t="shared" si="1"/>
        <v>#DIV/0!</v>
      </c>
    </row>
    <row r="48" spans="1:14" x14ac:dyDescent="0.2">
      <c r="A48" t="s">
        <v>79</v>
      </c>
      <c r="B48" t="s">
        <v>129</v>
      </c>
      <c r="C48" t="s">
        <v>32</v>
      </c>
      <c r="E48">
        <v>32.589886745134301</v>
      </c>
      <c r="F48" t="s">
        <v>79</v>
      </c>
      <c r="G48" s="1" t="s">
        <v>22</v>
      </c>
      <c r="H48">
        <v>1701</v>
      </c>
      <c r="I48" t="e">
        <f t="shared" ref="I48:J49" si="56">I47</f>
        <v>#DIV/0!</v>
      </c>
      <c r="J48" t="e">
        <f t="shared" si="56"/>
        <v>#DIV/0!</v>
      </c>
      <c r="K48">
        <f>I8</f>
        <v>32.103245026870098</v>
      </c>
      <c r="L48">
        <f>I20</f>
        <v>19.402324003190166</v>
      </c>
      <c r="M48" t="e">
        <f t="shared" si="0"/>
        <v>#DIV/0!</v>
      </c>
      <c r="N48" t="e">
        <f t="shared" si="1"/>
        <v>#DIV/0!</v>
      </c>
    </row>
    <row r="49" spans="1:14" x14ac:dyDescent="0.2">
      <c r="A49" t="s">
        <v>80</v>
      </c>
      <c r="B49" t="s">
        <v>129</v>
      </c>
      <c r="C49" t="s">
        <v>32</v>
      </c>
      <c r="E49">
        <v>38.940700498504803</v>
      </c>
      <c r="F49" t="s">
        <v>80</v>
      </c>
      <c r="G49" s="1" t="s">
        <v>22</v>
      </c>
      <c r="H49">
        <v>1701</v>
      </c>
      <c r="I49" t="e">
        <f t="shared" si="56"/>
        <v>#DIV/0!</v>
      </c>
      <c r="J49" t="e">
        <f t="shared" ref="J49" si="57">J47</f>
        <v>#DIV/0!</v>
      </c>
      <c r="K49">
        <f>I8</f>
        <v>32.103245026870098</v>
      </c>
      <c r="L49">
        <f>I20</f>
        <v>19.402324003190166</v>
      </c>
      <c r="M49" t="e">
        <f t="shared" si="0"/>
        <v>#DIV/0!</v>
      </c>
      <c r="N49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E50">
        <v>33.364388130360098</v>
      </c>
      <c r="F50" t="s">
        <v>81</v>
      </c>
      <c r="G50" s="4" t="s">
        <v>16</v>
      </c>
      <c r="H50">
        <v>163</v>
      </c>
      <c r="I50">
        <f t="shared" ref="I50" si="58">AVERAGE(D50:D52)</f>
        <v>31.492890782781799</v>
      </c>
      <c r="J50">
        <f t="shared" ref="J50" si="59">STDEV(D50:D52)</f>
        <v>0.4796110329789483</v>
      </c>
      <c r="K50">
        <f>I2</f>
        <v>31.861568050671465</v>
      </c>
      <c r="L50">
        <f>I14</f>
        <v>15.6966884804306</v>
      </c>
      <c r="M50">
        <f t="shared" si="0"/>
        <v>-0.36867726788966593</v>
      </c>
      <c r="N50">
        <f t="shared" si="1"/>
        <v>15.796202302351199</v>
      </c>
    </row>
    <row r="51" spans="1:14" x14ac:dyDescent="0.2">
      <c r="A51" t="s">
        <v>82</v>
      </c>
      <c r="B51" t="s">
        <v>129</v>
      </c>
      <c r="C51" t="s">
        <v>32</v>
      </c>
      <c r="D51">
        <v>31.832026996533099</v>
      </c>
      <c r="E51">
        <v>31.832026996533099</v>
      </c>
      <c r="F51" t="s">
        <v>82</v>
      </c>
      <c r="G51" s="4" t="s">
        <v>16</v>
      </c>
      <c r="H51">
        <v>163</v>
      </c>
      <c r="I51">
        <f t="shared" ref="I51:J51" si="60">I50</f>
        <v>31.492890782781799</v>
      </c>
      <c r="J51">
        <f t="shared" si="60"/>
        <v>0.4796110329789483</v>
      </c>
      <c r="K51">
        <f>I2</f>
        <v>31.861568050671465</v>
      </c>
      <c r="L51">
        <f>I14</f>
        <v>15.6966884804306</v>
      </c>
      <c r="M51">
        <f t="shared" si="0"/>
        <v>-0.36867726788966593</v>
      </c>
      <c r="N51">
        <f t="shared" si="1"/>
        <v>15.796202302351199</v>
      </c>
    </row>
    <row r="52" spans="1:14" x14ac:dyDescent="0.2">
      <c r="A52" t="s">
        <v>83</v>
      </c>
      <c r="B52" t="s">
        <v>129</v>
      </c>
      <c r="C52" t="s">
        <v>32</v>
      </c>
      <c r="D52">
        <v>31.1537545690305</v>
      </c>
      <c r="E52">
        <v>31.1537545690305</v>
      </c>
      <c r="F52" t="s">
        <v>83</v>
      </c>
      <c r="G52" s="4" t="s">
        <v>16</v>
      </c>
      <c r="H52">
        <v>163</v>
      </c>
      <c r="I52">
        <f t="shared" ref="I52:J52" si="61">I50</f>
        <v>31.492890782781799</v>
      </c>
      <c r="J52">
        <f t="shared" si="61"/>
        <v>0.4796110329789483</v>
      </c>
      <c r="K52">
        <f>I2</f>
        <v>31.861568050671465</v>
      </c>
      <c r="L52">
        <f>I14</f>
        <v>15.6966884804306</v>
      </c>
      <c r="M52">
        <f t="shared" si="0"/>
        <v>-0.36867726788966593</v>
      </c>
      <c r="N52">
        <f t="shared" si="1"/>
        <v>15.796202302351199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35.6131688567541</v>
      </c>
      <c r="F53" s="17" t="s">
        <v>84</v>
      </c>
      <c r="G53" s="19" t="s">
        <v>24</v>
      </c>
      <c r="H53" s="17">
        <v>163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31.861568050671465</v>
      </c>
      <c r="L53" s="17">
        <f>I14</f>
        <v>15.6966884804306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>
        <v>33.711800648889998</v>
      </c>
      <c r="F54" s="17" t="s">
        <v>85</v>
      </c>
      <c r="G54" s="19" t="s">
        <v>24</v>
      </c>
      <c r="H54" s="17">
        <v>163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31.861568050671465</v>
      </c>
      <c r="L54" s="17">
        <f>I14</f>
        <v>15.6966884804306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32.460826438972298</v>
      </c>
      <c r="F55" s="17" t="s">
        <v>86</v>
      </c>
      <c r="G55" s="19" t="s">
        <v>24</v>
      </c>
      <c r="H55" s="17">
        <v>163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31.861568050671465</v>
      </c>
      <c r="L55" s="17">
        <f>I14</f>
        <v>15.6966884804306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31.0203201319508</v>
      </c>
      <c r="E56">
        <v>31.0203201319508</v>
      </c>
      <c r="F56" t="s">
        <v>87</v>
      </c>
      <c r="G56" s="4" t="s">
        <v>16</v>
      </c>
      <c r="H56">
        <v>1701</v>
      </c>
      <c r="I56">
        <f t="shared" ref="I56" si="66">AVERAGE(D56:D58)</f>
        <v>31.140369135303999</v>
      </c>
      <c r="J56">
        <f t="shared" ref="J56" si="67">STDEV(D56:D58)</f>
        <v>0.16977492869146893</v>
      </c>
      <c r="K56">
        <f>I8</f>
        <v>32.103245026870098</v>
      </c>
      <c r="L56">
        <f>I20</f>
        <v>19.402324003190166</v>
      </c>
      <c r="M56">
        <f t="shared" si="0"/>
        <v>-0.96287589156609954</v>
      </c>
      <c r="N56">
        <f t="shared" si="1"/>
        <v>11.738045132113832</v>
      </c>
    </row>
    <row r="57" spans="1:14" x14ac:dyDescent="0.2">
      <c r="A57" t="s">
        <v>88</v>
      </c>
      <c r="B57" t="s">
        <v>129</v>
      </c>
      <c r="C57" t="s">
        <v>32</v>
      </c>
      <c r="E57">
        <v>30.5531425615007</v>
      </c>
      <c r="F57" t="s">
        <v>88</v>
      </c>
      <c r="G57" s="4" t="s">
        <v>16</v>
      </c>
      <c r="H57">
        <v>1701</v>
      </c>
      <c r="I57">
        <f t="shared" ref="I57:J57" si="68">I56</f>
        <v>31.140369135303999</v>
      </c>
      <c r="J57">
        <f t="shared" si="68"/>
        <v>0.16977492869146893</v>
      </c>
      <c r="K57">
        <f>I8</f>
        <v>32.103245026870098</v>
      </c>
      <c r="L57">
        <f>I20</f>
        <v>19.402324003190166</v>
      </c>
      <c r="M57">
        <f t="shared" si="0"/>
        <v>-0.96287589156609954</v>
      </c>
      <c r="N57">
        <f t="shared" si="1"/>
        <v>11.738045132113832</v>
      </c>
    </row>
    <row r="58" spans="1:14" x14ac:dyDescent="0.2">
      <c r="A58" t="s">
        <v>89</v>
      </c>
      <c r="B58" t="s">
        <v>129</v>
      </c>
      <c r="C58" t="s">
        <v>32</v>
      </c>
      <c r="D58">
        <v>31.260418138657201</v>
      </c>
      <c r="E58">
        <v>31.260418138657201</v>
      </c>
      <c r="F58" t="s">
        <v>89</v>
      </c>
      <c r="G58" s="4" t="s">
        <v>16</v>
      </c>
      <c r="H58">
        <v>1701</v>
      </c>
      <c r="I58">
        <f t="shared" ref="I58:J58" si="69">I56</f>
        <v>31.140369135303999</v>
      </c>
      <c r="J58">
        <f t="shared" si="69"/>
        <v>0.16977492869146893</v>
      </c>
      <c r="K58">
        <f>I8</f>
        <v>32.103245026870098</v>
      </c>
      <c r="L58">
        <f>I20</f>
        <v>19.402324003190166</v>
      </c>
      <c r="M58">
        <f t="shared" si="0"/>
        <v>-0.96287589156609954</v>
      </c>
      <c r="N58">
        <f t="shared" si="1"/>
        <v>11.738045132113832</v>
      </c>
    </row>
    <row r="59" spans="1:14" x14ac:dyDescent="0.2">
      <c r="A59" t="s">
        <v>90</v>
      </c>
      <c r="B59" t="s">
        <v>129</v>
      </c>
      <c r="C59" t="s">
        <v>32</v>
      </c>
      <c r="D59">
        <v>31.589994511842601</v>
      </c>
      <c r="E59">
        <v>31.589994511842601</v>
      </c>
      <c r="F59" t="s">
        <v>90</v>
      </c>
      <c r="G59" s="1" t="s">
        <v>24</v>
      </c>
      <c r="H59">
        <v>1701</v>
      </c>
      <c r="I59">
        <f t="shared" ref="I59" si="70">AVERAGE(D59:D61)</f>
        <v>31.426862735114248</v>
      </c>
      <c r="J59">
        <f t="shared" ref="J59" si="71">STDEV(D59:D61)</f>
        <v>0.23070317110325347</v>
      </c>
      <c r="K59">
        <f>I8</f>
        <v>32.103245026870098</v>
      </c>
      <c r="L59">
        <f>I20</f>
        <v>19.402324003190166</v>
      </c>
      <c r="M59">
        <f t="shared" si="0"/>
        <v>-0.67638229175584996</v>
      </c>
      <c r="N59">
        <f t="shared" si="1"/>
        <v>12.024538731924082</v>
      </c>
    </row>
    <row r="60" spans="1:14" x14ac:dyDescent="0.2">
      <c r="A60" t="s">
        <v>91</v>
      </c>
      <c r="B60" t="s">
        <v>129</v>
      </c>
      <c r="C60" t="s">
        <v>32</v>
      </c>
      <c r="D60">
        <v>31.263730958385899</v>
      </c>
      <c r="E60">
        <v>31.263730958385899</v>
      </c>
      <c r="F60" t="s">
        <v>91</v>
      </c>
      <c r="G60" s="1" t="s">
        <v>24</v>
      </c>
      <c r="H60">
        <v>1701</v>
      </c>
      <c r="I60">
        <f t="shared" ref="I60:J61" si="72">I59</f>
        <v>31.426862735114248</v>
      </c>
      <c r="J60">
        <f t="shared" si="72"/>
        <v>0.23070317110325347</v>
      </c>
      <c r="K60">
        <f>I8</f>
        <v>32.103245026870098</v>
      </c>
      <c r="L60">
        <f>I20</f>
        <v>19.402324003190166</v>
      </c>
      <c r="M60">
        <f t="shared" si="0"/>
        <v>-0.67638229175584996</v>
      </c>
      <c r="N60">
        <f t="shared" si="1"/>
        <v>12.024538731924082</v>
      </c>
    </row>
    <row r="61" spans="1:14" x14ac:dyDescent="0.2">
      <c r="A61" t="s">
        <v>92</v>
      </c>
      <c r="B61" t="s">
        <v>129</v>
      </c>
      <c r="C61" t="s">
        <v>32</v>
      </c>
      <c r="D61" t="s">
        <v>33</v>
      </c>
      <c r="E61" t="s">
        <v>33</v>
      </c>
      <c r="F61" t="s">
        <v>92</v>
      </c>
      <c r="G61" s="1" t="s">
        <v>24</v>
      </c>
      <c r="H61">
        <v>1701</v>
      </c>
      <c r="I61">
        <f t="shared" si="72"/>
        <v>31.426862735114248</v>
      </c>
      <c r="J61">
        <f t="shared" ref="J61" si="73">J59</f>
        <v>0.23070317110325347</v>
      </c>
      <c r="K61">
        <f>I8</f>
        <v>32.103245026870098</v>
      </c>
      <c r="L61">
        <f>I20</f>
        <v>19.402324003190166</v>
      </c>
      <c r="M61">
        <f t="shared" si="0"/>
        <v>-0.67638229175584996</v>
      </c>
      <c r="N61">
        <f t="shared" si="1"/>
        <v>12.024538731924082</v>
      </c>
    </row>
    <row r="62" spans="1:14" x14ac:dyDescent="0.2">
      <c r="A62" t="s">
        <v>93</v>
      </c>
      <c r="B62" t="s">
        <v>129</v>
      </c>
      <c r="C62" t="s">
        <v>32</v>
      </c>
      <c r="E62">
        <v>32.620257601593799</v>
      </c>
      <c r="F62" t="s">
        <v>93</v>
      </c>
      <c r="G62" s="4" t="s">
        <v>17</v>
      </c>
      <c r="H62">
        <v>163</v>
      </c>
      <c r="I62">
        <f t="shared" ref="I62" si="74">AVERAGE(D62:D64)</f>
        <v>31.748375385162902</v>
      </c>
      <c r="J62">
        <f t="shared" ref="J62" si="75">STDEV(D62:D64)</f>
        <v>0.23238590010459723</v>
      </c>
      <c r="K62">
        <f>I2</f>
        <v>31.861568050671465</v>
      </c>
      <c r="L62">
        <f>I14</f>
        <v>15.6966884804306</v>
      </c>
      <c r="M62">
        <f t="shared" si="0"/>
        <v>-0.11319266550856355</v>
      </c>
      <c r="N62">
        <f t="shared" si="1"/>
        <v>16.0516869047323</v>
      </c>
    </row>
    <row r="63" spans="1:14" x14ac:dyDescent="0.2">
      <c r="A63" t="s">
        <v>94</v>
      </c>
      <c r="B63" t="s">
        <v>129</v>
      </c>
      <c r="C63" t="s">
        <v>32</v>
      </c>
      <c r="D63">
        <v>31.5840537393468</v>
      </c>
      <c r="E63">
        <v>31.5840537393468</v>
      </c>
      <c r="F63" t="s">
        <v>94</v>
      </c>
      <c r="G63" s="4" t="s">
        <v>17</v>
      </c>
      <c r="H63">
        <v>163</v>
      </c>
      <c r="I63">
        <f t="shared" ref="I63:J63" si="76">I62</f>
        <v>31.748375385162902</v>
      </c>
      <c r="J63">
        <f t="shared" si="76"/>
        <v>0.23238590010459723</v>
      </c>
      <c r="K63">
        <f>I2</f>
        <v>31.861568050671465</v>
      </c>
      <c r="L63">
        <f>I14</f>
        <v>15.6966884804306</v>
      </c>
      <c r="M63">
        <f t="shared" si="0"/>
        <v>-0.11319266550856355</v>
      </c>
      <c r="N63">
        <f t="shared" si="1"/>
        <v>16.0516869047323</v>
      </c>
    </row>
    <row r="64" spans="1:14" x14ac:dyDescent="0.2">
      <c r="A64" t="s">
        <v>95</v>
      </c>
      <c r="B64" t="s">
        <v>129</v>
      </c>
      <c r="C64" t="s">
        <v>32</v>
      </c>
      <c r="D64">
        <v>31.912697030979</v>
      </c>
      <c r="E64">
        <v>31.912697030979</v>
      </c>
      <c r="F64" t="s">
        <v>95</v>
      </c>
      <c r="G64" s="4" t="s">
        <v>17</v>
      </c>
      <c r="H64">
        <v>163</v>
      </c>
      <c r="I64">
        <f t="shared" ref="I64:J64" si="77">I62</f>
        <v>31.748375385162902</v>
      </c>
      <c r="J64">
        <f t="shared" si="77"/>
        <v>0.23238590010459723</v>
      </c>
      <c r="K64">
        <f>I2</f>
        <v>31.861568050671465</v>
      </c>
      <c r="L64">
        <f>I14</f>
        <v>15.6966884804306</v>
      </c>
      <c r="M64">
        <f t="shared" si="0"/>
        <v>-0.11319266550856355</v>
      </c>
      <c r="N64">
        <f t="shared" si="1"/>
        <v>16.0516869047323</v>
      </c>
    </row>
    <row r="65" spans="1:14" x14ac:dyDescent="0.2">
      <c r="A65" t="s">
        <v>96</v>
      </c>
      <c r="B65" t="s">
        <v>129</v>
      </c>
      <c r="C65" t="s">
        <v>32</v>
      </c>
      <c r="D65">
        <v>31.7683380322269</v>
      </c>
      <c r="E65">
        <v>31.7683380322269</v>
      </c>
      <c r="F65" t="s">
        <v>96</v>
      </c>
      <c r="G65" s="1" t="s">
        <v>25</v>
      </c>
      <c r="H65">
        <v>163</v>
      </c>
      <c r="I65">
        <f t="shared" ref="I65" si="78">AVERAGE(D65:D67)</f>
        <v>31.912833861620001</v>
      </c>
      <c r="J65">
        <f t="shared" ref="J65" si="79">STDEV(D65:D67)</f>
        <v>0.20434796163407221</v>
      </c>
      <c r="K65">
        <f>I2</f>
        <v>31.861568050671465</v>
      </c>
      <c r="L65">
        <f>I14</f>
        <v>15.6966884804306</v>
      </c>
      <c r="M65">
        <f t="shared" si="0"/>
        <v>5.1265810948535773E-2</v>
      </c>
      <c r="N65">
        <f t="shared" si="1"/>
        <v>16.216145381189399</v>
      </c>
    </row>
    <row r="66" spans="1:14" x14ac:dyDescent="0.2">
      <c r="A66" t="s">
        <v>97</v>
      </c>
      <c r="B66" t="s">
        <v>129</v>
      </c>
      <c r="C66" t="s">
        <v>32</v>
      </c>
      <c r="E66">
        <v>32.511870196906699</v>
      </c>
      <c r="F66" t="s">
        <v>97</v>
      </c>
      <c r="G66" s="1" t="s">
        <v>25</v>
      </c>
      <c r="H66">
        <v>163</v>
      </c>
      <c r="I66">
        <f t="shared" ref="I66:J67" si="80">I65</f>
        <v>31.912833861620001</v>
      </c>
      <c r="J66">
        <f t="shared" si="80"/>
        <v>0.20434796163407221</v>
      </c>
      <c r="K66">
        <f>I2</f>
        <v>31.861568050671465</v>
      </c>
      <c r="L66">
        <f>I14</f>
        <v>15.6966884804306</v>
      </c>
      <c r="M66">
        <f t="shared" si="0"/>
        <v>5.1265810948535773E-2</v>
      </c>
      <c r="N66">
        <f t="shared" si="1"/>
        <v>16.216145381189399</v>
      </c>
    </row>
    <row r="67" spans="1:14" x14ac:dyDescent="0.2">
      <c r="A67" t="s">
        <v>98</v>
      </c>
      <c r="B67" t="s">
        <v>129</v>
      </c>
      <c r="C67" t="s">
        <v>32</v>
      </c>
      <c r="D67">
        <v>32.057329691013102</v>
      </c>
      <c r="E67">
        <v>32.057329691013102</v>
      </c>
      <c r="F67" t="s">
        <v>98</v>
      </c>
      <c r="G67" s="1" t="s">
        <v>25</v>
      </c>
      <c r="H67">
        <v>163</v>
      </c>
      <c r="I67">
        <f t="shared" si="80"/>
        <v>31.912833861620001</v>
      </c>
      <c r="J67">
        <f t="shared" ref="J67" si="81">J65</f>
        <v>0.20434796163407221</v>
      </c>
      <c r="K67">
        <f>I2</f>
        <v>31.861568050671465</v>
      </c>
      <c r="L67">
        <f>I14</f>
        <v>15.6966884804306</v>
      </c>
      <c r="M67">
        <f t="shared" ref="M67:M97" si="82">I67-K67</f>
        <v>5.1265810948535773E-2</v>
      </c>
      <c r="N67">
        <f t="shared" ref="N67:N97" si="83">I67-L67</f>
        <v>16.216145381189399</v>
      </c>
    </row>
    <row r="68" spans="1:14" x14ac:dyDescent="0.2">
      <c r="A68" t="s">
        <v>99</v>
      </c>
      <c r="B68" t="s">
        <v>129</v>
      </c>
      <c r="C68" t="s">
        <v>32</v>
      </c>
      <c r="D68">
        <v>31.669309604797899</v>
      </c>
      <c r="E68">
        <v>31.669309604797899</v>
      </c>
      <c r="F68" t="s">
        <v>99</v>
      </c>
      <c r="G68" s="4" t="s">
        <v>17</v>
      </c>
      <c r="H68">
        <v>1701</v>
      </c>
      <c r="I68">
        <f t="shared" ref="I68" si="84">AVERAGE(D68:D70)</f>
        <v>31.547131201347547</v>
      </c>
      <c r="J68">
        <f t="shared" ref="J68" si="85">STDEV(D68:D70)</f>
        <v>0.17278635518857724</v>
      </c>
      <c r="K68">
        <f>I8</f>
        <v>32.103245026870098</v>
      </c>
      <c r="L68">
        <f>I20</f>
        <v>19.402324003190166</v>
      </c>
      <c r="M68">
        <f t="shared" si="82"/>
        <v>-0.55611382552255151</v>
      </c>
      <c r="N68">
        <f t="shared" si="83"/>
        <v>12.14480719815738</v>
      </c>
    </row>
    <row r="69" spans="1:14" x14ac:dyDescent="0.2">
      <c r="A69" t="s">
        <v>100</v>
      </c>
      <c r="B69" t="s">
        <v>129</v>
      </c>
      <c r="C69" t="s">
        <v>32</v>
      </c>
      <c r="D69">
        <v>31.424952797897198</v>
      </c>
      <c r="E69">
        <v>31.424952797897198</v>
      </c>
      <c r="F69" t="s">
        <v>100</v>
      </c>
      <c r="G69" s="4" t="s">
        <v>17</v>
      </c>
      <c r="H69">
        <v>1701</v>
      </c>
      <c r="I69">
        <f t="shared" ref="I69:J69" si="86">I68</f>
        <v>31.547131201347547</v>
      </c>
      <c r="J69">
        <f t="shared" si="86"/>
        <v>0.17278635518857724</v>
      </c>
      <c r="K69">
        <f>I8</f>
        <v>32.103245026870098</v>
      </c>
      <c r="L69">
        <f>I20</f>
        <v>19.402324003190166</v>
      </c>
      <c r="M69">
        <f t="shared" si="82"/>
        <v>-0.55611382552255151</v>
      </c>
      <c r="N69">
        <f t="shared" si="83"/>
        <v>12.14480719815738</v>
      </c>
    </row>
    <row r="70" spans="1:14" x14ac:dyDescent="0.2">
      <c r="A70" t="s">
        <v>101</v>
      </c>
      <c r="B70" t="s">
        <v>129</v>
      </c>
      <c r="C70" t="s">
        <v>32</v>
      </c>
      <c r="E70">
        <v>32.023445794007799</v>
      </c>
      <c r="F70" t="s">
        <v>101</v>
      </c>
      <c r="G70" s="4" t="s">
        <v>17</v>
      </c>
      <c r="H70">
        <v>1701</v>
      </c>
      <c r="I70">
        <f t="shared" ref="I70:J70" si="87">I68</f>
        <v>31.547131201347547</v>
      </c>
      <c r="J70">
        <f t="shared" si="87"/>
        <v>0.17278635518857724</v>
      </c>
      <c r="K70">
        <f>I8</f>
        <v>32.103245026870098</v>
      </c>
      <c r="L70">
        <f>I20</f>
        <v>19.402324003190166</v>
      </c>
      <c r="M70">
        <f t="shared" si="82"/>
        <v>-0.55611382552255151</v>
      </c>
      <c r="N70">
        <f t="shared" si="83"/>
        <v>12.14480719815738</v>
      </c>
    </row>
    <row r="71" spans="1:14" x14ac:dyDescent="0.2">
      <c r="A71" t="s">
        <v>102</v>
      </c>
      <c r="B71" t="s">
        <v>129</v>
      </c>
      <c r="C71" t="s">
        <v>32</v>
      </c>
      <c r="D71">
        <v>31.0330563606719</v>
      </c>
      <c r="E71">
        <v>31.0330563606719</v>
      </c>
      <c r="F71" t="s">
        <v>102</v>
      </c>
      <c r="G71" s="1" t="s">
        <v>25</v>
      </c>
      <c r="H71">
        <v>1701</v>
      </c>
      <c r="I71">
        <f t="shared" ref="I71" si="88">AVERAGE(D71:D73)</f>
        <v>31.1174004898145</v>
      </c>
      <c r="J71">
        <f t="shared" ref="J71" si="89">STDEV(D71:D73)</f>
        <v>0.11928061134001325</v>
      </c>
      <c r="K71">
        <f>I8</f>
        <v>32.103245026870098</v>
      </c>
      <c r="L71">
        <f>I20</f>
        <v>19.402324003190166</v>
      </c>
      <c r="M71">
        <f t="shared" si="82"/>
        <v>-0.98584453705559838</v>
      </c>
      <c r="N71">
        <f t="shared" si="83"/>
        <v>11.715076486624334</v>
      </c>
    </row>
    <row r="72" spans="1:14" x14ac:dyDescent="0.2">
      <c r="A72" t="s">
        <v>103</v>
      </c>
      <c r="B72" t="s">
        <v>129</v>
      </c>
      <c r="C72" t="s">
        <v>32</v>
      </c>
      <c r="D72">
        <v>31.2017446189571</v>
      </c>
      <c r="E72">
        <v>31.2017446189571</v>
      </c>
      <c r="F72" t="s">
        <v>103</v>
      </c>
      <c r="G72" s="1" t="s">
        <v>25</v>
      </c>
      <c r="H72">
        <v>1701</v>
      </c>
      <c r="I72">
        <f t="shared" ref="I72:J73" si="90">I71</f>
        <v>31.1174004898145</v>
      </c>
      <c r="J72">
        <f t="shared" si="90"/>
        <v>0.11928061134001325</v>
      </c>
      <c r="K72">
        <f>I8</f>
        <v>32.103245026870098</v>
      </c>
      <c r="L72">
        <f>I20</f>
        <v>19.402324003190166</v>
      </c>
      <c r="M72">
        <f t="shared" si="82"/>
        <v>-0.98584453705559838</v>
      </c>
      <c r="N72">
        <f t="shared" si="83"/>
        <v>11.715076486624334</v>
      </c>
    </row>
    <row r="73" spans="1:14" x14ac:dyDescent="0.2">
      <c r="A73" t="s">
        <v>104</v>
      </c>
      <c r="B73" t="s">
        <v>129</v>
      </c>
      <c r="C73" t="s">
        <v>32</v>
      </c>
      <c r="E73">
        <v>31.6196796365812</v>
      </c>
      <c r="F73" t="s">
        <v>104</v>
      </c>
      <c r="G73" s="1" t="s">
        <v>25</v>
      </c>
      <c r="H73">
        <v>1701</v>
      </c>
      <c r="I73">
        <f t="shared" si="90"/>
        <v>31.1174004898145</v>
      </c>
      <c r="J73">
        <f t="shared" ref="J73" si="91">J71</f>
        <v>0.11928061134001325</v>
      </c>
      <c r="K73">
        <f>I8</f>
        <v>32.103245026870098</v>
      </c>
      <c r="L73">
        <f>I20</f>
        <v>19.402324003190166</v>
      </c>
      <c r="M73">
        <f t="shared" si="82"/>
        <v>-0.98584453705559838</v>
      </c>
      <c r="N73">
        <f t="shared" si="83"/>
        <v>11.715076486624334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33.874798312488998</v>
      </c>
      <c r="F74" s="17" t="s">
        <v>105</v>
      </c>
      <c r="G74" s="20" t="s">
        <v>18</v>
      </c>
      <c r="H74" s="17">
        <v>163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31.861568050671465</v>
      </c>
      <c r="L74" s="17">
        <f>I14</f>
        <v>15.6966884804306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 t="s">
        <v>33</v>
      </c>
      <c r="F75" s="17" t="s">
        <v>106</v>
      </c>
      <c r="G75" s="20" t="s">
        <v>18</v>
      </c>
      <c r="H75" s="17">
        <v>163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31.861568050671465</v>
      </c>
      <c r="L75" s="17">
        <f>I14</f>
        <v>15.6966884804306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 t="s">
        <v>33</v>
      </c>
      <c r="F76" s="17" t="s">
        <v>107</v>
      </c>
      <c r="G76" s="20" t="s">
        <v>18</v>
      </c>
      <c r="H76" s="17">
        <v>163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31.861568050671465</v>
      </c>
      <c r="L76" s="17">
        <f>I14</f>
        <v>15.6966884804306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>
        <v>32.000992612036796</v>
      </c>
      <c r="E77">
        <v>32.000992612036796</v>
      </c>
      <c r="F77" t="s">
        <v>108</v>
      </c>
      <c r="G77" s="16" t="s">
        <v>144</v>
      </c>
      <c r="I77">
        <f t="shared" ref="I77" si="95">AVERAGE(D77:D79)</f>
        <v>31.861568050671465</v>
      </c>
      <c r="J77">
        <f t="shared" ref="J77" si="96">STDEV(D77:D79)</f>
        <v>0.20753101115526057</v>
      </c>
      <c r="K77">
        <f>I2</f>
        <v>31.861568050671465</v>
      </c>
      <c r="L77">
        <f>I14</f>
        <v>15.6966884804306</v>
      </c>
      <c r="M77">
        <f t="shared" si="82"/>
        <v>0</v>
      </c>
      <c r="N77">
        <f t="shared" si="83"/>
        <v>16.164879570240863</v>
      </c>
    </row>
    <row r="78" spans="1:14" x14ac:dyDescent="0.2">
      <c r="A78" t="s">
        <v>109</v>
      </c>
      <c r="B78" t="s">
        <v>129</v>
      </c>
      <c r="C78" t="s">
        <v>32</v>
      </c>
      <c r="D78">
        <v>31.623066806021399</v>
      </c>
      <c r="E78">
        <v>31.623066806021399</v>
      </c>
      <c r="F78" t="s">
        <v>109</v>
      </c>
      <c r="I78">
        <f t="shared" ref="I78:J79" si="97">I77</f>
        <v>31.861568050671465</v>
      </c>
      <c r="J78">
        <f t="shared" si="97"/>
        <v>0.20753101115526057</v>
      </c>
      <c r="K78">
        <f>I2</f>
        <v>31.861568050671465</v>
      </c>
      <c r="L78">
        <f>I14</f>
        <v>15.6966884804306</v>
      </c>
      <c r="M78">
        <f t="shared" si="82"/>
        <v>0</v>
      </c>
      <c r="N78">
        <f t="shared" si="83"/>
        <v>16.164879570240863</v>
      </c>
    </row>
    <row r="79" spans="1:14" x14ac:dyDescent="0.2">
      <c r="A79" t="s">
        <v>110</v>
      </c>
      <c r="B79" t="s">
        <v>129</v>
      </c>
      <c r="C79" t="s">
        <v>32</v>
      </c>
      <c r="D79">
        <v>31.960644733956201</v>
      </c>
      <c r="E79">
        <v>31.960644733956201</v>
      </c>
      <c r="F79" t="s">
        <v>110</v>
      </c>
      <c r="I79">
        <f t="shared" si="97"/>
        <v>31.861568050671465</v>
      </c>
      <c r="J79">
        <f t="shared" ref="J79" si="98">J77</f>
        <v>0.20753101115526057</v>
      </c>
      <c r="K79">
        <f>I2</f>
        <v>31.861568050671465</v>
      </c>
      <c r="L79">
        <f>I14</f>
        <v>15.6966884804306</v>
      </c>
      <c r="M79">
        <f t="shared" si="82"/>
        <v>0</v>
      </c>
      <c r="N79">
        <f t="shared" si="83"/>
        <v>16.164879570240863</v>
      </c>
    </row>
    <row r="80" spans="1:14" x14ac:dyDescent="0.2">
      <c r="A80" t="s">
        <v>111</v>
      </c>
      <c r="B80" t="s">
        <v>129</v>
      </c>
      <c r="C80" t="s">
        <v>32</v>
      </c>
      <c r="D80">
        <v>32.703049706391198</v>
      </c>
      <c r="E80">
        <v>32.703049706391198</v>
      </c>
      <c r="F80" t="s">
        <v>111</v>
      </c>
      <c r="G80" s="4" t="s">
        <v>18</v>
      </c>
      <c r="H80">
        <v>1701</v>
      </c>
      <c r="I80">
        <f t="shared" ref="I80" si="99">AVERAGE(D80:D82)</f>
        <v>32.586380725265251</v>
      </c>
      <c r="J80">
        <f t="shared" ref="J80" si="100">STDEV(D80:D82)</f>
        <v>0.16499485541656542</v>
      </c>
      <c r="K80">
        <f>I8</f>
        <v>32.103245026870098</v>
      </c>
      <c r="L80">
        <f>I20</f>
        <v>19.402324003190166</v>
      </c>
      <c r="M80">
        <f t="shared" si="82"/>
        <v>0.48313569839515225</v>
      </c>
      <c r="N80">
        <f t="shared" si="83"/>
        <v>13.184056722075084</v>
      </c>
    </row>
    <row r="81" spans="1:14" x14ac:dyDescent="0.2">
      <c r="A81" t="s">
        <v>112</v>
      </c>
      <c r="B81" t="s">
        <v>129</v>
      </c>
      <c r="C81" t="s">
        <v>32</v>
      </c>
      <c r="D81">
        <v>32.469711744139303</v>
      </c>
      <c r="E81">
        <v>32.469711744139303</v>
      </c>
      <c r="F81" t="s">
        <v>112</v>
      </c>
      <c r="G81" s="4" t="s">
        <v>18</v>
      </c>
      <c r="H81">
        <v>1701</v>
      </c>
      <c r="I81">
        <f t="shared" ref="I81:J81" si="101">I80</f>
        <v>32.586380725265251</v>
      </c>
      <c r="J81">
        <f t="shared" si="101"/>
        <v>0.16499485541656542</v>
      </c>
      <c r="K81">
        <f>I8</f>
        <v>32.103245026870098</v>
      </c>
      <c r="L81">
        <f>I20</f>
        <v>19.402324003190166</v>
      </c>
      <c r="M81">
        <f t="shared" si="82"/>
        <v>0.48313569839515225</v>
      </c>
      <c r="N81">
        <f t="shared" si="83"/>
        <v>13.184056722075084</v>
      </c>
    </row>
    <row r="82" spans="1:14" x14ac:dyDescent="0.2">
      <c r="A82" t="s">
        <v>113</v>
      </c>
      <c r="B82" t="s">
        <v>129</v>
      </c>
      <c r="C82" t="s">
        <v>32</v>
      </c>
      <c r="E82">
        <v>33.4621714115599</v>
      </c>
      <c r="F82" t="s">
        <v>113</v>
      </c>
      <c r="G82" s="4" t="s">
        <v>18</v>
      </c>
      <c r="H82">
        <v>1701</v>
      </c>
      <c r="I82">
        <f t="shared" ref="I82:J82" si="102">I80</f>
        <v>32.586380725265251</v>
      </c>
      <c r="J82">
        <f t="shared" si="102"/>
        <v>0.16499485541656542</v>
      </c>
      <c r="K82">
        <f>I8</f>
        <v>32.103245026870098</v>
      </c>
      <c r="L82">
        <f>I20</f>
        <v>19.402324003190166</v>
      </c>
      <c r="M82">
        <f t="shared" si="82"/>
        <v>0.48313569839515225</v>
      </c>
      <c r="N82">
        <f t="shared" si="83"/>
        <v>13.184056722075084</v>
      </c>
    </row>
    <row r="83" spans="1:14" x14ac:dyDescent="0.2">
      <c r="A83" t="s">
        <v>114</v>
      </c>
      <c r="B83" t="s">
        <v>129</v>
      </c>
      <c r="C83" t="s">
        <v>32</v>
      </c>
      <c r="D83">
        <v>30.8895293068244</v>
      </c>
      <c r="E83">
        <v>30.8895293068244</v>
      </c>
      <c r="F83" t="s">
        <v>114</v>
      </c>
      <c r="I83">
        <f t="shared" ref="I83" si="103">AVERAGE(D83:D85)</f>
        <v>31.441377733855763</v>
      </c>
      <c r="J83">
        <f t="shared" ref="J83" si="104">STDEV(D83:D85)</f>
        <v>0.4809806873191923</v>
      </c>
      <c r="K83">
        <f>I8</f>
        <v>32.103245026870098</v>
      </c>
      <c r="L83">
        <f>I20</f>
        <v>19.402324003190166</v>
      </c>
      <c r="M83">
        <f t="shared" si="82"/>
        <v>-0.66186729301433544</v>
      </c>
      <c r="N83">
        <f t="shared" si="83"/>
        <v>12.039053730665596</v>
      </c>
    </row>
    <row r="84" spans="1:14" x14ac:dyDescent="0.2">
      <c r="A84" t="s">
        <v>115</v>
      </c>
      <c r="B84" t="s">
        <v>129</v>
      </c>
      <c r="C84" t="s">
        <v>32</v>
      </c>
      <c r="D84">
        <v>31.6630810403217</v>
      </c>
      <c r="E84">
        <v>31.6630810403217</v>
      </c>
      <c r="F84" t="s">
        <v>115</v>
      </c>
      <c r="I84">
        <f t="shared" ref="I84:J85" si="105">I83</f>
        <v>31.441377733855763</v>
      </c>
      <c r="J84">
        <f t="shared" si="105"/>
        <v>0.4809806873191923</v>
      </c>
      <c r="K84">
        <f>I8</f>
        <v>32.103245026870098</v>
      </c>
      <c r="L84">
        <f>I20</f>
        <v>19.402324003190166</v>
      </c>
      <c r="M84">
        <f t="shared" si="82"/>
        <v>-0.66186729301433544</v>
      </c>
      <c r="N84">
        <f t="shared" si="83"/>
        <v>12.039053730665596</v>
      </c>
    </row>
    <row r="85" spans="1:14" x14ac:dyDescent="0.2">
      <c r="A85" t="s">
        <v>116</v>
      </c>
      <c r="B85" t="s">
        <v>129</v>
      </c>
      <c r="C85" t="s">
        <v>32</v>
      </c>
      <c r="D85">
        <v>31.7715228544212</v>
      </c>
      <c r="E85">
        <v>31.7715228544212</v>
      </c>
      <c r="F85" t="s">
        <v>116</v>
      </c>
      <c r="I85">
        <f t="shared" si="105"/>
        <v>31.441377733855763</v>
      </c>
      <c r="J85">
        <f t="shared" ref="J85" si="106">J83</f>
        <v>0.4809806873191923</v>
      </c>
      <c r="K85">
        <f>I8</f>
        <v>32.103245026870098</v>
      </c>
      <c r="L85">
        <f>I20</f>
        <v>19.402324003190166</v>
      </c>
      <c r="M85">
        <f t="shared" si="82"/>
        <v>-0.66186729301433544</v>
      </c>
      <c r="N85">
        <f t="shared" si="83"/>
        <v>12.039053730665596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38.298929228541702</v>
      </c>
      <c r="F86" s="17" t="s">
        <v>117</v>
      </c>
      <c r="G86" s="21" t="s">
        <v>19</v>
      </c>
      <c r="H86" s="17">
        <v>163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31.861568050671465</v>
      </c>
      <c r="L86" s="17">
        <f>I14</f>
        <v>15.6966884804306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E87" s="17">
        <v>37.240041563010102</v>
      </c>
      <c r="F87" s="17" t="s">
        <v>118</v>
      </c>
      <c r="G87" s="21" t="s">
        <v>19</v>
      </c>
      <c r="H87" s="17">
        <v>163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31.861568050671465</v>
      </c>
      <c r="L87" s="17">
        <f>I14</f>
        <v>15.6966884804306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E88" s="17">
        <v>34.9715510812334</v>
      </c>
      <c r="F88" s="17" t="s">
        <v>119</v>
      </c>
      <c r="G88" s="21" t="s">
        <v>19</v>
      </c>
      <c r="H88" s="17">
        <v>163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31.861568050671465</v>
      </c>
      <c r="L88" s="17">
        <f>I14</f>
        <v>15.6966884804306</v>
      </c>
      <c r="M88" s="17" t="e">
        <f t="shared" si="82"/>
        <v>#DIV/0!</v>
      </c>
      <c r="N88" s="17" t="e">
        <f t="shared" si="83"/>
        <v>#DIV/0!</v>
      </c>
    </row>
    <row r="89" spans="1:14" s="17" customFormat="1" x14ac:dyDescent="0.2">
      <c r="A89" s="17" t="s">
        <v>120</v>
      </c>
      <c r="B89" s="17" t="s">
        <v>129</v>
      </c>
      <c r="C89" s="17" t="s">
        <v>32</v>
      </c>
      <c r="D89" s="17">
        <v>15.7943165849401</v>
      </c>
      <c r="E89" s="17">
        <v>15.7943165849401</v>
      </c>
      <c r="F89" s="17" t="s">
        <v>120</v>
      </c>
      <c r="G89" s="17" t="s">
        <v>146</v>
      </c>
      <c r="I89" s="17">
        <f t="shared" ref="I89" si="111">AVERAGE(D89:D91)</f>
        <v>15.6966884804306</v>
      </c>
      <c r="J89" s="17">
        <f t="shared" ref="J89" si="112">STDEV(D89:D91)</f>
        <v>8.7015003928929302E-2</v>
      </c>
      <c r="K89" s="17">
        <f>I2</f>
        <v>31.861568050671465</v>
      </c>
      <c r="L89" s="17">
        <f>I14</f>
        <v>15.6966884804306</v>
      </c>
      <c r="M89" s="17">
        <f t="shared" si="82"/>
        <v>-16.164879570240863</v>
      </c>
      <c r="N89" s="17">
        <f t="shared" si="83"/>
        <v>0</v>
      </c>
    </row>
    <row r="90" spans="1:14" s="17" customFormat="1" x14ac:dyDescent="0.2">
      <c r="A90" s="17" t="s">
        <v>121</v>
      </c>
      <c r="B90" s="17" t="s">
        <v>129</v>
      </c>
      <c r="C90" s="17" t="s">
        <v>32</v>
      </c>
      <c r="D90" s="17">
        <v>15.6684456657702</v>
      </c>
      <c r="E90" s="17">
        <v>15.6684456657702</v>
      </c>
      <c r="F90" s="17" t="s">
        <v>121</v>
      </c>
      <c r="I90" s="17">
        <f t="shared" ref="I90:J91" si="113">I89</f>
        <v>15.6966884804306</v>
      </c>
      <c r="J90" s="17">
        <f t="shared" si="113"/>
        <v>8.7015003928929302E-2</v>
      </c>
      <c r="K90" s="17">
        <f>I2</f>
        <v>31.861568050671465</v>
      </c>
      <c r="L90" s="17">
        <f>I14</f>
        <v>15.6966884804306</v>
      </c>
      <c r="M90" s="17">
        <f t="shared" si="82"/>
        <v>-16.164879570240863</v>
      </c>
      <c r="N90" s="17">
        <f t="shared" si="83"/>
        <v>0</v>
      </c>
    </row>
    <row r="91" spans="1:14" s="17" customFormat="1" x14ac:dyDescent="0.2">
      <c r="A91" s="17" t="s">
        <v>122</v>
      </c>
      <c r="B91" s="17" t="s">
        <v>129</v>
      </c>
      <c r="C91" s="17" t="s">
        <v>32</v>
      </c>
      <c r="D91" s="17">
        <v>15.6273031905815</v>
      </c>
      <c r="E91" s="17">
        <v>15.6273031905815</v>
      </c>
      <c r="F91" s="17" t="s">
        <v>122</v>
      </c>
      <c r="I91" s="17">
        <f t="shared" si="113"/>
        <v>15.6966884804306</v>
      </c>
      <c r="J91" s="17">
        <f t="shared" ref="J91" si="114">J89</f>
        <v>8.7015003928929302E-2</v>
      </c>
      <c r="K91" s="17">
        <f>I2</f>
        <v>31.861568050671465</v>
      </c>
      <c r="L91" s="17">
        <f>I14</f>
        <v>15.6966884804306</v>
      </c>
      <c r="M91" s="17">
        <f t="shared" si="82"/>
        <v>-16.164879570240863</v>
      </c>
      <c r="N91" s="17">
        <f t="shared" si="83"/>
        <v>0</v>
      </c>
    </row>
    <row r="92" spans="1:14" s="17" customFormat="1" ht="17" thickBot="1" x14ac:dyDescent="0.25">
      <c r="A92" s="17" t="s">
        <v>123</v>
      </c>
      <c r="B92" s="17" t="s">
        <v>129</v>
      </c>
      <c r="C92" s="17" t="s">
        <v>32</v>
      </c>
      <c r="E92" s="17">
        <v>33.405933182857702</v>
      </c>
      <c r="F92" s="17" t="s">
        <v>123</v>
      </c>
      <c r="G92" s="21" t="s">
        <v>19</v>
      </c>
      <c r="H92" s="17">
        <v>1701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32.103245026870098</v>
      </c>
      <c r="L92" s="17">
        <f>I20</f>
        <v>19.402324003190166</v>
      </c>
      <c r="M92" s="17" t="e">
        <f t="shared" si="82"/>
        <v>#DIV/0!</v>
      </c>
      <c r="N92" s="17" t="e">
        <f t="shared" si="83"/>
        <v>#DIV/0!</v>
      </c>
    </row>
    <row r="93" spans="1:14" s="17" customFormat="1" ht="17" thickBot="1" x14ac:dyDescent="0.25">
      <c r="A93" s="17" t="s">
        <v>124</v>
      </c>
      <c r="B93" s="17" t="s">
        <v>129</v>
      </c>
      <c r="C93" s="17" t="s">
        <v>32</v>
      </c>
      <c r="E93" s="17">
        <v>35.621612365116903</v>
      </c>
      <c r="F93" s="17" t="s">
        <v>124</v>
      </c>
      <c r="G93" s="21" t="s">
        <v>19</v>
      </c>
      <c r="H93" s="17">
        <v>1701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32.103245026870098</v>
      </c>
      <c r="L93" s="17">
        <f>I20</f>
        <v>19.402324003190166</v>
      </c>
      <c r="M93" s="17" t="e">
        <f t="shared" si="82"/>
        <v>#DIV/0!</v>
      </c>
      <c r="N93" s="17" t="e">
        <f t="shared" si="83"/>
        <v>#DIV/0!</v>
      </c>
    </row>
    <row r="94" spans="1:14" s="17" customFormat="1" ht="17" thickBot="1" x14ac:dyDescent="0.25">
      <c r="A94" s="17" t="s">
        <v>125</v>
      </c>
      <c r="B94" s="17" t="s">
        <v>129</v>
      </c>
      <c r="C94" s="17" t="s">
        <v>32</v>
      </c>
      <c r="E94" s="17">
        <v>32.577844488343999</v>
      </c>
      <c r="F94" s="17" t="s">
        <v>125</v>
      </c>
      <c r="G94" s="21" t="s">
        <v>19</v>
      </c>
      <c r="H94" s="17">
        <v>1701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32.103245026870098</v>
      </c>
      <c r="L94" s="17">
        <f>I20</f>
        <v>19.402324003190166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>
        <v>19.582996871546001</v>
      </c>
      <c r="E95">
        <v>19.582996871546001</v>
      </c>
      <c r="F95" t="s">
        <v>126</v>
      </c>
      <c r="I95">
        <f t="shared" ref="I95" si="119">AVERAGE(D95:D97)</f>
        <v>19.579453276887051</v>
      </c>
      <c r="J95">
        <f t="shared" ref="J95" si="120">STDEV(D95:D97)</f>
        <v>5.0113996262401723E-3</v>
      </c>
      <c r="K95">
        <f>I8</f>
        <v>32.103245026870098</v>
      </c>
      <c r="L95">
        <f>I20</f>
        <v>19.402324003190166</v>
      </c>
      <c r="M95">
        <f t="shared" si="82"/>
        <v>-12.523791749983047</v>
      </c>
      <c r="N95">
        <f t="shared" si="83"/>
        <v>0.17712927369688458</v>
      </c>
    </row>
    <row r="96" spans="1:14" x14ac:dyDescent="0.2">
      <c r="A96" t="s">
        <v>127</v>
      </c>
      <c r="B96" t="s">
        <v>129</v>
      </c>
      <c r="C96" t="s">
        <v>32</v>
      </c>
      <c r="D96">
        <v>19.575909682228101</v>
      </c>
      <c r="E96">
        <v>19.575909682228101</v>
      </c>
      <c r="F96" t="s">
        <v>127</v>
      </c>
      <c r="I96">
        <f t="shared" ref="I96:J97" si="121">I95</f>
        <v>19.579453276887051</v>
      </c>
      <c r="J96">
        <f t="shared" si="121"/>
        <v>5.0113996262401723E-3</v>
      </c>
      <c r="K96">
        <f>I8</f>
        <v>32.103245026870098</v>
      </c>
      <c r="L96">
        <f>I20</f>
        <v>19.402324003190166</v>
      </c>
      <c r="M96">
        <f t="shared" si="82"/>
        <v>-12.523791749983047</v>
      </c>
      <c r="N96">
        <f t="shared" si="83"/>
        <v>0.17712927369688458</v>
      </c>
    </row>
    <row r="97" spans="1:14" x14ac:dyDescent="0.2">
      <c r="A97" t="s">
        <v>128</v>
      </c>
      <c r="B97" t="s">
        <v>129</v>
      </c>
      <c r="C97" t="s">
        <v>32</v>
      </c>
      <c r="E97">
        <v>20.227080407534</v>
      </c>
      <c r="F97" t="s">
        <v>128</v>
      </c>
      <c r="I97">
        <f t="shared" si="121"/>
        <v>19.579453276887051</v>
      </c>
      <c r="J97">
        <f t="shared" ref="J97" si="122">J95</f>
        <v>5.0113996262401723E-3</v>
      </c>
      <c r="K97">
        <f>I8</f>
        <v>32.103245026870098</v>
      </c>
      <c r="L97">
        <f>I20</f>
        <v>19.402324003190166</v>
      </c>
      <c r="M97">
        <f t="shared" si="82"/>
        <v>-12.523791749983047</v>
      </c>
      <c r="N97">
        <f t="shared" si="83"/>
        <v>0.17712927369688458</v>
      </c>
    </row>
  </sheetData>
  <conditionalFormatting sqref="J2:J97">
    <cfRule type="cellIs" dxfId="4" priority="1" operator="greaterThan">
      <formula>0.3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32D0-4F70-7D43-96D6-0400F879F9E9}">
  <dimension ref="A1:N97"/>
  <sheetViews>
    <sheetView zoomScale="130" zoomScaleNormal="130" workbookViewId="0">
      <selection activeCell="A86" sqref="A86:XFD88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31.6731013158143</v>
      </c>
      <c r="F2" t="s">
        <v>31</v>
      </c>
      <c r="G2" s="9" t="s">
        <v>9</v>
      </c>
      <c r="H2">
        <v>143</v>
      </c>
      <c r="I2">
        <f>AVERAGE(D2:D4)</f>
        <v>32.207266289993456</v>
      </c>
      <c r="J2">
        <f>STDEV(D2:D4)</f>
        <v>0.2848393401034488</v>
      </c>
      <c r="K2">
        <f>I2</f>
        <v>32.207266289993456</v>
      </c>
      <c r="L2">
        <f>I14</f>
        <v>18.127091058569601</v>
      </c>
      <c r="M2">
        <f>I2-K2</f>
        <v>0</v>
      </c>
      <c r="N2">
        <f>I2-L2</f>
        <v>14.080175231423855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32.005854461057602</v>
      </c>
      <c r="E3">
        <v>32.005854461057602</v>
      </c>
      <c r="F3" t="s">
        <v>34</v>
      </c>
      <c r="G3" s="9" t="s">
        <v>9</v>
      </c>
      <c r="H3">
        <v>143</v>
      </c>
      <c r="I3">
        <f>I2</f>
        <v>32.207266289993456</v>
      </c>
      <c r="J3">
        <f>J2</f>
        <v>0.2848393401034488</v>
      </c>
      <c r="K3">
        <f>I2</f>
        <v>32.207266289993456</v>
      </c>
      <c r="L3">
        <f>I14</f>
        <v>18.127091058569601</v>
      </c>
      <c r="M3">
        <f t="shared" ref="M3:M66" si="0">I3-K3</f>
        <v>0</v>
      </c>
      <c r="N3">
        <f t="shared" ref="N3:N66" si="1">I3-L3</f>
        <v>14.080175231423855</v>
      </c>
    </row>
    <row r="4" spans="1:14" ht="17" thickBot="1" x14ac:dyDescent="0.25">
      <c r="A4" t="s">
        <v>35</v>
      </c>
      <c r="B4" t="s">
        <v>129</v>
      </c>
      <c r="C4" t="s">
        <v>32</v>
      </c>
      <c r="D4">
        <v>32.408678118929302</v>
      </c>
      <c r="E4">
        <v>32.408678118929302</v>
      </c>
      <c r="F4" t="s">
        <v>35</v>
      </c>
      <c r="G4" s="9" t="s">
        <v>9</v>
      </c>
      <c r="H4">
        <v>143</v>
      </c>
      <c r="I4">
        <f>I2</f>
        <v>32.207266289993456</v>
      </c>
      <c r="J4">
        <f>J2</f>
        <v>0.2848393401034488</v>
      </c>
      <c r="K4">
        <f>I2</f>
        <v>32.207266289993456</v>
      </c>
      <c r="L4">
        <f>I14</f>
        <v>18.127091058569601</v>
      </c>
      <c r="M4">
        <f t="shared" si="0"/>
        <v>0</v>
      </c>
      <c r="N4">
        <f t="shared" si="1"/>
        <v>14.080175231423855</v>
      </c>
    </row>
    <row r="5" spans="1:14" s="17" customFormat="1" ht="17" thickBot="1" x14ac:dyDescent="0.25">
      <c r="A5" s="17" t="s">
        <v>36</v>
      </c>
      <c r="B5" s="17" t="s">
        <v>129</v>
      </c>
      <c r="C5" s="17" t="s">
        <v>32</v>
      </c>
      <c r="E5" s="17">
        <v>35.682243370187201</v>
      </c>
      <c r="F5" s="17" t="s">
        <v>36</v>
      </c>
      <c r="G5" s="18" t="s">
        <v>20</v>
      </c>
      <c r="H5" s="17">
        <v>143</v>
      </c>
      <c r="I5" s="17" t="e">
        <f>AVERAGE(D5:D7)</f>
        <v>#DIV/0!</v>
      </c>
      <c r="J5" s="17" t="e">
        <f>STDEV(D5:D7)</f>
        <v>#DIV/0!</v>
      </c>
      <c r="K5" s="17">
        <f>I2</f>
        <v>32.207266289993456</v>
      </c>
      <c r="L5" s="17">
        <f>I14</f>
        <v>18.127091058569601</v>
      </c>
      <c r="M5" s="17" t="e">
        <f t="shared" si="0"/>
        <v>#DIV/0!</v>
      </c>
      <c r="N5" s="17" t="e">
        <f t="shared" si="1"/>
        <v>#DIV/0!</v>
      </c>
    </row>
    <row r="6" spans="1:14" s="17" customFormat="1" ht="17" thickBot="1" x14ac:dyDescent="0.25">
      <c r="A6" s="17" t="s">
        <v>37</v>
      </c>
      <c r="B6" s="17" t="s">
        <v>129</v>
      </c>
      <c r="C6" s="17" t="s">
        <v>32</v>
      </c>
      <c r="E6" s="17">
        <v>34.926379220596999</v>
      </c>
      <c r="F6" s="17" t="s">
        <v>37</v>
      </c>
      <c r="G6" s="18" t="s">
        <v>20</v>
      </c>
      <c r="H6" s="17">
        <v>143</v>
      </c>
      <c r="I6" s="17" t="e">
        <f>I5</f>
        <v>#DIV/0!</v>
      </c>
      <c r="J6" s="17" t="e">
        <f>J5</f>
        <v>#DIV/0!</v>
      </c>
      <c r="K6" s="17">
        <f>I2</f>
        <v>32.207266289993456</v>
      </c>
      <c r="L6" s="17">
        <f>I14</f>
        <v>18.127091058569601</v>
      </c>
      <c r="M6" s="17" t="e">
        <f t="shared" si="0"/>
        <v>#DIV/0!</v>
      </c>
      <c r="N6" s="17" t="e">
        <f t="shared" si="1"/>
        <v>#DIV/0!</v>
      </c>
    </row>
    <row r="7" spans="1:14" s="17" customFormat="1" ht="17" thickBot="1" x14ac:dyDescent="0.25">
      <c r="A7" s="17" t="s">
        <v>38</v>
      </c>
      <c r="B7" s="17" t="s">
        <v>129</v>
      </c>
      <c r="C7" s="17" t="s">
        <v>32</v>
      </c>
      <c r="E7" s="17">
        <v>37.042852809685101</v>
      </c>
      <c r="F7" s="17" t="s">
        <v>38</v>
      </c>
      <c r="G7" s="18" t="s">
        <v>20</v>
      </c>
      <c r="H7" s="17">
        <v>143</v>
      </c>
      <c r="I7" s="17" t="e">
        <f>I6</f>
        <v>#DIV/0!</v>
      </c>
      <c r="J7" s="17" t="e">
        <f>J5</f>
        <v>#DIV/0!</v>
      </c>
      <c r="K7" s="17">
        <f>I2</f>
        <v>32.207266289993456</v>
      </c>
      <c r="L7" s="17">
        <f>I14</f>
        <v>18.127091058569601</v>
      </c>
      <c r="M7" s="17" t="e">
        <f t="shared" si="0"/>
        <v>#DIV/0!</v>
      </c>
      <c r="N7" s="17" t="e">
        <f t="shared" si="1"/>
        <v>#DIV/0!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31.7401355802957</v>
      </c>
      <c r="E8">
        <v>31.7401355802957</v>
      </c>
      <c r="F8" t="s">
        <v>39</v>
      </c>
      <c r="G8" s="9" t="s">
        <v>9</v>
      </c>
      <c r="H8">
        <v>159</v>
      </c>
      <c r="I8">
        <f t="shared" ref="I8" si="2">AVERAGE(D8:D10)</f>
        <v>31.872044271661249</v>
      </c>
      <c r="J8">
        <f t="shared" ref="J8" si="3">STDEV(D8:D10)</f>
        <v>0.18654706032404611</v>
      </c>
      <c r="K8">
        <f>I8</f>
        <v>31.872044271661249</v>
      </c>
      <c r="L8">
        <f>I20</f>
        <v>15.684568745661332</v>
      </c>
      <c r="M8">
        <f t="shared" si="0"/>
        <v>0</v>
      </c>
      <c r="N8">
        <f t="shared" si="1"/>
        <v>16.187475525999915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32.003952963026798</v>
      </c>
      <c r="E9">
        <v>32.003952963026798</v>
      </c>
      <c r="F9" t="s">
        <v>40</v>
      </c>
      <c r="G9" s="9" t="s">
        <v>9</v>
      </c>
      <c r="H9">
        <v>159</v>
      </c>
      <c r="I9">
        <f t="shared" ref="I9:J9" si="4">I8</f>
        <v>31.872044271661249</v>
      </c>
      <c r="J9">
        <f t="shared" si="4"/>
        <v>0.18654706032404611</v>
      </c>
      <c r="K9">
        <f>I8</f>
        <v>31.872044271661249</v>
      </c>
      <c r="L9">
        <f>I20</f>
        <v>15.684568745661332</v>
      </c>
      <c r="M9">
        <f t="shared" si="0"/>
        <v>0</v>
      </c>
      <c r="N9">
        <f t="shared" si="1"/>
        <v>16.187475525999915</v>
      </c>
    </row>
    <row r="10" spans="1:14" ht="17" thickBot="1" x14ac:dyDescent="0.25">
      <c r="A10" t="s">
        <v>41</v>
      </c>
      <c r="B10" t="s">
        <v>129</v>
      </c>
      <c r="C10" t="s">
        <v>32</v>
      </c>
      <c r="E10">
        <v>33.052868371057102</v>
      </c>
      <c r="F10" t="s">
        <v>41</v>
      </c>
      <c r="G10" s="9" t="s">
        <v>9</v>
      </c>
      <c r="H10">
        <v>159</v>
      </c>
      <c r="I10">
        <f t="shared" ref="I10:J10" si="5">I8</f>
        <v>31.872044271661249</v>
      </c>
      <c r="J10">
        <f t="shared" si="5"/>
        <v>0.18654706032404611</v>
      </c>
      <c r="K10">
        <f>I8</f>
        <v>31.872044271661249</v>
      </c>
      <c r="L10">
        <f>I20</f>
        <v>15.684568745661332</v>
      </c>
      <c r="M10">
        <f t="shared" si="0"/>
        <v>0</v>
      </c>
      <c r="N10">
        <f t="shared" si="1"/>
        <v>16.187475525999915</v>
      </c>
    </row>
    <row r="11" spans="1:14" s="17" customFormat="1" ht="17" thickBot="1" x14ac:dyDescent="0.25">
      <c r="A11" s="17" t="s">
        <v>42</v>
      </c>
      <c r="B11" s="17" t="s">
        <v>129</v>
      </c>
      <c r="C11" s="17" t="s">
        <v>32</v>
      </c>
      <c r="E11" s="17">
        <v>35.049094850853002</v>
      </c>
      <c r="F11" s="17" t="s">
        <v>42</v>
      </c>
      <c r="G11" s="18" t="s">
        <v>20</v>
      </c>
      <c r="H11" s="17">
        <v>159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31.872044271661249</v>
      </c>
      <c r="L11" s="17">
        <f>I20</f>
        <v>15.684568745661332</v>
      </c>
      <c r="M11" s="17" t="e">
        <f t="shared" si="0"/>
        <v>#DIV/0!</v>
      </c>
      <c r="N11" s="17" t="e">
        <f t="shared" si="1"/>
        <v>#DIV/0!</v>
      </c>
    </row>
    <row r="12" spans="1:14" s="17" customFormat="1" ht="17" thickBot="1" x14ac:dyDescent="0.25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8" t="s">
        <v>20</v>
      </c>
      <c r="H12" s="17">
        <v>159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31.872044271661249</v>
      </c>
      <c r="L12" s="17">
        <f>I20</f>
        <v>15.684568745661332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22.910547519142501</v>
      </c>
      <c r="F13" s="17" t="s">
        <v>44</v>
      </c>
      <c r="G13" s="18" t="s">
        <v>20</v>
      </c>
      <c r="H13" s="17">
        <v>159</v>
      </c>
      <c r="I13" s="17" t="e">
        <f t="shared" si="8"/>
        <v>#DIV/0!</v>
      </c>
      <c r="J13" s="17" t="e">
        <f t="shared" ref="J13" si="9">J11</f>
        <v>#DIV/0!</v>
      </c>
      <c r="K13" s="17">
        <f>I8</f>
        <v>31.872044271661249</v>
      </c>
      <c r="L13" s="17">
        <f>I20</f>
        <v>15.684568745661332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18.227380700389599</v>
      </c>
      <c r="E14">
        <v>18.227380700389599</v>
      </c>
      <c r="F14" t="s">
        <v>45</v>
      </c>
      <c r="G14" s="11" t="s">
        <v>8</v>
      </c>
      <c r="H14">
        <v>143</v>
      </c>
      <c r="I14">
        <f t="shared" ref="I14" si="10">AVERAGE(D14:D16)</f>
        <v>18.127091058569601</v>
      </c>
      <c r="J14">
        <f t="shared" ref="J14" si="11">STDEV(D14:D16)</f>
        <v>9.2325631101436559E-2</v>
      </c>
      <c r="K14">
        <f>I2</f>
        <v>32.207266289993456</v>
      </c>
      <c r="L14">
        <f>I14</f>
        <v>18.127091058569601</v>
      </c>
      <c r="M14">
        <f t="shared" si="0"/>
        <v>-14.080175231423855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18.045633093997701</v>
      </c>
      <c r="E15">
        <v>18.045633093997701</v>
      </c>
      <c r="F15" t="s">
        <v>46</v>
      </c>
      <c r="G15" s="11" t="s">
        <v>8</v>
      </c>
      <c r="H15">
        <v>143</v>
      </c>
      <c r="I15">
        <f t="shared" ref="I15:J15" si="12">I14</f>
        <v>18.127091058569601</v>
      </c>
      <c r="J15">
        <f t="shared" si="12"/>
        <v>9.2325631101436559E-2</v>
      </c>
      <c r="K15">
        <f>I2</f>
        <v>32.207266289993456</v>
      </c>
      <c r="L15">
        <f>I14</f>
        <v>18.127091058569601</v>
      </c>
      <c r="M15">
        <f t="shared" si="0"/>
        <v>-14.080175231423855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18.108259381321499</v>
      </c>
      <c r="E16">
        <v>18.108259381321499</v>
      </c>
      <c r="F16" t="s">
        <v>47</v>
      </c>
      <c r="G16" s="11" t="s">
        <v>8</v>
      </c>
      <c r="H16">
        <v>143</v>
      </c>
      <c r="I16">
        <f t="shared" ref="I16:J16" si="13">I14</f>
        <v>18.127091058569601</v>
      </c>
      <c r="J16">
        <f t="shared" si="13"/>
        <v>9.2325631101436559E-2</v>
      </c>
      <c r="K16">
        <f>I2</f>
        <v>32.207266289993456</v>
      </c>
      <c r="L16">
        <f>I14</f>
        <v>18.127091058569601</v>
      </c>
      <c r="M16">
        <f t="shared" si="0"/>
        <v>-14.080175231423855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33.548057942701803</v>
      </c>
      <c r="E17">
        <v>33.548057942701803</v>
      </c>
      <c r="F17" t="s">
        <v>48</v>
      </c>
      <c r="G17" s="1" t="s">
        <v>21</v>
      </c>
      <c r="H17">
        <v>143</v>
      </c>
      <c r="I17">
        <f t="shared" ref="I17" si="14">AVERAGE(D17:D19)</f>
        <v>33.454775094780501</v>
      </c>
      <c r="J17">
        <f t="shared" ref="J17" si="15">STDEV(D17:D19)</f>
        <v>0.13192186866709144</v>
      </c>
      <c r="K17">
        <f>I2</f>
        <v>32.207266289993456</v>
      </c>
      <c r="L17">
        <f>I14</f>
        <v>18.127091058569601</v>
      </c>
      <c r="M17">
        <f t="shared" si="0"/>
        <v>1.2475088047870457</v>
      </c>
      <c r="N17">
        <f t="shared" si="1"/>
        <v>15.327684036210901</v>
      </c>
    </row>
    <row r="18" spans="1:14" x14ac:dyDescent="0.2">
      <c r="A18" t="s">
        <v>49</v>
      </c>
      <c r="B18" t="s">
        <v>129</v>
      </c>
      <c r="C18" t="s">
        <v>32</v>
      </c>
      <c r="D18">
        <v>33.3614922468592</v>
      </c>
      <c r="E18">
        <v>33.3614922468592</v>
      </c>
      <c r="F18" t="s">
        <v>49</v>
      </c>
      <c r="G18" s="1" t="s">
        <v>21</v>
      </c>
      <c r="H18">
        <v>143</v>
      </c>
      <c r="I18">
        <f t="shared" ref="I18:J19" si="16">I17</f>
        <v>33.454775094780501</v>
      </c>
      <c r="J18">
        <f t="shared" si="16"/>
        <v>0.13192186866709144</v>
      </c>
      <c r="K18">
        <f>I2</f>
        <v>32.207266289993456</v>
      </c>
      <c r="L18">
        <f>I14</f>
        <v>18.127091058569601</v>
      </c>
      <c r="M18">
        <f t="shared" si="0"/>
        <v>1.2475088047870457</v>
      </c>
      <c r="N18">
        <f t="shared" si="1"/>
        <v>15.327684036210901</v>
      </c>
    </row>
    <row r="19" spans="1:14" x14ac:dyDescent="0.2">
      <c r="A19" t="s">
        <v>50</v>
      </c>
      <c r="B19" t="s">
        <v>129</v>
      </c>
      <c r="C19" t="s">
        <v>32</v>
      </c>
      <c r="E19">
        <v>37.309825592864399</v>
      </c>
      <c r="F19" t="s">
        <v>50</v>
      </c>
      <c r="G19" s="1" t="s">
        <v>21</v>
      </c>
      <c r="H19">
        <v>143</v>
      </c>
      <c r="I19">
        <f t="shared" si="16"/>
        <v>33.454775094780501</v>
      </c>
      <c r="J19">
        <f t="shared" ref="J19" si="17">J17</f>
        <v>0.13192186866709144</v>
      </c>
      <c r="K19">
        <f>I2</f>
        <v>32.207266289993456</v>
      </c>
      <c r="L19">
        <f>I14</f>
        <v>18.127091058569601</v>
      </c>
      <c r="M19">
        <f t="shared" si="0"/>
        <v>1.2475088047870457</v>
      </c>
      <c r="N19">
        <f t="shared" si="1"/>
        <v>15.327684036210901</v>
      </c>
    </row>
    <row r="20" spans="1:14" x14ac:dyDescent="0.2">
      <c r="A20" t="s">
        <v>51</v>
      </c>
      <c r="B20" t="s">
        <v>129</v>
      </c>
      <c r="C20" t="s">
        <v>32</v>
      </c>
      <c r="D20">
        <v>15.672399382483601</v>
      </c>
      <c r="E20">
        <v>15.672399382483601</v>
      </c>
      <c r="F20" t="s">
        <v>51</v>
      </c>
      <c r="G20" s="11" t="s">
        <v>8</v>
      </c>
      <c r="H20">
        <v>159</v>
      </c>
      <c r="I20">
        <f t="shared" ref="I20" si="18">AVERAGE(D20:D22)</f>
        <v>15.684568745661332</v>
      </c>
      <c r="J20">
        <f t="shared" ref="J20" si="19">STDEV(D20:D22)</f>
        <v>4.2635089430675815E-2</v>
      </c>
      <c r="K20">
        <f>I8</f>
        <v>31.872044271661249</v>
      </c>
      <c r="L20">
        <f>I20</f>
        <v>15.684568745661332</v>
      </c>
      <c r="M20">
        <f t="shared" si="0"/>
        <v>-16.187475525999915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15.731965420673999</v>
      </c>
      <c r="E21">
        <v>15.731965420673999</v>
      </c>
      <c r="F21" t="s">
        <v>52</v>
      </c>
      <c r="G21" s="11" t="s">
        <v>8</v>
      </c>
      <c r="H21">
        <v>159</v>
      </c>
      <c r="I21">
        <f t="shared" ref="I21:J21" si="20">I20</f>
        <v>15.684568745661332</v>
      </c>
      <c r="J21">
        <f t="shared" si="20"/>
        <v>4.2635089430675815E-2</v>
      </c>
      <c r="K21">
        <f>I8</f>
        <v>31.872044271661249</v>
      </c>
      <c r="L21">
        <f>I20</f>
        <v>15.684568745661332</v>
      </c>
      <c r="M21">
        <f t="shared" si="0"/>
        <v>-16.187475525999915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15.6493414338264</v>
      </c>
      <c r="E22">
        <v>15.6493414338264</v>
      </c>
      <c r="F22" t="s">
        <v>53</v>
      </c>
      <c r="G22" s="11" t="s">
        <v>8</v>
      </c>
      <c r="H22">
        <v>159</v>
      </c>
      <c r="I22">
        <f t="shared" ref="I22:J22" si="21">I20</f>
        <v>15.684568745661332</v>
      </c>
      <c r="J22">
        <f t="shared" si="21"/>
        <v>4.2635089430675815E-2</v>
      </c>
      <c r="K22">
        <f>I8</f>
        <v>31.872044271661249</v>
      </c>
      <c r="L22">
        <f>I20</f>
        <v>15.684568745661332</v>
      </c>
      <c r="M22">
        <f t="shared" si="0"/>
        <v>-16.187475525999915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32.4231969899473</v>
      </c>
      <c r="F23" s="17" t="s">
        <v>54</v>
      </c>
      <c r="G23" s="19" t="s">
        <v>21</v>
      </c>
      <c r="H23" s="17">
        <v>159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31.872044271661249</v>
      </c>
      <c r="L23" s="17">
        <f>I20</f>
        <v>15.684568745661332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35.567662701310503</v>
      </c>
      <c r="F24" s="17" t="s">
        <v>55</v>
      </c>
      <c r="G24" s="19" t="s">
        <v>21</v>
      </c>
      <c r="H24" s="17">
        <v>159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31.872044271661249</v>
      </c>
      <c r="L24" s="17">
        <f>I20</f>
        <v>15.684568745661332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23.484375259905299</v>
      </c>
      <c r="F25" s="17" t="s">
        <v>56</v>
      </c>
      <c r="G25" s="19" t="s">
        <v>21</v>
      </c>
      <c r="H25" s="17">
        <v>159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31.872044271661249</v>
      </c>
      <c r="L25" s="17">
        <f>I20</f>
        <v>15.684568745661332</v>
      </c>
      <c r="M25" s="17" t="e">
        <f t="shared" si="0"/>
        <v>#DIV/0!</v>
      </c>
      <c r="N25" s="17" t="e">
        <f t="shared" si="1"/>
        <v>#DIV/0!</v>
      </c>
    </row>
    <row r="26" spans="1:14" s="17" customFormat="1" x14ac:dyDescent="0.2">
      <c r="A26" s="17" t="s">
        <v>57</v>
      </c>
      <c r="B26" s="17" t="s">
        <v>129</v>
      </c>
      <c r="C26" s="17" t="s">
        <v>32</v>
      </c>
      <c r="E26" s="17">
        <v>34.586995941028299</v>
      </c>
      <c r="F26" s="17" t="s">
        <v>57</v>
      </c>
      <c r="G26" s="20" t="s">
        <v>14</v>
      </c>
      <c r="H26" s="17">
        <v>143</v>
      </c>
      <c r="I26" s="17" t="e">
        <f t="shared" ref="I26" si="26">AVERAGE(D26:D28)</f>
        <v>#DIV/0!</v>
      </c>
      <c r="J26" s="17" t="e">
        <f t="shared" ref="J26" si="27">STDEV(D26:D28)</f>
        <v>#DIV/0!</v>
      </c>
      <c r="K26" s="17">
        <f>I2</f>
        <v>32.207266289993456</v>
      </c>
      <c r="L26" s="17">
        <f>I14</f>
        <v>18.127091058569601</v>
      </c>
      <c r="M26" s="17" t="e">
        <f t="shared" si="0"/>
        <v>#DIV/0!</v>
      </c>
      <c r="N26" s="17" t="e">
        <f t="shared" si="1"/>
        <v>#DIV/0!</v>
      </c>
    </row>
    <row r="27" spans="1:14" s="17" customFormat="1" x14ac:dyDescent="0.2">
      <c r="A27" s="17" t="s">
        <v>58</v>
      </c>
      <c r="B27" s="17" t="s">
        <v>129</v>
      </c>
      <c r="C27" s="17" t="s">
        <v>32</v>
      </c>
      <c r="E27" s="17">
        <v>32.530662961343502</v>
      </c>
      <c r="F27" s="17" t="s">
        <v>58</v>
      </c>
      <c r="G27" s="20" t="s">
        <v>14</v>
      </c>
      <c r="H27" s="17">
        <v>143</v>
      </c>
      <c r="I27" s="17" t="e">
        <f t="shared" ref="I27:J27" si="28">I26</f>
        <v>#DIV/0!</v>
      </c>
      <c r="J27" s="17" t="e">
        <f t="shared" si="28"/>
        <v>#DIV/0!</v>
      </c>
      <c r="K27" s="17">
        <f>I2</f>
        <v>32.207266289993456</v>
      </c>
      <c r="L27" s="17">
        <f>I14</f>
        <v>18.127091058569601</v>
      </c>
      <c r="M27" s="17" t="e">
        <f t="shared" si="0"/>
        <v>#DIV/0!</v>
      </c>
      <c r="N27" s="17" t="e">
        <f t="shared" si="1"/>
        <v>#DIV/0!</v>
      </c>
    </row>
    <row r="28" spans="1:14" s="17" customFormat="1" x14ac:dyDescent="0.2">
      <c r="A28" s="17" t="s">
        <v>59</v>
      </c>
      <c r="B28" s="17" t="s">
        <v>129</v>
      </c>
      <c r="C28" s="17" t="s">
        <v>32</v>
      </c>
      <c r="E28" s="17">
        <v>38.144502822462599</v>
      </c>
      <c r="F28" s="17" t="s">
        <v>59</v>
      </c>
      <c r="G28" s="20" t="s">
        <v>14</v>
      </c>
      <c r="H28" s="17">
        <v>143</v>
      </c>
      <c r="I28" s="17" t="e">
        <f t="shared" ref="I28:J28" si="29">I26</f>
        <v>#DIV/0!</v>
      </c>
      <c r="J28" s="17" t="e">
        <f t="shared" si="29"/>
        <v>#DIV/0!</v>
      </c>
      <c r="K28" s="17">
        <f>I2</f>
        <v>32.207266289993456</v>
      </c>
      <c r="L28" s="17">
        <f>I14</f>
        <v>18.127091058569601</v>
      </c>
      <c r="M28" s="17" t="e">
        <f t="shared" si="0"/>
        <v>#DIV/0!</v>
      </c>
      <c r="N28" s="17" t="e">
        <f t="shared" si="1"/>
        <v>#DIV/0!</v>
      </c>
    </row>
    <row r="29" spans="1:14" x14ac:dyDescent="0.2">
      <c r="A29" t="s">
        <v>60</v>
      </c>
      <c r="B29" t="s">
        <v>129</v>
      </c>
      <c r="C29" t="s">
        <v>32</v>
      </c>
      <c r="D29">
        <v>32.698452131059</v>
      </c>
      <c r="E29">
        <v>32.698452131059</v>
      </c>
      <c r="F29" t="s">
        <v>60</v>
      </c>
      <c r="G29" s="1" t="s">
        <v>23</v>
      </c>
      <c r="H29">
        <v>143</v>
      </c>
      <c r="I29">
        <f t="shared" ref="I29" si="30">AVERAGE(D29:D31)</f>
        <v>32.891818805895696</v>
      </c>
      <c r="J29">
        <f t="shared" ref="J29" si="31">STDEV(D29:D31)</f>
        <v>0.18235316716802005</v>
      </c>
      <c r="K29">
        <f>I2</f>
        <v>32.207266289993456</v>
      </c>
      <c r="L29">
        <f>I14</f>
        <v>18.127091058569601</v>
      </c>
      <c r="M29">
        <f t="shared" si="0"/>
        <v>0.68455251590224009</v>
      </c>
      <c r="N29">
        <f t="shared" si="1"/>
        <v>14.764727747326095</v>
      </c>
    </row>
    <row r="30" spans="1:14" x14ac:dyDescent="0.2">
      <c r="A30" t="s">
        <v>61</v>
      </c>
      <c r="B30" t="s">
        <v>129</v>
      </c>
      <c r="C30" t="s">
        <v>32</v>
      </c>
      <c r="D30">
        <v>33.060680217361202</v>
      </c>
      <c r="E30">
        <v>33.060680217361202</v>
      </c>
      <c r="F30" t="s">
        <v>61</v>
      </c>
      <c r="G30" s="1" t="s">
        <v>23</v>
      </c>
      <c r="H30">
        <v>143</v>
      </c>
      <c r="I30">
        <f t="shared" ref="I30:J31" si="32">I29</f>
        <v>32.891818805895696</v>
      </c>
      <c r="J30">
        <f t="shared" si="32"/>
        <v>0.18235316716802005</v>
      </c>
      <c r="K30">
        <f>I2</f>
        <v>32.207266289993456</v>
      </c>
      <c r="L30">
        <f>I14</f>
        <v>18.127091058569601</v>
      </c>
      <c r="M30">
        <f t="shared" si="0"/>
        <v>0.68455251590224009</v>
      </c>
      <c r="N30">
        <f t="shared" si="1"/>
        <v>14.764727747326095</v>
      </c>
    </row>
    <row r="31" spans="1:14" x14ac:dyDescent="0.2">
      <c r="A31" t="s">
        <v>62</v>
      </c>
      <c r="B31" t="s">
        <v>129</v>
      </c>
      <c r="C31" t="s">
        <v>32</v>
      </c>
      <c r="D31">
        <v>32.916324069266899</v>
      </c>
      <c r="E31">
        <v>32.916324069266899</v>
      </c>
      <c r="F31" t="s">
        <v>62</v>
      </c>
      <c r="G31" s="1" t="s">
        <v>23</v>
      </c>
      <c r="H31">
        <v>143</v>
      </c>
      <c r="I31">
        <f t="shared" si="32"/>
        <v>32.891818805895696</v>
      </c>
      <c r="J31">
        <f t="shared" ref="J31" si="33">J29</f>
        <v>0.18235316716802005</v>
      </c>
      <c r="K31">
        <f>I2</f>
        <v>32.207266289993456</v>
      </c>
      <c r="L31">
        <f>I14</f>
        <v>18.127091058569601</v>
      </c>
      <c r="M31">
        <f t="shared" si="0"/>
        <v>0.68455251590224009</v>
      </c>
      <c r="N31">
        <f t="shared" si="1"/>
        <v>14.764727747326095</v>
      </c>
    </row>
    <row r="32" spans="1:14" x14ac:dyDescent="0.2">
      <c r="A32" t="s">
        <v>63</v>
      </c>
      <c r="B32" t="s">
        <v>129</v>
      </c>
      <c r="C32" t="s">
        <v>32</v>
      </c>
      <c r="D32">
        <v>31.758584728100899</v>
      </c>
      <c r="E32">
        <v>31.758584728100899</v>
      </c>
      <c r="F32" t="s">
        <v>63</v>
      </c>
      <c r="G32" s="4" t="s">
        <v>14</v>
      </c>
      <c r="H32">
        <v>159</v>
      </c>
      <c r="I32">
        <f t="shared" ref="I32" si="34">AVERAGE(D32:D34)</f>
        <v>31.51639491032595</v>
      </c>
      <c r="J32">
        <f t="shared" ref="J32" si="35">STDEV(D32:D34)</f>
        <v>0.34250812496600241</v>
      </c>
      <c r="K32">
        <f>I8</f>
        <v>31.872044271661249</v>
      </c>
      <c r="L32">
        <f>I20</f>
        <v>15.684568745661332</v>
      </c>
      <c r="M32">
        <f t="shared" si="0"/>
        <v>-0.35564936133529912</v>
      </c>
      <c r="N32">
        <f t="shared" si="1"/>
        <v>15.831826164664617</v>
      </c>
    </row>
    <row r="33" spans="1:14" x14ac:dyDescent="0.2">
      <c r="A33" t="s">
        <v>64</v>
      </c>
      <c r="B33" t="s">
        <v>129</v>
      </c>
      <c r="C33" t="s">
        <v>32</v>
      </c>
      <c r="E33">
        <v>33.505388096393702</v>
      </c>
      <c r="F33" t="s">
        <v>64</v>
      </c>
      <c r="G33" s="4" t="s">
        <v>14</v>
      </c>
      <c r="H33">
        <v>159</v>
      </c>
      <c r="I33">
        <f t="shared" ref="I33:J33" si="36">I32</f>
        <v>31.51639491032595</v>
      </c>
      <c r="J33">
        <f t="shared" si="36"/>
        <v>0.34250812496600241</v>
      </c>
      <c r="K33">
        <f>I8</f>
        <v>31.872044271661249</v>
      </c>
      <c r="L33">
        <f>I20</f>
        <v>15.684568745661332</v>
      </c>
      <c r="M33">
        <f t="shared" si="0"/>
        <v>-0.35564936133529912</v>
      </c>
      <c r="N33">
        <f t="shared" si="1"/>
        <v>15.831826164664617</v>
      </c>
    </row>
    <row r="34" spans="1:14" x14ac:dyDescent="0.2">
      <c r="A34" t="s">
        <v>65</v>
      </c>
      <c r="B34" t="s">
        <v>129</v>
      </c>
      <c r="C34" t="s">
        <v>32</v>
      </c>
      <c r="D34">
        <v>31.274205092551</v>
      </c>
      <c r="E34">
        <v>31.274205092551</v>
      </c>
      <c r="F34" t="s">
        <v>65</v>
      </c>
      <c r="G34" s="4" t="s">
        <v>14</v>
      </c>
      <c r="H34">
        <v>159</v>
      </c>
      <c r="I34">
        <f t="shared" ref="I34:J34" si="37">I32</f>
        <v>31.51639491032595</v>
      </c>
      <c r="J34">
        <f t="shared" si="37"/>
        <v>0.34250812496600241</v>
      </c>
      <c r="K34">
        <f>I8</f>
        <v>31.872044271661249</v>
      </c>
      <c r="L34">
        <f>I20</f>
        <v>15.684568745661332</v>
      </c>
      <c r="M34">
        <f t="shared" si="0"/>
        <v>-0.35564936133529912</v>
      </c>
      <c r="N34">
        <f t="shared" si="1"/>
        <v>15.831826164664617</v>
      </c>
    </row>
    <row r="35" spans="1:14" x14ac:dyDescent="0.2">
      <c r="A35" t="s">
        <v>66</v>
      </c>
      <c r="B35" t="s">
        <v>129</v>
      </c>
      <c r="C35" t="s">
        <v>32</v>
      </c>
      <c r="D35">
        <v>32.110362127552897</v>
      </c>
      <c r="E35">
        <v>32.110362127552897</v>
      </c>
      <c r="F35" t="s">
        <v>66</v>
      </c>
      <c r="G35" s="1" t="s">
        <v>23</v>
      </c>
      <c r="H35">
        <v>159</v>
      </c>
      <c r="I35">
        <f t="shared" ref="I35" si="38">AVERAGE(D35:D37)</f>
        <v>32.2478312062727</v>
      </c>
      <c r="J35">
        <f t="shared" ref="J35" si="39">STDEV(D35:D37)</f>
        <v>0.19441063553248059</v>
      </c>
      <c r="K35">
        <f>I8</f>
        <v>31.872044271661249</v>
      </c>
      <c r="L35">
        <f>I20</f>
        <v>15.684568745661332</v>
      </c>
      <c r="M35">
        <f t="shared" si="0"/>
        <v>0.37578693461145107</v>
      </c>
      <c r="N35">
        <f t="shared" si="1"/>
        <v>16.563262460611369</v>
      </c>
    </row>
    <row r="36" spans="1:14" x14ac:dyDescent="0.2">
      <c r="A36" t="s">
        <v>67</v>
      </c>
      <c r="B36" t="s">
        <v>129</v>
      </c>
      <c r="C36" t="s">
        <v>32</v>
      </c>
      <c r="D36">
        <v>32.385300284992503</v>
      </c>
      <c r="E36">
        <v>32.385300284992503</v>
      </c>
      <c r="F36" t="s">
        <v>67</v>
      </c>
      <c r="G36" s="1" t="s">
        <v>23</v>
      </c>
      <c r="H36">
        <v>159</v>
      </c>
      <c r="I36">
        <f t="shared" ref="I36:J37" si="40">I35</f>
        <v>32.2478312062727</v>
      </c>
      <c r="J36">
        <f t="shared" si="40"/>
        <v>0.19441063553248059</v>
      </c>
      <c r="K36">
        <f>I8</f>
        <v>31.872044271661249</v>
      </c>
      <c r="L36">
        <f>I20</f>
        <v>15.684568745661332</v>
      </c>
      <c r="M36">
        <f t="shared" si="0"/>
        <v>0.37578693461145107</v>
      </c>
      <c r="N36">
        <f t="shared" si="1"/>
        <v>16.563262460611369</v>
      </c>
    </row>
    <row r="37" spans="1:14" x14ac:dyDescent="0.2">
      <c r="A37" t="s">
        <v>68</v>
      </c>
      <c r="B37" t="s">
        <v>129</v>
      </c>
      <c r="C37" t="s">
        <v>32</v>
      </c>
      <c r="E37">
        <v>19.424889883209001</v>
      </c>
      <c r="F37" t="s">
        <v>68</v>
      </c>
      <c r="G37" s="1" t="s">
        <v>23</v>
      </c>
      <c r="H37">
        <v>159</v>
      </c>
      <c r="I37">
        <f t="shared" si="40"/>
        <v>32.2478312062727</v>
      </c>
      <c r="J37">
        <f t="shared" ref="J37" si="41">J35</f>
        <v>0.19441063553248059</v>
      </c>
      <c r="K37">
        <f>I8</f>
        <v>31.872044271661249</v>
      </c>
      <c r="L37">
        <f>I20</f>
        <v>15.684568745661332</v>
      </c>
      <c r="M37">
        <f t="shared" si="0"/>
        <v>0.37578693461145107</v>
      </c>
      <c r="N37">
        <f t="shared" si="1"/>
        <v>16.563262460611369</v>
      </c>
    </row>
    <row r="38" spans="1:14" s="17" customFormat="1" x14ac:dyDescent="0.2">
      <c r="A38" s="17" t="s">
        <v>69</v>
      </c>
      <c r="B38" s="17" t="s">
        <v>129</v>
      </c>
      <c r="C38" s="17" t="s">
        <v>32</v>
      </c>
      <c r="E38" s="17">
        <v>32.956144783788197</v>
      </c>
      <c r="F38" s="17" t="s">
        <v>69</v>
      </c>
      <c r="G38" s="20" t="s">
        <v>15</v>
      </c>
      <c r="H38" s="17">
        <v>143</v>
      </c>
      <c r="I38" s="17" t="e">
        <f t="shared" ref="I38" si="42">AVERAGE(D38:D40)</f>
        <v>#DIV/0!</v>
      </c>
      <c r="J38" s="17" t="e">
        <f t="shared" ref="J38" si="43">STDEV(D38:D40)</f>
        <v>#DIV/0!</v>
      </c>
      <c r="K38" s="17">
        <f>I2</f>
        <v>32.207266289993456</v>
      </c>
      <c r="L38" s="17">
        <f>I14</f>
        <v>18.127091058569601</v>
      </c>
      <c r="M38" s="17" t="e">
        <f t="shared" si="0"/>
        <v>#DIV/0!</v>
      </c>
      <c r="N38" s="17" t="e">
        <f t="shared" si="1"/>
        <v>#DIV/0!</v>
      </c>
    </row>
    <row r="39" spans="1:14" s="17" customFormat="1" x14ac:dyDescent="0.2">
      <c r="A39" s="17" t="s">
        <v>70</v>
      </c>
      <c r="B39" s="17" t="s">
        <v>129</v>
      </c>
      <c r="C39" s="17" t="s">
        <v>32</v>
      </c>
      <c r="E39" s="17">
        <v>37.019653897724801</v>
      </c>
      <c r="F39" s="17" t="s">
        <v>70</v>
      </c>
      <c r="G39" s="20" t="s">
        <v>15</v>
      </c>
      <c r="H39" s="17">
        <v>143</v>
      </c>
      <c r="I39" s="17" t="e">
        <f t="shared" ref="I39:J39" si="44">I38</f>
        <v>#DIV/0!</v>
      </c>
      <c r="J39" s="17" t="e">
        <f t="shared" si="44"/>
        <v>#DIV/0!</v>
      </c>
      <c r="K39" s="17">
        <f>I2</f>
        <v>32.207266289993456</v>
      </c>
      <c r="L39" s="17">
        <f>I14</f>
        <v>18.127091058569601</v>
      </c>
      <c r="M39" s="17" t="e">
        <f t="shared" si="0"/>
        <v>#DIV/0!</v>
      </c>
      <c r="N39" s="17" t="e">
        <f t="shared" si="1"/>
        <v>#DIV/0!</v>
      </c>
    </row>
    <row r="40" spans="1:14" s="17" customFormat="1" x14ac:dyDescent="0.2">
      <c r="A40" s="17" t="s">
        <v>71</v>
      </c>
      <c r="B40" s="17" t="s">
        <v>129</v>
      </c>
      <c r="C40" s="17" t="s">
        <v>32</v>
      </c>
      <c r="E40" s="17">
        <v>33.806164279098198</v>
      </c>
      <c r="F40" s="17" t="s">
        <v>71</v>
      </c>
      <c r="G40" s="20" t="s">
        <v>15</v>
      </c>
      <c r="H40" s="17">
        <v>143</v>
      </c>
      <c r="I40" s="17" t="e">
        <f t="shared" ref="I40:J40" si="45">I38</f>
        <v>#DIV/0!</v>
      </c>
      <c r="J40" s="17" t="e">
        <f t="shared" si="45"/>
        <v>#DIV/0!</v>
      </c>
      <c r="K40" s="17">
        <f>I2</f>
        <v>32.207266289993456</v>
      </c>
      <c r="L40" s="17">
        <f>I14</f>
        <v>18.127091058569601</v>
      </c>
      <c r="M40" s="17" t="e">
        <f t="shared" si="0"/>
        <v>#DIV/0!</v>
      </c>
      <c r="N40" s="17" t="e">
        <f t="shared" si="1"/>
        <v>#DIV/0!</v>
      </c>
    </row>
    <row r="41" spans="1:14" s="17" customFormat="1" x14ac:dyDescent="0.2">
      <c r="A41" s="17" t="s">
        <v>72</v>
      </c>
      <c r="B41" s="17" t="s">
        <v>129</v>
      </c>
      <c r="C41" s="17" t="s">
        <v>32</v>
      </c>
      <c r="D41" s="17" t="s">
        <v>33</v>
      </c>
      <c r="E41" s="17" t="s">
        <v>33</v>
      </c>
      <c r="F41" s="17" t="s">
        <v>72</v>
      </c>
      <c r="G41" s="19" t="s">
        <v>22</v>
      </c>
      <c r="H41" s="17">
        <v>143</v>
      </c>
      <c r="I41" s="17" t="e">
        <f t="shared" ref="I41" si="46">AVERAGE(D41:D43)</f>
        <v>#DIV/0!</v>
      </c>
      <c r="J41" s="17" t="e">
        <f t="shared" ref="J41" si="47">STDEV(D41:D43)</f>
        <v>#DIV/0!</v>
      </c>
      <c r="K41" s="17">
        <f>I2</f>
        <v>32.207266289993456</v>
      </c>
      <c r="L41" s="17">
        <f>I14</f>
        <v>18.127091058569601</v>
      </c>
      <c r="M41" s="17" t="e">
        <f t="shared" si="0"/>
        <v>#DIV/0!</v>
      </c>
      <c r="N41" s="17" t="e">
        <f t="shared" si="1"/>
        <v>#DIV/0!</v>
      </c>
    </row>
    <row r="42" spans="1:14" s="17" customFormat="1" x14ac:dyDescent="0.2">
      <c r="A42" s="17" t="s">
        <v>73</v>
      </c>
      <c r="B42" s="17" t="s">
        <v>129</v>
      </c>
      <c r="C42" s="17" t="s">
        <v>32</v>
      </c>
      <c r="E42" s="17">
        <v>35.2602178987676</v>
      </c>
      <c r="F42" s="17" t="s">
        <v>73</v>
      </c>
      <c r="G42" s="19" t="s">
        <v>22</v>
      </c>
      <c r="H42" s="17">
        <v>143</v>
      </c>
      <c r="I42" s="17" t="e">
        <f t="shared" ref="I42:J43" si="48">I41</f>
        <v>#DIV/0!</v>
      </c>
      <c r="J42" s="17" t="e">
        <f t="shared" si="48"/>
        <v>#DIV/0!</v>
      </c>
      <c r="K42" s="17">
        <f>I2</f>
        <v>32.207266289993456</v>
      </c>
      <c r="L42" s="17">
        <f>I14</f>
        <v>18.127091058569601</v>
      </c>
      <c r="M42" s="17" t="e">
        <f t="shared" si="0"/>
        <v>#DIV/0!</v>
      </c>
      <c r="N42" s="17" t="e">
        <f t="shared" si="1"/>
        <v>#DIV/0!</v>
      </c>
    </row>
    <row r="43" spans="1:14" s="17" customFormat="1" x14ac:dyDescent="0.2">
      <c r="A43" s="17" t="s">
        <v>74</v>
      </c>
      <c r="B43" s="17" t="s">
        <v>129</v>
      </c>
      <c r="C43" s="17" t="s">
        <v>32</v>
      </c>
      <c r="E43" s="17">
        <v>34.283357142368502</v>
      </c>
      <c r="F43" s="17" t="s">
        <v>74</v>
      </c>
      <c r="G43" s="19" t="s">
        <v>22</v>
      </c>
      <c r="H43" s="17">
        <v>143</v>
      </c>
      <c r="I43" s="17" t="e">
        <f t="shared" si="48"/>
        <v>#DIV/0!</v>
      </c>
      <c r="J43" s="17" t="e">
        <f t="shared" ref="J43" si="49">J41</f>
        <v>#DIV/0!</v>
      </c>
      <c r="K43" s="17">
        <f>I2</f>
        <v>32.207266289993456</v>
      </c>
      <c r="L43" s="17">
        <f>I14</f>
        <v>18.127091058569601</v>
      </c>
      <c r="M43" s="17" t="e">
        <f t="shared" si="0"/>
        <v>#DIV/0!</v>
      </c>
      <c r="N43" s="17" t="e">
        <f t="shared" si="1"/>
        <v>#DIV/0!</v>
      </c>
    </row>
    <row r="44" spans="1:14" x14ac:dyDescent="0.2">
      <c r="A44" t="s">
        <v>75</v>
      </c>
      <c r="B44" t="s">
        <v>129</v>
      </c>
      <c r="C44" t="s">
        <v>32</v>
      </c>
      <c r="D44">
        <v>31.363816933363001</v>
      </c>
      <c r="E44">
        <v>31.363816933363001</v>
      </c>
      <c r="F44" t="s">
        <v>75</v>
      </c>
      <c r="G44" s="4" t="s">
        <v>15</v>
      </c>
      <c r="H44">
        <v>159</v>
      </c>
      <c r="I44">
        <f t="shared" ref="I44" si="50">AVERAGE(D44:D46)</f>
        <v>31.698227722735197</v>
      </c>
      <c r="J44">
        <f t="shared" ref="J44" si="51">STDEV(D44:D46)</f>
        <v>0.47292827373405477</v>
      </c>
      <c r="K44">
        <f>I8</f>
        <v>31.872044271661249</v>
      </c>
      <c r="L44">
        <f>I20</f>
        <v>15.684568745661332</v>
      </c>
      <c r="M44">
        <f t="shared" si="0"/>
        <v>-0.17381654892605169</v>
      </c>
      <c r="N44">
        <f t="shared" si="1"/>
        <v>16.013658977073867</v>
      </c>
    </row>
    <row r="45" spans="1:14" x14ac:dyDescent="0.2">
      <c r="A45" t="s">
        <v>76</v>
      </c>
      <c r="B45" t="s">
        <v>129</v>
      </c>
      <c r="C45" t="s">
        <v>32</v>
      </c>
      <c r="E45">
        <v>33.780814668842503</v>
      </c>
      <c r="F45" t="s">
        <v>76</v>
      </c>
      <c r="G45" s="4" t="s">
        <v>15</v>
      </c>
      <c r="H45">
        <v>159</v>
      </c>
      <c r="I45">
        <f t="shared" ref="I45:J45" si="52">I44</f>
        <v>31.698227722735197</v>
      </c>
      <c r="J45">
        <f t="shared" si="52"/>
        <v>0.47292827373405477</v>
      </c>
      <c r="K45">
        <f>I8</f>
        <v>31.872044271661249</v>
      </c>
      <c r="L45">
        <f>I20</f>
        <v>15.684568745661332</v>
      </c>
      <c r="M45">
        <f t="shared" si="0"/>
        <v>-0.17381654892605169</v>
      </c>
      <c r="N45">
        <f t="shared" si="1"/>
        <v>16.013658977073867</v>
      </c>
    </row>
    <row r="46" spans="1:14" x14ac:dyDescent="0.2">
      <c r="A46" t="s">
        <v>77</v>
      </c>
      <c r="B46" t="s">
        <v>129</v>
      </c>
      <c r="C46" t="s">
        <v>32</v>
      </c>
      <c r="D46">
        <v>32.032638512107397</v>
      </c>
      <c r="E46">
        <v>32.032638512107397</v>
      </c>
      <c r="F46" t="s">
        <v>77</v>
      </c>
      <c r="G46" s="4" t="s">
        <v>15</v>
      </c>
      <c r="H46">
        <v>159</v>
      </c>
      <c r="I46">
        <f t="shared" ref="I46:J46" si="53">I44</f>
        <v>31.698227722735197</v>
      </c>
      <c r="J46">
        <f t="shared" si="53"/>
        <v>0.47292827373405477</v>
      </c>
      <c r="K46">
        <f>I8</f>
        <v>31.872044271661249</v>
      </c>
      <c r="L46">
        <f>I20</f>
        <v>15.684568745661332</v>
      </c>
      <c r="M46">
        <f t="shared" si="0"/>
        <v>-0.17381654892605169</v>
      </c>
      <c r="N46">
        <f t="shared" si="1"/>
        <v>16.013658977073867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35.638522706249603</v>
      </c>
      <c r="F47" s="17" t="s">
        <v>78</v>
      </c>
      <c r="G47" s="19" t="s">
        <v>22</v>
      </c>
      <c r="H47" s="17">
        <v>159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31.872044271661249</v>
      </c>
      <c r="L47" s="17">
        <f>I20</f>
        <v>15.684568745661332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34.177882954295498</v>
      </c>
      <c r="F48" s="17" t="s">
        <v>79</v>
      </c>
      <c r="G48" s="19" t="s">
        <v>22</v>
      </c>
      <c r="H48" s="17">
        <v>159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31.872044271661249</v>
      </c>
      <c r="L48" s="17">
        <f>I20</f>
        <v>15.684568745661332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>
        <v>13.469398333471</v>
      </c>
      <c r="F49" s="17" t="s">
        <v>80</v>
      </c>
      <c r="G49" s="19" t="s">
        <v>22</v>
      </c>
      <c r="H49" s="17">
        <v>159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31.872044271661249</v>
      </c>
      <c r="L49" s="17">
        <f>I20</f>
        <v>15.684568745661332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32.079328665544303</v>
      </c>
      <c r="E50">
        <v>32.079328665544303</v>
      </c>
      <c r="F50" t="s">
        <v>81</v>
      </c>
      <c r="G50" s="4" t="s">
        <v>16</v>
      </c>
      <c r="H50">
        <v>143</v>
      </c>
      <c r="I50">
        <f t="shared" ref="I50" si="58">AVERAGE(D50:D52)</f>
        <v>31.967677425053996</v>
      </c>
      <c r="J50">
        <f t="shared" ref="J50" si="59">STDEV(D50:D52)</f>
        <v>0.20519894240524317</v>
      </c>
      <c r="K50">
        <f>I2</f>
        <v>32.207266289993456</v>
      </c>
      <c r="L50">
        <f>I14</f>
        <v>18.127091058569601</v>
      </c>
      <c r="M50">
        <f t="shared" si="0"/>
        <v>-0.23958886493945997</v>
      </c>
      <c r="N50">
        <f t="shared" si="1"/>
        <v>13.840586366484395</v>
      </c>
    </row>
    <row r="51" spans="1:14" x14ac:dyDescent="0.2">
      <c r="A51" t="s">
        <v>82</v>
      </c>
      <c r="B51" t="s">
        <v>129</v>
      </c>
      <c r="C51" t="s">
        <v>32</v>
      </c>
      <c r="D51">
        <v>32.092841048514003</v>
      </c>
      <c r="E51">
        <v>32.092841048514003</v>
      </c>
      <c r="F51" t="s">
        <v>82</v>
      </c>
      <c r="G51" s="4" t="s">
        <v>16</v>
      </c>
      <c r="H51">
        <v>143</v>
      </c>
      <c r="I51">
        <f t="shared" ref="I51:J51" si="60">I50</f>
        <v>31.967677425053996</v>
      </c>
      <c r="J51">
        <f t="shared" si="60"/>
        <v>0.20519894240524317</v>
      </c>
      <c r="K51">
        <f>I2</f>
        <v>32.207266289993456</v>
      </c>
      <c r="L51">
        <f>I14</f>
        <v>18.127091058569601</v>
      </c>
      <c r="M51">
        <f t="shared" si="0"/>
        <v>-0.23958886493945997</v>
      </c>
      <c r="N51">
        <f t="shared" si="1"/>
        <v>13.840586366484395</v>
      </c>
    </row>
    <row r="52" spans="1:14" x14ac:dyDescent="0.2">
      <c r="A52" t="s">
        <v>83</v>
      </c>
      <c r="B52" t="s">
        <v>129</v>
      </c>
      <c r="C52" t="s">
        <v>32</v>
      </c>
      <c r="D52">
        <v>31.730862561103699</v>
      </c>
      <c r="E52">
        <v>31.730862561103699</v>
      </c>
      <c r="F52" t="s">
        <v>83</v>
      </c>
      <c r="G52" s="4" t="s">
        <v>16</v>
      </c>
      <c r="H52">
        <v>143</v>
      </c>
      <c r="I52">
        <f t="shared" ref="I52:J52" si="61">I50</f>
        <v>31.967677425053996</v>
      </c>
      <c r="J52">
        <f t="shared" si="61"/>
        <v>0.20519894240524317</v>
      </c>
      <c r="K52">
        <f>I2</f>
        <v>32.207266289993456</v>
      </c>
      <c r="L52">
        <f>I14</f>
        <v>18.127091058569601</v>
      </c>
      <c r="M52">
        <f t="shared" si="0"/>
        <v>-0.23958886493945997</v>
      </c>
      <c r="N52">
        <f t="shared" si="1"/>
        <v>13.840586366484395</v>
      </c>
    </row>
    <row r="53" spans="1:14" x14ac:dyDescent="0.2">
      <c r="A53" t="s">
        <v>84</v>
      </c>
      <c r="B53" t="s">
        <v>129</v>
      </c>
      <c r="C53" t="s">
        <v>32</v>
      </c>
      <c r="D53">
        <v>34.453028847258899</v>
      </c>
      <c r="E53">
        <v>34.453028847258899</v>
      </c>
      <c r="F53" t="s">
        <v>84</v>
      </c>
      <c r="G53" s="1" t="s">
        <v>24</v>
      </c>
      <c r="H53">
        <v>143</v>
      </c>
      <c r="I53">
        <f t="shared" ref="I53" si="62">AVERAGE(D53:D55)</f>
        <v>34.400339022121749</v>
      </c>
      <c r="J53">
        <f t="shared" ref="J53" si="63">STDEV(D53:D55)</f>
        <v>7.4514665308025183E-2</v>
      </c>
      <c r="K53">
        <f>I2</f>
        <v>32.207266289993456</v>
      </c>
      <c r="L53">
        <f>I14</f>
        <v>18.127091058569601</v>
      </c>
      <c r="M53">
        <f t="shared" si="0"/>
        <v>2.193072732128293</v>
      </c>
      <c r="N53">
        <f t="shared" si="1"/>
        <v>16.273247963552148</v>
      </c>
    </row>
    <row r="54" spans="1:14" x14ac:dyDescent="0.2">
      <c r="A54" t="s">
        <v>85</v>
      </c>
      <c r="B54" t="s">
        <v>129</v>
      </c>
      <c r="C54" t="s">
        <v>32</v>
      </c>
      <c r="D54">
        <v>34.347649196984598</v>
      </c>
      <c r="E54">
        <v>34.347649196984598</v>
      </c>
      <c r="F54" t="s">
        <v>85</v>
      </c>
      <c r="G54" s="1" t="s">
        <v>24</v>
      </c>
      <c r="H54">
        <v>143</v>
      </c>
      <c r="I54">
        <f t="shared" ref="I54:J55" si="64">I53</f>
        <v>34.400339022121749</v>
      </c>
      <c r="J54">
        <f t="shared" si="64"/>
        <v>7.4514665308025183E-2</v>
      </c>
      <c r="K54">
        <f>I2</f>
        <v>32.207266289993456</v>
      </c>
      <c r="L54">
        <f>I14</f>
        <v>18.127091058569601</v>
      </c>
      <c r="M54">
        <f t="shared" si="0"/>
        <v>2.193072732128293</v>
      </c>
      <c r="N54">
        <f t="shared" si="1"/>
        <v>16.273247963552148</v>
      </c>
    </row>
    <row r="55" spans="1:14" x14ac:dyDescent="0.2">
      <c r="A55" t="s">
        <v>86</v>
      </c>
      <c r="B55" t="s">
        <v>129</v>
      </c>
      <c r="C55" t="s">
        <v>32</v>
      </c>
      <c r="E55">
        <v>38.112726268747402</v>
      </c>
      <c r="F55" t="s">
        <v>86</v>
      </c>
      <c r="G55" s="1" t="s">
        <v>24</v>
      </c>
      <c r="H55">
        <v>143</v>
      </c>
      <c r="I55">
        <f t="shared" si="64"/>
        <v>34.400339022121749</v>
      </c>
      <c r="J55">
        <f t="shared" ref="J55" si="65">J53</f>
        <v>7.4514665308025183E-2</v>
      </c>
      <c r="K55">
        <f>I2</f>
        <v>32.207266289993456</v>
      </c>
      <c r="L55">
        <f>I14</f>
        <v>18.127091058569601</v>
      </c>
      <c r="M55">
        <f t="shared" si="0"/>
        <v>2.193072732128293</v>
      </c>
      <c r="N55">
        <f t="shared" si="1"/>
        <v>16.273247963552148</v>
      </c>
    </row>
    <row r="56" spans="1:14" x14ac:dyDescent="0.2">
      <c r="A56" t="s">
        <v>87</v>
      </c>
      <c r="B56" t="s">
        <v>129</v>
      </c>
      <c r="C56" t="s">
        <v>32</v>
      </c>
      <c r="D56">
        <v>30.807788518399299</v>
      </c>
      <c r="E56">
        <v>30.807788518399299</v>
      </c>
      <c r="F56" t="s">
        <v>87</v>
      </c>
      <c r="G56" s="4" t="s">
        <v>16</v>
      </c>
      <c r="H56">
        <v>159</v>
      </c>
      <c r="I56">
        <f t="shared" ref="I56" si="66">AVERAGE(D56:D58)</f>
        <v>30.821035928674434</v>
      </c>
      <c r="J56">
        <f t="shared" ref="J56" si="67">STDEV(D56:D58)</f>
        <v>0.33380514651726878</v>
      </c>
      <c r="K56">
        <f>I8</f>
        <v>31.872044271661249</v>
      </c>
      <c r="L56">
        <f>I20</f>
        <v>15.684568745661332</v>
      </c>
      <c r="M56">
        <f t="shared" si="0"/>
        <v>-1.0510083429868153</v>
      </c>
      <c r="N56">
        <f t="shared" si="1"/>
        <v>15.136467183013101</v>
      </c>
    </row>
    <row r="57" spans="1:14" x14ac:dyDescent="0.2">
      <c r="A57" t="s">
        <v>88</v>
      </c>
      <c r="B57" t="s">
        <v>129</v>
      </c>
      <c r="C57" t="s">
        <v>32</v>
      </c>
      <c r="D57">
        <v>31.161267570516401</v>
      </c>
      <c r="E57">
        <v>31.161267570516401</v>
      </c>
      <c r="F57" t="s">
        <v>88</v>
      </c>
      <c r="G57" s="4" t="s">
        <v>16</v>
      </c>
      <c r="H57">
        <v>159</v>
      </c>
      <c r="I57">
        <f t="shared" ref="I57:J57" si="68">I56</f>
        <v>30.821035928674434</v>
      </c>
      <c r="J57">
        <f t="shared" si="68"/>
        <v>0.33380514651726878</v>
      </c>
      <c r="K57">
        <f>I8</f>
        <v>31.872044271661249</v>
      </c>
      <c r="L57">
        <f>I20</f>
        <v>15.684568745661332</v>
      </c>
      <c r="M57">
        <f t="shared" si="0"/>
        <v>-1.0510083429868153</v>
      </c>
      <c r="N57">
        <f t="shared" si="1"/>
        <v>15.136467183013101</v>
      </c>
    </row>
    <row r="58" spans="1:14" x14ac:dyDescent="0.2">
      <c r="A58" t="s">
        <v>89</v>
      </c>
      <c r="B58" t="s">
        <v>129</v>
      </c>
      <c r="C58" t="s">
        <v>32</v>
      </c>
      <c r="D58">
        <v>30.494051697107601</v>
      </c>
      <c r="E58">
        <v>30.494051697107601</v>
      </c>
      <c r="F58" t="s">
        <v>89</v>
      </c>
      <c r="G58" s="4" t="s">
        <v>16</v>
      </c>
      <c r="H58">
        <v>159</v>
      </c>
      <c r="I58">
        <f t="shared" ref="I58:J58" si="69">I56</f>
        <v>30.821035928674434</v>
      </c>
      <c r="J58">
        <f t="shared" si="69"/>
        <v>0.33380514651726878</v>
      </c>
      <c r="K58">
        <f>I8</f>
        <v>31.872044271661249</v>
      </c>
      <c r="L58">
        <f>I20</f>
        <v>15.684568745661332</v>
      </c>
      <c r="M58">
        <f t="shared" si="0"/>
        <v>-1.0510083429868153</v>
      </c>
      <c r="N58">
        <f t="shared" si="1"/>
        <v>15.136467183013101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39.610357760771201</v>
      </c>
      <c r="F59" s="17" t="s">
        <v>90</v>
      </c>
      <c r="G59" s="19" t="s">
        <v>24</v>
      </c>
      <c r="H59" s="17">
        <v>159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31.872044271661249</v>
      </c>
      <c r="L59" s="17">
        <f>I20</f>
        <v>15.684568745661332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D60" s="17" t="s">
        <v>33</v>
      </c>
      <c r="E60" s="17" t="s">
        <v>33</v>
      </c>
      <c r="F60" s="17" t="s">
        <v>91</v>
      </c>
      <c r="G60" s="19" t="s">
        <v>24</v>
      </c>
      <c r="H60" s="17">
        <v>159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31.872044271661249</v>
      </c>
      <c r="L60" s="17">
        <f>I20</f>
        <v>15.684568745661332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D61" s="17" t="s">
        <v>33</v>
      </c>
      <c r="E61" s="17" t="s">
        <v>33</v>
      </c>
      <c r="F61" s="17" t="s">
        <v>92</v>
      </c>
      <c r="G61" s="19" t="s">
        <v>24</v>
      </c>
      <c r="H61" s="17">
        <v>159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31.872044271661249</v>
      </c>
      <c r="L61" s="17">
        <f>I20</f>
        <v>15.684568745661332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31.265621384408501</v>
      </c>
      <c r="E62">
        <v>31.265621384408501</v>
      </c>
      <c r="F62" t="s">
        <v>93</v>
      </c>
      <c r="G62" s="4" t="s">
        <v>17</v>
      </c>
      <c r="H62">
        <v>143</v>
      </c>
      <c r="I62">
        <f t="shared" ref="I62" si="74">AVERAGE(D62:D64)</f>
        <v>31.128759205227933</v>
      </c>
      <c r="J62">
        <f t="shared" ref="J62" si="75">STDEV(D62:D64)</f>
        <v>0.26935803660508151</v>
      </c>
      <c r="K62">
        <f>I2</f>
        <v>32.207266289993456</v>
      </c>
      <c r="L62">
        <f>I14</f>
        <v>18.127091058569601</v>
      </c>
      <c r="M62">
        <f t="shared" si="0"/>
        <v>-1.0785070847655227</v>
      </c>
      <c r="N62">
        <f t="shared" si="1"/>
        <v>13.001668146658332</v>
      </c>
    </row>
    <row r="63" spans="1:14" x14ac:dyDescent="0.2">
      <c r="A63" t="s">
        <v>94</v>
      </c>
      <c r="B63" t="s">
        <v>129</v>
      </c>
      <c r="C63" t="s">
        <v>32</v>
      </c>
      <c r="D63">
        <v>30.818449406743699</v>
      </c>
      <c r="E63">
        <v>30.818449406743699</v>
      </c>
      <c r="F63" t="s">
        <v>94</v>
      </c>
      <c r="G63" s="4" t="s">
        <v>17</v>
      </c>
      <c r="H63">
        <v>143</v>
      </c>
      <c r="I63">
        <f t="shared" ref="I63:J63" si="76">I62</f>
        <v>31.128759205227933</v>
      </c>
      <c r="J63">
        <f t="shared" si="76"/>
        <v>0.26935803660508151</v>
      </c>
      <c r="K63">
        <f>I2</f>
        <v>32.207266289993456</v>
      </c>
      <c r="L63">
        <f>I14</f>
        <v>18.127091058569601</v>
      </c>
      <c r="M63">
        <f t="shared" si="0"/>
        <v>-1.0785070847655227</v>
      </c>
      <c r="N63">
        <f t="shared" si="1"/>
        <v>13.001668146658332</v>
      </c>
    </row>
    <row r="64" spans="1:14" x14ac:dyDescent="0.2">
      <c r="A64" t="s">
        <v>95</v>
      </c>
      <c r="B64" t="s">
        <v>129</v>
      </c>
      <c r="C64" t="s">
        <v>32</v>
      </c>
      <c r="D64">
        <v>31.302206824531599</v>
      </c>
      <c r="E64">
        <v>31.302206824531599</v>
      </c>
      <c r="F64" t="s">
        <v>95</v>
      </c>
      <c r="G64" s="4" t="s">
        <v>17</v>
      </c>
      <c r="H64">
        <v>143</v>
      </c>
      <c r="I64">
        <f t="shared" ref="I64:J64" si="77">I62</f>
        <v>31.128759205227933</v>
      </c>
      <c r="J64">
        <f t="shared" si="77"/>
        <v>0.26935803660508151</v>
      </c>
      <c r="K64">
        <f>I2</f>
        <v>32.207266289993456</v>
      </c>
      <c r="L64">
        <f>I14</f>
        <v>18.127091058569601</v>
      </c>
      <c r="M64">
        <f t="shared" si="0"/>
        <v>-1.0785070847655227</v>
      </c>
      <c r="N64">
        <f t="shared" si="1"/>
        <v>13.001668146658332</v>
      </c>
    </row>
    <row r="65" spans="1:14" x14ac:dyDescent="0.2">
      <c r="A65" t="s">
        <v>96</v>
      </c>
      <c r="B65" t="s">
        <v>129</v>
      </c>
      <c r="C65" t="s">
        <v>32</v>
      </c>
      <c r="D65">
        <v>31.6663058933269</v>
      </c>
      <c r="E65">
        <v>31.6663058933269</v>
      </c>
      <c r="F65" t="s">
        <v>96</v>
      </c>
      <c r="G65" s="1" t="s">
        <v>25</v>
      </c>
      <c r="H65">
        <v>143</v>
      </c>
      <c r="I65">
        <f t="shared" ref="I65" si="78">AVERAGE(D65:D67)</f>
        <v>31.817038949193734</v>
      </c>
      <c r="J65">
        <f t="shared" ref="J65" si="79">STDEV(D65:D67)</f>
        <v>0.31317224933499549</v>
      </c>
      <c r="K65">
        <f>I2</f>
        <v>32.207266289993456</v>
      </c>
      <c r="L65">
        <f>I14</f>
        <v>18.127091058569601</v>
      </c>
      <c r="M65">
        <f t="shared" si="0"/>
        <v>-0.3902273407997221</v>
      </c>
      <c r="N65">
        <f t="shared" si="1"/>
        <v>13.689947890624133</v>
      </c>
    </row>
    <row r="66" spans="1:14" x14ac:dyDescent="0.2">
      <c r="A66" t="s">
        <v>97</v>
      </c>
      <c r="B66" t="s">
        <v>129</v>
      </c>
      <c r="C66" t="s">
        <v>32</v>
      </c>
      <c r="D66">
        <v>31.6077363408385</v>
      </c>
      <c r="E66">
        <v>31.6077363408385</v>
      </c>
      <c r="F66" t="s">
        <v>97</v>
      </c>
      <c r="G66" s="1" t="s">
        <v>25</v>
      </c>
      <c r="H66">
        <v>143</v>
      </c>
      <c r="I66">
        <f t="shared" ref="I66:J67" si="80">I65</f>
        <v>31.817038949193734</v>
      </c>
      <c r="J66">
        <f t="shared" si="80"/>
        <v>0.31317224933499549</v>
      </c>
      <c r="K66">
        <f>I2</f>
        <v>32.207266289993456</v>
      </c>
      <c r="L66">
        <f>I14</f>
        <v>18.127091058569601</v>
      </c>
      <c r="M66">
        <f t="shared" si="0"/>
        <v>-0.3902273407997221</v>
      </c>
      <c r="N66">
        <f t="shared" si="1"/>
        <v>13.689947890624133</v>
      </c>
    </row>
    <row r="67" spans="1:14" x14ac:dyDescent="0.2">
      <c r="A67" t="s">
        <v>98</v>
      </c>
      <c r="B67" t="s">
        <v>129</v>
      </c>
      <c r="C67" t="s">
        <v>32</v>
      </c>
      <c r="D67">
        <v>32.177074613415797</v>
      </c>
      <c r="E67">
        <v>32.177074613415797</v>
      </c>
      <c r="F67" t="s">
        <v>98</v>
      </c>
      <c r="G67" s="1" t="s">
        <v>25</v>
      </c>
      <c r="H67">
        <v>143</v>
      </c>
      <c r="I67">
        <f t="shared" si="80"/>
        <v>31.817038949193734</v>
      </c>
      <c r="J67">
        <f t="shared" ref="J67" si="81">J65</f>
        <v>0.31317224933499549</v>
      </c>
      <c r="K67">
        <f>I2</f>
        <v>32.207266289993456</v>
      </c>
      <c r="L67">
        <f>I14</f>
        <v>18.127091058569601</v>
      </c>
      <c r="M67">
        <f t="shared" ref="M67:M97" si="82">I67-K67</f>
        <v>-0.3902273407997221</v>
      </c>
      <c r="N67">
        <f t="shared" ref="N67:N97" si="83">I67-L67</f>
        <v>13.689947890624133</v>
      </c>
    </row>
    <row r="68" spans="1:14" x14ac:dyDescent="0.2">
      <c r="A68" t="s">
        <v>99</v>
      </c>
      <c r="B68" t="s">
        <v>129</v>
      </c>
      <c r="C68" t="s">
        <v>32</v>
      </c>
      <c r="D68">
        <v>31.440759276088599</v>
      </c>
      <c r="E68">
        <v>31.440759276088599</v>
      </c>
      <c r="F68" t="s">
        <v>99</v>
      </c>
      <c r="G68" s="4" t="s">
        <v>17</v>
      </c>
      <c r="H68">
        <v>159</v>
      </c>
      <c r="I68">
        <f t="shared" ref="I68" si="84">AVERAGE(D68:D70)</f>
        <v>31.138548313714267</v>
      </c>
      <c r="J68">
        <f t="shared" ref="J68" si="85">STDEV(D68:D70)</f>
        <v>0.32879673629573158</v>
      </c>
      <c r="K68">
        <f>I8</f>
        <v>31.872044271661249</v>
      </c>
      <c r="L68">
        <f>I20</f>
        <v>15.684568745661332</v>
      </c>
      <c r="M68">
        <f t="shared" si="82"/>
        <v>-0.73349595794698175</v>
      </c>
      <c r="N68">
        <f t="shared" si="83"/>
        <v>15.453979568052935</v>
      </c>
    </row>
    <row r="69" spans="1:14" x14ac:dyDescent="0.2">
      <c r="A69" t="s">
        <v>100</v>
      </c>
      <c r="B69" t="s">
        <v>129</v>
      </c>
      <c r="C69" t="s">
        <v>32</v>
      </c>
      <c r="D69">
        <v>31.186462164413001</v>
      </c>
      <c r="E69">
        <v>31.186462164413001</v>
      </c>
      <c r="F69" t="s">
        <v>100</v>
      </c>
      <c r="G69" s="4" t="s">
        <v>17</v>
      </c>
      <c r="H69">
        <v>159</v>
      </c>
      <c r="I69">
        <f t="shared" ref="I69:J69" si="86">I68</f>
        <v>31.138548313714267</v>
      </c>
      <c r="J69">
        <f t="shared" si="86"/>
        <v>0.32879673629573158</v>
      </c>
      <c r="K69">
        <f>I8</f>
        <v>31.872044271661249</v>
      </c>
      <c r="L69">
        <f>I20</f>
        <v>15.684568745661332</v>
      </c>
      <c r="M69">
        <f t="shared" si="82"/>
        <v>-0.73349595794698175</v>
      </c>
      <c r="N69">
        <f t="shared" si="83"/>
        <v>15.453979568052935</v>
      </c>
    </row>
    <row r="70" spans="1:14" x14ac:dyDescent="0.2">
      <c r="A70" t="s">
        <v>101</v>
      </c>
      <c r="B70" t="s">
        <v>129</v>
      </c>
      <c r="C70" t="s">
        <v>32</v>
      </c>
      <c r="D70">
        <v>30.788423500641201</v>
      </c>
      <c r="E70">
        <v>30.788423500641201</v>
      </c>
      <c r="F70" t="s">
        <v>101</v>
      </c>
      <c r="G70" s="4" t="s">
        <v>17</v>
      </c>
      <c r="H70">
        <v>159</v>
      </c>
      <c r="I70">
        <f t="shared" ref="I70:J70" si="87">I68</f>
        <v>31.138548313714267</v>
      </c>
      <c r="J70">
        <f t="shared" si="87"/>
        <v>0.32879673629573158</v>
      </c>
      <c r="K70">
        <f>I8</f>
        <v>31.872044271661249</v>
      </c>
      <c r="L70">
        <f>I20</f>
        <v>15.684568745661332</v>
      </c>
      <c r="M70">
        <f t="shared" si="82"/>
        <v>-0.73349595794698175</v>
      </c>
      <c r="N70">
        <f t="shared" si="83"/>
        <v>15.453979568052935</v>
      </c>
    </row>
    <row r="71" spans="1:14" x14ac:dyDescent="0.2">
      <c r="A71" t="s">
        <v>102</v>
      </c>
      <c r="B71" t="s">
        <v>129</v>
      </c>
      <c r="C71" t="s">
        <v>32</v>
      </c>
      <c r="D71">
        <v>30.9372185282744</v>
      </c>
      <c r="E71">
        <v>30.9372185282744</v>
      </c>
      <c r="F71" t="s">
        <v>102</v>
      </c>
      <c r="G71" s="1" t="s">
        <v>25</v>
      </c>
      <c r="H71">
        <v>159</v>
      </c>
      <c r="I71">
        <f t="shared" ref="I71" si="88">AVERAGE(D71:D73)</f>
        <v>31.23281388209525</v>
      </c>
      <c r="J71">
        <f t="shared" ref="J71" si="89">STDEV(D71:D73)</f>
        <v>0.41803495834792037</v>
      </c>
      <c r="K71">
        <f>I8</f>
        <v>31.872044271661249</v>
      </c>
      <c r="L71">
        <f>I20</f>
        <v>15.684568745661332</v>
      </c>
      <c r="M71">
        <f t="shared" si="82"/>
        <v>-0.63923038956599854</v>
      </c>
      <c r="N71">
        <f t="shared" si="83"/>
        <v>15.548245136433918</v>
      </c>
    </row>
    <row r="72" spans="1:14" x14ac:dyDescent="0.2">
      <c r="A72" t="s">
        <v>103</v>
      </c>
      <c r="B72" t="s">
        <v>129</v>
      </c>
      <c r="C72" t="s">
        <v>32</v>
      </c>
      <c r="D72">
        <v>31.528409235916101</v>
      </c>
      <c r="E72">
        <v>31.528409235916101</v>
      </c>
      <c r="F72" t="s">
        <v>103</v>
      </c>
      <c r="G72" s="1" t="s">
        <v>25</v>
      </c>
      <c r="H72">
        <v>159</v>
      </c>
      <c r="I72">
        <f t="shared" ref="I72:J73" si="90">I71</f>
        <v>31.23281388209525</v>
      </c>
      <c r="J72">
        <f t="shared" si="90"/>
        <v>0.41803495834792037</v>
      </c>
      <c r="K72">
        <f>I8</f>
        <v>31.872044271661249</v>
      </c>
      <c r="L72">
        <f>I20</f>
        <v>15.684568745661332</v>
      </c>
      <c r="M72">
        <f t="shared" si="82"/>
        <v>-0.63923038956599854</v>
      </c>
      <c r="N72">
        <f t="shared" si="83"/>
        <v>15.548245136433918</v>
      </c>
    </row>
    <row r="73" spans="1:14" x14ac:dyDescent="0.2">
      <c r="A73" t="s">
        <v>104</v>
      </c>
      <c r="B73" t="s">
        <v>129</v>
      </c>
      <c r="C73" t="s">
        <v>32</v>
      </c>
      <c r="E73">
        <v>32.4904426663051</v>
      </c>
      <c r="F73" t="s">
        <v>104</v>
      </c>
      <c r="G73" s="1" t="s">
        <v>25</v>
      </c>
      <c r="H73">
        <v>159</v>
      </c>
      <c r="I73">
        <f t="shared" si="90"/>
        <v>31.23281388209525</v>
      </c>
      <c r="J73">
        <f t="shared" ref="J73" si="91">J71</f>
        <v>0.41803495834792037</v>
      </c>
      <c r="K73">
        <f>I8</f>
        <v>31.872044271661249</v>
      </c>
      <c r="L73">
        <f>I20</f>
        <v>15.684568745661332</v>
      </c>
      <c r="M73">
        <f t="shared" si="82"/>
        <v>-0.63923038956599854</v>
      </c>
      <c r="N73">
        <f t="shared" si="83"/>
        <v>15.548245136433918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>
        <v>31.6098336852038</v>
      </c>
      <c r="F74" s="17" t="s">
        <v>105</v>
      </c>
      <c r="G74" s="20" t="s">
        <v>18</v>
      </c>
      <c r="H74" s="17">
        <v>143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32.207266289993456</v>
      </c>
      <c r="L74" s="17">
        <f>I14</f>
        <v>18.127091058569601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 t="s">
        <v>33</v>
      </c>
      <c r="F75" s="17" t="s">
        <v>106</v>
      </c>
      <c r="G75" s="20" t="s">
        <v>18</v>
      </c>
      <c r="H75" s="17">
        <v>143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32.207266289993456</v>
      </c>
      <c r="L75" s="17">
        <f>I14</f>
        <v>18.127091058569601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>
        <v>35.096932980622398</v>
      </c>
      <c r="F76" s="17" t="s">
        <v>107</v>
      </c>
      <c r="G76" s="20" t="s">
        <v>18</v>
      </c>
      <c r="H76" s="17">
        <v>143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32.207266289993456</v>
      </c>
      <c r="L76" s="17">
        <f>I14</f>
        <v>18.127091058569601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>
        <v>31.3224804392534</v>
      </c>
      <c r="E77">
        <v>31.3224804392534</v>
      </c>
      <c r="F77" t="s">
        <v>108</v>
      </c>
      <c r="G77" s="16" t="s">
        <v>144</v>
      </c>
      <c r="I77">
        <f t="shared" ref="I77" si="95">AVERAGE(D77:D79)</f>
        <v>31.7680322258222</v>
      </c>
      <c r="J77">
        <f t="shared" ref="J77" si="96">STDEV(D77:D79)</f>
        <v>0.38587199483701634</v>
      </c>
      <c r="K77">
        <f>I2</f>
        <v>32.207266289993456</v>
      </c>
      <c r="L77">
        <f>I14</f>
        <v>18.127091058569601</v>
      </c>
      <c r="M77">
        <f t="shared" si="82"/>
        <v>-0.43923406417125577</v>
      </c>
      <c r="N77">
        <f t="shared" si="83"/>
        <v>13.640941167252599</v>
      </c>
    </row>
    <row r="78" spans="1:14" x14ac:dyDescent="0.2">
      <c r="A78" t="s">
        <v>109</v>
      </c>
      <c r="B78" t="s">
        <v>129</v>
      </c>
      <c r="C78" t="s">
        <v>32</v>
      </c>
      <c r="D78">
        <v>31.9939546272524</v>
      </c>
      <c r="E78">
        <v>31.9939546272524</v>
      </c>
      <c r="F78" t="s">
        <v>109</v>
      </c>
      <c r="I78">
        <f t="shared" ref="I78:J79" si="97">I77</f>
        <v>31.7680322258222</v>
      </c>
      <c r="J78">
        <f t="shared" si="97"/>
        <v>0.38587199483701634</v>
      </c>
      <c r="K78">
        <f>I2</f>
        <v>32.207266289993456</v>
      </c>
      <c r="L78">
        <f>I14</f>
        <v>18.127091058569601</v>
      </c>
      <c r="M78">
        <f t="shared" si="82"/>
        <v>-0.43923406417125577</v>
      </c>
      <c r="N78">
        <f t="shared" si="83"/>
        <v>13.640941167252599</v>
      </c>
    </row>
    <row r="79" spans="1:14" x14ac:dyDescent="0.2">
      <c r="A79" t="s">
        <v>110</v>
      </c>
      <c r="B79" t="s">
        <v>129</v>
      </c>
      <c r="C79" t="s">
        <v>32</v>
      </c>
      <c r="D79">
        <v>31.987661610960799</v>
      </c>
      <c r="E79">
        <v>31.987661610960799</v>
      </c>
      <c r="F79" t="s">
        <v>110</v>
      </c>
      <c r="I79">
        <f t="shared" si="97"/>
        <v>31.7680322258222</v>
      </c>
      <c r="J79">
        <f t="shared" ref="J79" si="98">J77</f>
        <v>0.38587199483701634</v>
      </c>
      <c r="K79">
        <f>I2</f>
        <v>32.207266289993456</v>
      </c>
      <c r="L79">
        <f>I14</f>
        <v>18.127091058569601</v>
      </c>
      <c r="M79">
        <f t="shared" si="82"/>
        <v>-0.43923406417125577</v>
      </c>
      <c r="N79">
        <f t="shared" si="83"/>
        <v>13.640941167252599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 t="s">
        <v>33</v>
      </c>
      <c r="F80" s="17" t="s">
        <v>111</v>
      </c>
      <c r="G80" s="20" t="s">
        <v>18</v>
      </c>
      <c r="H80" s="17">
        <v>159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31.872044271661249</v>
      </c>
      <c r="L80" s="17">
        <f>I20</f>
        <v>15.684568745661332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34.038676577376599</v>
      </c>
      <c r="F81" s="17" t="s">
        <v>112</v>
      </c>
      <c r="G81" s="20" t="s">
        <v>18</v>
      </c>
      <c r="H81" s="17">
        <v>159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31.872044271661249</v>
      </c>
      <c r="L81" s="17">
        <f>I20</f>
        <v>15.684568745661332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 t="s">
        <v>33</v>
      </c>
      <c r="F82" s="17" t="s">
        <v>113</v>
      </c>
      <c r="G82" s="20" t="s">
        <v>18</v>
      </c>
      <c r="H82" s="17">
        <v>159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31.872044271661249</v>
      </c>
      <c r="L82" s="17">
        <f>I20</f>
        <v>15.684568745661332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D83">
        <v>31.3609781471141</v>
      </c>
      <c r="E83">
        <v>31.3609781471141</v>
      </c>
      <c r="F83" t="s">
        <v>114</v>
      </c>
      <c r="I83">
        <f t="shared" ref="I83" si="103">AVERAGE(D83:D85)</f>
        <v>31.788958793827863</v>
      </c>
      <c r="J83">
        <f t="shared" ref="J83" si="104">STDEV(D83:D85)</f>
        <v>0.48979605851754876</v>
      </c>
      <c r="K83">
        <f>I8</f>
        <v>31.872044271661249</v>
      </c>
      <c r="L83">
        <f>I20</f>
        <v>15.684568745661332</v>
      </c>
      <c r="M83">
        <f t="shared" si="82"/>
        <v>-8.3085477833385823E-2</v>
      </c>
      <c r="N83">
        <f t="shared" si="83"/>
        <v>16.104390048166529</v>
      </c>
    </row>
    <row r="84" spans="1:14" x14ac:dyDescent="0.2">
      <c r="A84" t="s">
        <v>115</v>
      </c>
      <c r="B84" t="s">
        <v>129</v>
      </c>
      <c r="C84" t="s">
        <v>32</v>
      </c>
      <c r="D84">
        <v>31.682754483456801</v>
      </c>
      <c r="E84">
        <v>31.682754483456801</v>
      </c>
      <c r="F84" t="s">
        <v>115</v>
      </c>
      <c r="I84">
        <f t="shared" ref="I84:J85" si="105">I83</f>
        <v>31.788958793827863</v>
      </c>
      <c r="J84">
        <f t="shared" si="105"/>
        <v>0.48979605851754876</v>
      </c>
      <c r="K84">
        <f>I8</f>
        <v>31.872044271661249</v>
      </c>
      <c r="L84">
        <f>I20</f>
        <v>15.684568745661332</v>
      </c>
      <c r="M84">
        <f t="shared" si="82"/>
        <v>-8.3085477833385823E-2</v>
      </c>
      <c r="N84">
        <f t="shared" si="83"/>
        <v>16.104390048166529</v>
      </c>
    </row>
    <row r="85" spans="1:14" x14ac:dyDescent="0.2">
      <c r="A85" t="s">
        <v>116</v>
      </c>
      <c r="B85" t="s">
        <v>129</v>
      </c>
      <c r="C85" t="s">
        <v>32</v>
      </c>
      <c r="D85">
        <v>32.323143750912699</v>
      </c>
      <c r="E85">
        <v>32.323143750912699</v>
      </c>
      <c r="F85" t="s">
        <v>116</v>
      </c>
      <c r="I85">
        <f t="shared" si="105"/>
        <v>31.788958793827863</v>
      </c>
      <c r="J85">
        <f t="shared" ref="J85" si="106">J83</f>
        <v>0.48979605851754876</v>
      </c>
      <c r="K85">
        <f>I8</f>
        <v>31.872044271661249</v>
      </c>
      <c r="L85">
        <f>I20</f>
        <v>15.684568745661332</v>
      </c>
      <c r="M85">
        <f t="shared" si="82"/>
        <v>-8.3085477833385823E-2</v>
      </c>
      <c r="N85">
        <f t="shared" si="83"/>
        <v>16.104390048166529</v>
      </c>
    </row>
    <row r="86" spans="1:14" s="17" customFormat="1" ht="17" thickBot="1" x14ac:dyDescent="0.25">
      <c r="A86" s="17" t="s">
        <v>117</v>
      </c>
      <c r="B86" s="17" t="s">
        <v>129</v>
      </c>
      <c r="C86" s="17" t="s">
        <v>32</v>
      </c>
      <c r="E86" s="17">
        <v>39.450161614946502</v>
      </c>
      <c r="F86" s="17" t="s">
        <v>117</v>
      </c>
      <c r="G86" s="21" t="s">
        <v>19</v>
      </c>
      <c r="H86" s="17">
        <v>143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32.207266289993456</v>
      </c>
      <c r="L86" s="17">
        <f>I14</f>
        <v>18.127091058569601</v>
      </c>
      <c r="M86" s="17" t="e">
        <f t="shared" si="82"/>
        <v>#DIV/0!</v>
      </c>
      <c r="N86" s="17" t="e">
        <f t="shared" si="83"/>
        <v>#DIV/0!</v>
      </c>
    </row>
    <row r="87" spans="1:14" s="17" customFormat="1" ht="17" thickBot="1" x14ac:dyDescent="0.25">
      <c r="A87" s="17" t="s">
        <v>118</v>
      </c>
      <c r="B87" s="17" t="s">
        <v>129</v>
      </c>
      <c r="C87" s="17" t="s">
        <v>32</v>
      </c>
      <c r="D87" s="17" t="s">
        <v>33</v>
      </c>
      <c r="E87" s="17" t="s">
        <v>33</v>
      </c>
      <c r="F87" s="17" t="s">
        <v>118</v>
      </c>
      <c r="G87" s="21" t="s">
        <v>19</v>
      </c>
      <c r="H87" s="17">
        <v>143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32.207266289993456</v>
      </c>
      <c r="L87" s="17">
        <f>I14</f>
        <v>18.127091058569601</v>
      </c>
      <c r="M87" s="17" t="e">
        <f t="shared" si="82"/>
        <v>#DIV/0!</v>
      </c>
      <c r="N87" s="17" t="e">
        <f t="shared" si="83"/>
        <v>#DIV/0!</v>
      </c>
    </row>
    <row r="88" spans="1:14" s="17" customFormat="1" ht="17" thickBot="1" x14ac:dyDescent="0.25">
      <c r="A88" s="17" t="s">
        <v>119</v>
      </c>
      <c r="B88" s="17" t="s">
        <v>129</v>
      </c>
      <c r="C88" s="17" t="s">
        <v>32</v>
      </c>
      <c r="D88" s="17" t="s">
        <v>33</v>
      </c>
      <c r="E88" s="17" t="s">
        <v>33</v>
      </c>
      <c r="F88" s="17" t="s">
        <v>119</v>
      </c>
      <c r="G88" s="21" t="s">
        <v>19</v>
      </c>
      <c r="H88" s="17">
        <v>143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32.207266289993456</v>
      </c>
      <c r="L88" s="17">
        <f>I14</f>
        <v>18.127091058569601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>
        <v>18.165369960827601</v>
      </c>
      <c r="E89">
        <v>18.165369960827601</v>
      </c>
      <c r="F89" t="s">
        <v>120</v>
      </c>
      <c r="G89" t="s">
        <v>146</v>
      </c>
      <c r="I89">
        <f t="shared" ref="I89" si="111">AVERAGE(D89:D91)</f>
        <v>18.049036459004935</v>
      </c>
      <c r="J89">
        <f t="shared" ref="J89" si="112">STDEV(D89:D91)</f>
        <v>0.11097904148273627</v>
      </c>
      <c r="K89">
        <f>I2</f>
        <v>32.207266289993456</v>
      </c>
      <c r="L89">
        <f>I14</f>
        <v>18.127091058569601</v>
      </c>
      <c r="M89">
        <f t="shared" si="82"/>
        <v>-14.158229830988521</v>
      </c>
      <c r="N89">
        <f t="shared" si="83"/>
        <v>-7.8054599564666205E-2</v>
      </c>
    </row>
    <row r="90" spans="1:14" x14ac:dyDescent="0.2">
      <c r="A90" t="s">
        <v>121</v>
      </c>
      <c r="B90" t="s">
        <v>129</v>
      </c>
      <c r="C90" t="s">
        <v>32</v>
      </c>
      <c r="D90">
        <v>18.0374125369041</v>
      </c>
      <c r="E90">
        <v>18.0374125369041</v>
      </c>
      <c r="F90" t="s">
        <v>121</v>
      </c>
      <c r="I90">
        <f t="shared" ref="I90:J91" si="113">I89</f>
        <v>18.049036459004935</v>
      </c>
      <c r="J90">
        <f t="shared" si="113"/>
        <v>0.11097904148273627</v>
      </c>
      <c r="K90">
        <f>I2</f>
        <v>32.207266289993456</v>
      </c>
      <c r="L90">
        <f>I14</f>
        <v>18.127091058569601</v>
      </c>
      <c r="M90">
        <f t="shared" si="82"/>
        <v>-14.158229830988521</v>
      </c>
      <c r="N90">
        <f t="shared" si="83"/>
        <v>-7.8054599564666205E-2</v>
      </c>
    </row>
    <row r="91" spans="1:14" x14ac:dyDescent="0.2">
      <c r="A91" t="s">
        <v>122</v>
      </c>
      <c r="B91" t="s">
        <v>129</v>
      </c>
      <c r="C91" t="s">
        <v>32</v>
      </c>
      <c r="D91">
        <v>17.9443268792831</v>
      </c>
      <c r="E91">
        <v>17.9443268792831</v>
      </c>
      <c r="F91" t="s">
        <v>122</v>
      </c>
      <c r="I91">
        <f t="shared" si="113"/>
        <v>18.049036459004935</v>
      </c>
      <c r="J91">
        <f t="shared" ref="J91" si="114">J89</f>
        <v>0.11097904148273627</v>
      </c>
      <c r="K91">
        <f>I2</f>
        <v>32.207266289993456</v>
      </c>
      <c r="L91">
        <f>I14</f>
        <v>18.127091058569601</v>
      </c>
      <c r="M91">
        <f t="shared" si="82"/>
        <v>-14.158229830988521</v>
      </c>
      <c r="N91">
        <f t="shared" si="83"/>
        <v>-7.8054599564666205E-2</v>
      </c>
    </row>
    <row r="92" spans="1:14" ht="17" thickBot="1" x14ac:dyDescent="0.25">
      <c r="A92" t="s">
        <v>123</v>
      </c>
      <c r="B92" t="s">
        <v>129</v>
      </c>
      <c r="C92" t="s">
        <v>32</v>
      </c>
      <c r="D92">
        <v>37.501382490290801</v>
      </c>
      <c r="E92">
        <v>37.501382490290801</v>
      </c>
      <c r="F92" t="s">
        <v>123</v>
      </c>
      <c r="G92" s="6" t="s">
        <v>19</v>
      </c>
      <c r="H92">
        <v>159</v>
      </c>
      <c r="I92">
        <f t="shared" ref="I92" si="115">AVERAGE(D92:D94)</f>
        <v>37.137078915920796</v>
      </c>
      <c r="J92">
        <f t="shared" ref="J92" si="116">STDEV(D92:D94)</f>
        <v>0.33025704510066234</v>
      </c>
      <c r="K92">
        <f>I8</f>
        <v>31.872044271661249</v>
      </c>
      <c r="L92">
        <f>I20</f>
        <v>15.684568745661332</v>
      </c>
      <c r="M92">
        <f t="shared" si="82"/>
        <v>5.265034644259547</v>
      </c>
      <c r="N92">
        <f t="shared" si="83"/>
        <v>21.452510170259465</v>
      </c>
    </row>
    <row r="93" spans="1:14" ht="17" thickBot="1" x14ac:dyDescent="0.25">
      <c r="A93" t="s">
        <v>124</v>
      </c>
      <c r="B93" t="s">
        <v>129</v>
      </c>
      <c r="C93" t="s">
        <v>32</v>
      </c>
      <c r="D93">
        <v>37.052558553566897</v>
      </c>
      <c r="E93">
        <v>37.052558553566897</v>
      </c>
      <c r="F93" t="s">
        <v>124</v>
      </c>
      <c r="G93" s="6" t="s">
        <v>19</v>
      </c>
      <c r="H93">
        <v>159</v>
      </c>
      <c r="I93">
        <f t="shared" ref="I93:J93" si="117">I92</f>
        <v>37.137078915920796</v>
      </c>
      <c r="J93">
        <f t="shared" si="117"/>
        <v>0.33025704510066234</v>
      </c>
      <c r="K93">
        <f>I8</f>
        <v>31.872044271661249</v>
      </c>
      <c r="L93">
        <f>I20</f>
        <v>15.684568745661332</v>
      </c>
      <c r="M93">
        <f t="shared" si="82"/>
        <v>5.265034644259547</v>
      </c>
      <c r="N93">
        <f t="shared" si="83"/>
        <v>21.452510170259465</v>
      </c>
    </row>
    <row r="94" spans="1:14" ht="17" thickBot="1" x14ac:dyDescent="0.25">
      <c r="A94" t="s">
        <v>125</v>
      </c>
      <c r="B94" t="s">
        <v>129</v>
      </c>
      <c r="C94" t="s">
        <v>32</v>
      </c>
      <c r="D94">
        <v>36.857295703904697</v>
      </c>
      <c r="E94">
        <v>36.857295703904697</v>
      </c>
      <c r="F94" t="s">
        <v>125</v>
      </c>
      <c r="G94" s="6" t="s">
        <v>19</v>
      </c>
      <c r="H94">
        <v>159</v>
      </c>
      <c r="I94">
        <f t="shared" ref="I94:J94" si="118">I92</f>
        <v>37.137078915920796</v>
      </c>
      <c r="J94">
        <f t="shared" si="118"/>
        <v>0.33025704510066234</v>
      </c>
      <c r="K94">
        <f>I8</f>
        <v>31.872044271661249</v>
      </c>
      <c r="L94">
        <f>I20</f>
        <v>15.684568745661332</v>
      </c>
      <c r="M94">
        <f t="shared" si="82"/>
        <v>5.265034644259547</v>
      </c>
      <c r="N94">
        <f t="shared" si="83"/>
        <v>21.452510170259465</v>
      </c>
    </row>
    <row r="95" spans="1:14" x14ac:dyDescent="0.2">
      <c r="A95" t="s">
        <v>126</v>
      </c>
      <c r="B95" t="s">
        <v>129</v>
      </c>
      <c r="C95" t="s">
        <v>32</v>
      </c>
      <c r="D95">
        <v>16.039270370688701</v>
      </c>
      <c r="E95">
        <v>16.039270370688701</v>
      </c>
      <c r="F95" t="s">
        <v>126</v>
      </c>
      <c r="I95">
        <f t="shared" ref="I95" si="119">AVERAGE(D95:D97)</f>
        <v>16.085356588134601</v>
      </c>
      <c r="J95">
        <f t="shared" ref="J95" si="120">STDEV(D95:D97)</f>
        <v>6.5175753750467663E-2</v>
      </c>
      <c r="K95">
        <f>I8</f>
        <v>31.872044271661249</v>
      </c>
      <c r="L95">
        <f>I20</f>
        <v>15.684568745661332</v>
      </c>
      <c r="M95">
        <f t="shared" si="82"/>
        <v>-15.786687683526647</v>
      </c>
      <c r="N95">
        <f t="shared" si="83"/>
        <v>0.40078784247326915</v>
      </c>
    </row>
    <row r="96" spans="1:14" x14ac:dyDescent="0.2">
      <c r="A96" t="s">
        <v>127</v>
      </c>
      <c r="B96" t="s">
        <v>129</v>
      </c>
      <c r="C96" t="s">
        <v>32</v>
      </c>
      <c r="D96">
        <v>16.131442805580502</v>
      </c>
      <c r="E96">
        <v>16.131442805580502</v>
      </c>
      <c r="F96" t="s">
        <v>127</v>
      </c>
      <c r="I96">
        <f t="shared" ref="I96:J97" si="121">I95</f>
        <v>16.085356588134601</v>
      </c>
      <c r="J96">
        <f t="shared" si="121"/>
        <v>6.5175753750467663E-2</v>
      </c>
      <c r="K96">
        <f>I8</f>
        <v>31.872044271661249</v>
      </c>
      <c r="L96">
        <f>I20</f>
        <v>15.684568745661332</v>
      </c>
      <c r="M96">
        <f t="shared" si="82"/>
        <v>-15.786687683526647</v>
      </c>
      <c r="N96">
        <f t="shared" si="83"/>
        <v>0.40078784247326915</v>
      </c>
    </row>
    <row r="97" spans="1:14" x14ac:dyDescent="0.2">
      <c r="A97" t="s">
        <v>128</v>
      </c>
      <c r="B97" t="s">
        <v>129</v>
      </c>
      <c r="C97" t="s">
        <v>32</v>
      </c>
      <c r="E97">
        <v>16.8806824013284</v>
      </c>
      <c r="F97" t="s">
        <v>128</v>
      </c>
      <c r="I97">
        <f t="shared" si="121"/>
        <v>16.085356588134601</v>
      </c>
      <c r="J97">
        <f t="shared" ref="J97" si="122">J95</f>
        <v>6.5175753750467663E-2</v>
      </c>
      <c r="K97">
        <f>I8</f>
        <v>31.872044271661249</v>
      </c>
      <c r="L97">
        <f>I20</f>
        <v>15.684568745661332</v>
      </c>
      <c r="M97">
        <f t="shared" si="82"/>
        <v>-15.786687683526647</v>
      </c>
      <c r="N97">
        <f t="shared" si="83"/>
        <v>0.40078784247326915</v>
      </c>
    </row>
  </sheetData>
  <conditionalFormatting sqref="J2:J97">
    <cfRule type="cellIs" dxfId="3" priority="1" operator="greaterThan">
      <formula>0.3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AA77-6341-9B4E-B1B4-3C7A77A2E3CD}">
  <dimension ref="A1:N97"/>
  <sheetViews>
    <sheetView topLeftCell="A58" workbookViewId="0">
      <selection activeCell="H1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31.5117140516628</v>
      </c>
      <c r="F2" t="s">
        <v>31</v>
      </c>
      <c r="G2" s="9" t="s">
        <v>9</v>
      </c>
      <c r="H2">
        <v>144</v>
      </c>
      <c r="I2">
        <f>AVERAGE(D2:D4)</f>
        <v>28.493489288405797</v>
      </c>
      <c r="J2">
        <f>STDEV(D2:D4)</f>
        <v>5.99750051111601E-2</v>
      </c>
      <c r="K2">
        <f>I2</f>
        <v>28.493489288405797</v>
      </c>
      <c r="L2">
        <f>I14</f>
        <v>16.033335517056035</v>
      </c>
      <c r="M2">
        <f>I2-K2</f>
        <v>0</v>
      </c>
      <c r="N2">
        <f>I2-L2</f>
        <v>12.460153771349763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28.45108055559</v>
      </c>
      <c r="E3">
        <v>28.45108055559</v>
      </c>
      <c r="F3" t="s">
        <v>34</v>
      </c>
      <c r="G3" s="9" t="s">
        <v>9</v>
      </c>
      <c r="H3">
        <v>144</v>
      </c>
      <c r="I3">
        <f>I2</f>
        <v>28.493489288405797</v>
      </c>
      <c r="J3">
        <f>J2</f>
        <v>5.99750051111601E-2</v>
      </c>
      <c r="K3">
        <f>I2</f>
        <v>28.493489288405797</v>
      </c>
      <c r="L3">
        <f>I14</f>
        <v>16.033335517056035</v>
      </c>
      <c r="M3">
        <f t="shared" ref="M3:M66" si="0">I3-K3</f>
        <v>0</v>
      </c>
      <c r="N3">
        <f t="shared" ref="N3:N66" si="1">I3-L3</f>
        <v>12.460153771349763</v>
      </c>
    </row>
    <row r="4" spans="1:14" x14ac:dyDescent="0.2">
      <c r="A4" t="s">
        <v>35</v>
      </c>
      <c r="B4" t="s">
        <v>129</v>
      </c>
      <c r="C4" t="s">
        <v>32</v>
      </c>
      <c r="D4">
        <v>28.535898021221598</v>
      </c>
      <c r="E4">
        <v>28.535898021221598</v>
      </c>
      <c r="F4" t="s">
        <v>35</v>
      </c>
      <c r="G4" s="9" t="s">
        <v>9</v>
      </c>
      <c r="H4">
        <v>144</v>
      </c>
      <c r="I4">
        <f>I2</f>
        <v>28.493489288405797</v>
      </c>
      <c r="J4">
        <f>J2</f>
        <v>5.99750051111601E-2</v>
      </c>
      <c r="K4">
        <f>I2</f>
        <v>28.493489288405797</v>
      </c>
      <c r="L4">
        <f>I14</f>
        <v>16.033335517056035</v>
      </c>
      <c r="M4">
        <f t="shared" si="0"/>
        <v>0</v>
      </c>
      <c r="N4">
        <f t="shared" si="1"/>
        <v>12.460153771349763</v>
      </c>
    </row>
    <row r="5" spans="1:14" s="17" customFormat="1" x14ac:dyDescent="0.2">
      <c r="A5" s="17" t="s">
        <v>36</v>
      </c>
      <c r="B5" s="17" t="s">
        <v>129</v>
      </c>
      <c r="C5" s="17" t="s">
        <v>32</v>
      </c>
      <c r="E5" s="17">
        <v>33.077735581481903</v>
      </c>
      <c r="F5" s="17" t="s">
        <v>36</v>
      </c>
      <c r="G5" s="17" t="s">
        <v>20</v>
      </c>
      <c r="H5" s="17">
        <v>144</v>
      </c>
      <c r="I5" s="17" t="e">
        <f>AVERAGE(D5:D7)</f>
        <v>#DIV/0!</v>
      </c>
      <c r="J5" s="17" t="e">
        <f>STDEV(D5:D7)</f>
        <v>#DIV/0!</v>
      </c>
      <c r="K5" s="17">
        <f>I2</f>
        <v>28.493489288405797</v>
      </c>
      <c r="L5" s="17">
        <f>I14</f>
        <v>16.033335517056035</v>
      </c>
      <c r="M5" s="17" t="e">
        <f t="shared" si="0"/>
        <v>#DIV/0!</v>
      </c>
      <c r="N5" s="17" t="e">
        <f t="shared" si="1"/>
        <v>#DIV/0!</v>
      </c>
    </row>
    <row r="6" spans="1:14" s="17" customFormat="1" x14ac:dyDescent="0.2">
      <c r="A6" s="17" t="s">
        <v>37</v>
      </c>
      <c r="B6" s="17" t="s">
        <v>129</v>
      </c>
      <c r="C6" s="17" t="s">
        <v>32</v>
      </c>
      <c r="E6" s="17">
        <v>33.725448374418598</v>
      </c>
      <c r="F6" s="17" t="s">
        <v>37</v>
      </c>
      <c r="G6" s="17" t="s">
        <v>20</v>
      </c>
      <c r="H6" s="17">
        <v>144</v>
      </c>
      <c r="I6" s="17" t="e">
        <f>I5</f>
        <v>#DIV/0!</v>
      </c>
      <c r="J6" s="17" t="e">
        <f>J5</f>
        <v>#DIV/0!</v>
      </c>
      <c r="K6" s="17">
        <f>I2</f>
        <v>28.493489288405797</v>
      </c>
      <c r="L6" s="17">
        <f>I14</f>
        <v>16.033335517056035</v>
      </c>
      <c r="M6" s="17" t="e">
        <f t="shared" si="0"/>
        <v>#DIV/0!</v>
      </c>
      <c r="N6" s="17" t="e">
        <f t="shared" si="1"/>
        <v>#DIV/0!</v>
      </c>
    </row>
    <row r="7" spans="1:14" s="17" customFormat="1" ht="17" thickBot="1" x14ac:dyDescent="0.25">
      <c r="A7" s="17" t="s">
        <v>38</v>
      </c>
      <c r="B7" s="17" t="s">
        <v>129</v>
      </c>
      <c r="C7" s="17" t="s">
        <v>32</v>
      </c>
      <c r="E7" s="17">
        <v>35.122307719771101</v>
      </c>
      <c r="F7" s="17" t="s">
        <v>38</v>
      </c>
      <c r="G7" s="17" t="s">
        <v>20</v>
      </c>
      <c r="H7" s="17">
        <v>144</v>
      </c>
      <c r="I7" s="17" t="e">
        <f>I6</f>
        <v>#DIV/0!</v>
      </c>
      <c r="J7" s="17" t="e">
        <f>J5</f>
        <v>#DIV/0!</v>
      </c>
      <c r="K7" s="17">
        <f>I2</f>
        <v>28.493489288405797</v>
      </c>
      <c r="L7" s="17">
        <f>I14</f>
        <v>16.033335517056035</v>
      </c>
      <c r="M7" s="17" t="e">
        <f t="shared" si="0"/>
        <v>#DIV/0!</v>
      </c>
      <c r="N7" s="17" t="e">
        <f t="shared" si="1"/>
        <v>#DIV/0!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32.844010683794899</v>
      </c>
      <c r="E8">
        <v>32.844010683794899</v>
      </c>
      <c r="F8" t="s">
        <v>39</v>
      </c>
      <c r="G8" s="9" t="s">
        <v>9</v>
      </c>
      <c r="H8">
        <v>162</v>
      </c>
      <c r="I8">
        <f t="shared" ref="I8" si="2">AVERAGE(D8:D10)</f>
        <v>32.626515972576399</v>
      </c>
      <c r="J8">
        <f t="shared" ref="J8" si="3">STDEV(D8:D10)</f>
        <v>0.30758397034962176</v>
      </c>
      <c r="K8">
        <f>I8</f>
        <v>32.626515972576399</v>
      </c>
      <c r="L8">
        <f>I20</f>
        <v>14.779234795748634</v>
      </c>
      <c r="M8">
        <f t="shared" si="0"/>
        <v>0</v>
      </c>
      <c r="N8">
        <f t="shared" si="1"/>
        <v>17.847281176827764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33.541645087357203</v>
      </c>
      <c r="F9" t="s">
        <v>40</v>
      </c>
      <c r="G9" s="9" t="s">
        <v>9</v>
      </c>
      <c r="H9">
        <v>162</v>
      </c>
      <c r="I9">
        <f t="shared" ref="I9:J9" si="4">I8</f>
        <v>32.626515972576399</v>
      </c>
      <c r="J9">
        <f t="shared" si="4"/>
        <v>0.30758397034962176</v>
      </c>
      <c r="K9">
        <f>I8</f>
        <v>32.626515972576399</v>
      </c>
      <c r="L9">
        <f>I20</f>
        <v>14.779234795748634</v>
      </c>
      <c r="M9">
        <f t="shared" si="0"/>
        <v>0</v>
      </c>
      <c r="N9">
        <f t="shared" si="1"/>
        <v>17.847281176827764</v>
      </c>
    </row>
    <row r="10" spans="1:14" x14ac:dyDescent="0.2">
      <c r="A10" t="s">
        <v>41</v>
      </c>
      <c r="B10" t="s">
        <v>129</v>
      </c>
      <c r="C10" t="s">
        <v>32</v>
      </c>
      <c r="D10">
        <v>32.4090212613579</v>
      </c>
      <c r="E10">
        <v>32.4090212613579</v>
      </c>
      <c r="F10" t="s">
        <v>41</v>
      </c>
      <c r="G10" s="9" t="s">
        <v>9</v>
      </c>
      <c r="H10">
        <v>162</v>
      </c>
      <c r="I10">
        <f t="shared" ref="I10:J10" si="5">I8</f>
        <v>32.626515972576399</v>
      </c>
      <c r="J10">
        <f t="shared" si="5"/>
        <v>0.30758397034962176</v>
      </c>
      <c r="K10">
        <f>I8</f>
        <v>32.626515972576399</v>
      </c>
      <c r="L10">
        <f>I20</f>
        <v>14.779234795748634</v>
      </c>
      <c r="M10">
        <f t="shared" si="0"/>
        <v>0</v>
      </c>
      <c r="N10">
        <f t="shared" si="1"/>
        <v>17.847281176827764</v>
      </c>
    </row>
    <row r="11" spans="1:14" x14ac:dyDescent="0.2">
      <c r="A11" t="s">
        <v>42</v>
      </c>
      <c r="B11" t="s">
        <v>129</v>
      </c>
      <c r="C11" t="s">
        <v>32</v>
      </c>
      <c r="E11">
        <v>37.065642943496101</v>
      </c>
      <c r="F11" t="s">
        <v>42</v>
      </c>
      <c r="G11" t="s">
        <v>20</v>
      </c>
      <c r="H11">
        <v>162</v>
      </c>
      <c r="I11" t="e">
        <f t="shared" ref="I11" si="6">AVERAGE(D11:D13)</f>
        <v>#DIV/0!</v>
      </c>
      <c r="J11" t="e">
        <f t="shared" ref="J11" si="7">STDEV(D11:D13)</f>
        <v>#DIV/0!</v>
      </c>
      <c r="K11">
        <f>I8</f>
        <v>32.626515972576399</v>
      </c>
      <c r="L11">
        <f>I20</f>
        <v>14.779234795748634</v>
      </c>
      <c r="M11" t="e">
        <f t="shared" si="0"/>
        <v>#DIV/0!</v>
      </c>
      <c r="N11" t="e">
        <f t="shared" si="1"/>
        <v>#DIV/0!</v>
      </c>
    </row>
    <row r="12" spans="1:14" x14ac:dyDescent="0.2">
      <c r="A12" t="s">
        <v>43</v>
      </c>
      <c r="B12" t="s">
        <v>129</v>
      </c>
      <c r="C12" t="s">
        <v>32</v>
      </c>
      <c r="E12" t="s">
        <v>33</v>
      </c>
      <c r="F12" t="s">
        <v>43</v>
      </c>
      <c r="G12" t="s">
        <v>20</v>
      </c>
      <c r="H12">
        <v>162</v>
      </c>
      <c r="I12" t="e">
        <f t="shared" ref="I12:J13" si="8">I11</f>
        <v>#DIV/0!</v>
      </c>
      <c r="J12" t="e">
        <f t="shared" si="8"/>
        <v>#DIV/0!</v>
      </c>
      <c r="K12">
        <f>I8</f>
        <v>32.626515972576399</v>
      </c>
      <c r="L12">
        <f>I20</f>
        <v>14.779234795748634</v>
      </c>
      <c r="M12" t="e">
        <f t="shared" si="0"/>
        <v>#DIV/0!</v>
      </c>
      <c r="N12" t="e">
        <f t="shared" si="1"/>
        <v>#DIV/0!</v>
      </c>
    </row>
    <row r="13" spans="1:14" x14ac:dyDescent="0.2">
      <c r="A13" t="s">
        <v>44</v>
      </c>
      <c r="B13" t="s">
        <v>129</v>
      </c>
      <c r="C13" t="s">
        <v>32</v>
      </c>
      <c r="E13">
        <v>31.380729805002499</v>
      </c>
      <c r="F13" t="s">
        <v>44</v>
      </c>
      <c r="G13" t="s">
        <v>20</v>
      </c>
      <c r="H13">
        <v>162</v>
      </c>
      <c r="I13" t="e">
        <f t="shared" si="8"/>
        <v>#DIV/0!</v>
      </c>
      <c r="J13" t="e">
        <f t="shared" ref="J13" si="9">J11</f>
        <v>#DIV/0!</v>
      </c>
      <c r="K13">
        <f>I8</f>
        <v>32.626515972576399</v>
      </c>
      <c r="L13">
        <f>I20</f>
        <v>14.779234795748634</v>
      </c>
      <c r="M13" t="e">
        <f t="shared" si="0"/>
        <v>#DIV/0!</v>
      </c>
      <c r="N13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16.156291703506501</v>
      </c>
      <c r="E14">
        <v>16.156291703506501</v>
      </c>
      <c r="F14" t="s">
        <v>45</v>
      </c>
      <c r="G14" s="11" t="s">
        <v>8</v>
      </c>
      <c r="H14">
        <v>144</v>
      </c>
      <c r="I14">
        <f t="shared" ref="I14" si="10">AVERAGE(D14:D16)</f>
        <v>16.033335517056035</v>
      </c>
      <c r="J14">
        <f t="shared" ref="J14" si="11">STDEV(D14:D16)</f>
        <v>0.11348052960269416</v>
      </c>
      <c r="K14">
        <f>I2</f>
        <v>28.493489288405797</v>
      </c>
      <c r="L14">
        <f>I14</f>
        <v>16.033335517056035</v>
      </c>
      <c r="M14">
        <f t="shared" si="0"/>
        <v>-12.460153771349763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15.932625258977501</v>
      </c>
      <c r="E15">
        <v>15.932625258977501</v>
      </c>
      <c r="F15" t="s">
        <v>46</v>
      </c>
      <c r="G15" s="11" t="s">
        <v>8</v>
      </c>
      <c r="H15">
        <v>144</v>
      </c>
      <c r="I15">
        <f t="shared" ref="I15:J15" si="12">I14</f>
        <v>16.033335517056035</v>
      </c>
      <c r="J15">
        <f t="shared" si="12"/>
        <v>0.11348052960269416</v>
      </c>
      <c r="K15">
        <f>I2</f>
        <v>28.493489288405797</v>
      </c>
      <c r="L15">
        <f>I14</f>
        <v>16.033335517056035</v>
      </c>
      <c r="M15">
        <f t="shared" si="0"/>
        <v>-12.460153771349763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16.011089588684101</v>
      </c>
      <c r="E16">
        <v>16.011089588684101</v>
      </c>
      <c r="F16" t="s">
        <v>47</v>
      </c>
      <c r="G16" s="11" t="s">
        <v>8</v>
      </c>
      <c r="H16">
        <v>144</v>
      </c>
      <c r="I16">
        <f t="shared" ref="I16:J16" si="13">I14</f>
        <v>16.033335517056035</v>
      </c>
      <c r="J16">
        <f t="shared" si="13"/>
        <v>0.11348052960269416</v>
      </c>
      <c r="K16">
        <f>I2</f>
        <v>28.493489288405797</v>
      </c>
      <c r="L16">
        <f>I14</f>
        <v>16.033335517056035</v>
      </c>
      <c r="M16">
        <f t="shared" si="0"/>
        <v>-12.460153771349763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28.598728680635102</v>
      </c>
      <c r="E17">
        <v>28.598728680635102</v>
      </c>
      <c r="F17" t="s">
        <v>48</v>
      </c>
      <c r="G17" s="1" t="s">
        <v>21</v>
      </c>
      <c r="H17">
        <v>144</v>
      </c>
      <c r="I17">
        <f t="shared" ref="I17" si="14">AVERAGE(D17:D19)</f>
        <v>28.717567458947599</v>
      </c>
      <c r="J17">
        <f t="shared" ref="J17" si="15">STDEV(D17:D19)</f>
        <v>0.10458311179528473</v>
      </c>
      <c r="K17">
        <f>I2</f>
        <v>28.493489288405797</v>
      </c>
      <c r="L17">
        <f>I14</f>
        <v>16.033335517056035</v>
      </c>
      <c r="M17">
        <f t="shared" si="0"/>
        <v>0.22407817054180157</v>
      </c>
      <c r="N17">
        <f t="shared" si="1"/>
        <v>12.684231941891564</v>
      </c>
    </row>
    <row r="18" spans="1:14" x14ac:dyDescent="0.2">
      <c r="A18" t="s">
        <v>49</v>
      </c>
      <c r="B18" t="s">
        <v>129</v>
      </c>
      <c r="C18" t="s">
        <v>32</v>
      </c>
      <c r="D18">
        <v>28.758395563864202</v>
      </c>
      <c r="E18">
        <v>28.758395563864202</v>
      </c>
      <c r="F18" t="s">
        <v>49</v>
      </c>
      <c r="G18" s="1" t="s">
        <v>21</v>
      </c>
      <c r="H18">
        <v>144</v>
      </c>
      <c r="I18">
        <f t="shared" ref="I18:J19" si="16">I17</f>
        <v>28.717567458947599</v>
      </c>
      <c r="J18">
        <f t="shared" si="16"/>
        <v>0.10458311179528473</v>
      </c>
      <c r="K18">
        <f>I2</f>
        <v>28.493489288405797</v>
      </c>
      <c r="L18">
        <f>I14</f>
        <v>16.033335517056035</v>
      </c>
      <c r="M18">
        <f t="shared" si="0"/>
        <v>0.22407817054180157</v>
      </c>
      <c r="N18">
        <f t="shared" si="1"/>
        <v>12.684231941891564</v>
      </c>
    </row>
    <row r="19" spans="1:14" x14ac:dyDescent="0.2">
      <c r="A19" t="s">
        <v>50</v>
      </c>
      <c r="B19" t="s">
        <v>129</v>
      </c>
      <c r="C19" t="s">
        <v>32</v>
      </c>
      <c r="D19">
        <v>28.7955781323435</v>
      </c>
      <c r="E19">
        <v>28.7955781323435</v>
      </c>
      <c r="F19" t="s">
        <v>50</v>
      </c>
      <c r="G19" s="1" t="s">
        <v>21</v>
      </c>
      <c r="H19">
        <v>144</v>
      </c>
      <c r="I19">
        <f t="shared" si="16"/>
        <v>28.717567458947599</v>
      </c>
      <c r="J19">
        <f t="shared" ref="J19" si="17">J17</f>
        <v>0.10458311179528473</v>
      </c>
      <c r="K19">
        <f>I2</f>
        <v>28.493489288405797</v>
      </c>
      <c r="L19">
        <f>I14</f>
        <v>16.033335517056035</v>
      </c>
      <c r="M19">
        <f t="shared" si="0"/>
        <v>0.22407817054180157</v>
      </c>
      <c r="N19">
        <f t="shared" si="1"/>
        <v>12.684231941891564</v>
      </c>
    </row>
    <row r="20" spans="1:14" x14ac:dyDescent="0.2">
      <c r="A20" t="s">
        <v>51</v>
      </c>
      <c r="B20" t="s">
        <v>129</v>
      </c>
      <c r="C20" t="s">
        <v>32</v>
      </c>
      <c r="D20">
        <v>14.794652190906699</v>
      </c>
      <c r="E20">
        <v>14.794652190906699</v>
      </c>
      <c r="F20" t="s">
        <v>51</v>
      </c>
      <c r="G20" s="11" t="s">
        <v>8</v>
      </c>
      <c r="H20">
        <v>162</v>
      </c>
      <c r="I20">
        <f t="shared" ref="I20" si="18">AVERAGE(D20:D22)</f>
        <v>14.779234795748634</v>
      </c>
      <c r="J20">
        <f t="shared" ref="J20" si="19">STDEV(D20:D22)</f>
        <v>0.24827807612312444</v>
      </c>
      <c r="K20">
        <f>I8</f>
        <v>32.626515972576399</v>
      </c>
      <c r="L20">
        <f>I20</f>
        <v>14.779234795748634</v>
      </c>
      <c r="M20">
        <f t="shared" si="0"/>
        <v>-17.847281176827764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14.523607298906001</v>
      </c>
      <c r="E21">
        <v>14.523607298906001</v>
      </c>
      <c r="F21" t="s">
        <v>52</v>
      </c>
      <c r="G21" s="11" t="s">
        <v>8</v>
      </c>
      <c r="H21">
        <v>162</v>
      </c>
      <c r="I21">
        <f t="shared" ref="I21:J21" si="20">I20</f>
        <v>14.779234795748634</v>
      </c>
      <c r="J21">
        <f t="shared" si="20"/>
        <v>0.24827807612312444</v>
      </c>
      <c r="K21">
        <f>I8</f>
        <v>32.626515972576399</v>
      </c>
      <c r="L21">
        <f>I20</f>
        <v>14.779234795748634</v>
      </c>
      <c r="M21">
        <f t="shared" si="0"/>
        <v>-17.847281176827764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15.0194448974332</v>
      </c>
      <c r="E22">
        <v>15.0194448974332</v>
      </c>
      <c r="F22" t="s">
        <v>53</v>
      </c>
      <c r="G22" s="11" t="s">
        <v>8</v>
      </c>
      <c r="H22">
        <v>162</v>
      </c>
      <c r="I22">
        <f t="shared" ref="I22:J22" si="21">I20</f>
        <v>14.779234795748634</v>
      </c>
      <c r="J22">
        <f t="shared" si="21"/>
        <v>0.24827807612312444</v>
      </c>
      <c r="K22">
        <f>I8</f>
        <v>32.626515972576399</v>
      </c>
      <c r="L22">
        <f>I20</f>
        <v>14.779234795748634</v>
      </c>
      <c r="M22">
        <f t="shared" si="0"/>
        <v>-17.847281176827764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 t="s">
        <v>33</v>
      </c>
      <c r="F23" s="17" t="s">
        <v>54</v>
      </c>
      <c r="G23" s="17" t="s">
        <v>21</v>
      </c>
      <c r="H23" s="17">
        <v>162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32.626515972576399</v>
      </c>
      <c r="L23" s="17">
        <f>I20</f>
        <v>14.779234795748634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 t="s">
        <v>33</v>
      </c>
      <c r="F24" s="17" t="s">
        <v>55</v>
      </c>
      <c r="G24" s="17" t="s">
        <v>21</v>
      </c>
      <c r="H24" s="17">
        <v>162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32.626515972576399</v>
      </c>
      <c r="L24" s="17">
        <f>I20</f>
        <v>14.779234795748634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14.678267063882901</v>
      </c>
      <c r="F25" s="17" t="s">
        <v>56</v>
      </c>
      <c r="G25" s="17" t="s">
        <v>21</v>
      </c>
      <c r="H25" s="17">
        <v>162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32.626515972576399</v>
      </c>
      <c r="L25" s="17">
        <f>I20</f>
        <v>14.779234795748634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E26">
        <v>22.783208473668299</v>
      </c>
      <c r="F26" t="s">
        <v>57</v>
      </c>
      <c r="G26" t="s">
        <v>14</v>
      </c>
      <c r="H26">
        <v>144</v>
      </c>
      <c r="I26">
        <f t="shared" ref="I26" si="26">AVERAGE(D26:D28)</f>
        <v>27.9159490817696</v>
      </c>
      <c r="J26">
        <f t="shared" ref="J26" si="27">STDEV(D26:D28)</f>
        <v>0.14895545171955127</v>
      </c>
      <c r="K26">
        <f>I2</f>
        <v>28.493489288405797</v>
      </c>
      <c r="L26">
        <f>I14</f>
        <v>16.033335517056035</v>
      </c>
      <c r="M26">
        <f t="shared" si="0"/>
        <v>-0.57754020663619698</v>
      </c>
      <c r="N26">
        <f t="shared" si="1"/>
        <v>11.882613564713566</v>
      </c>
    </row>
    <row r="27" spans="1:14" x14ac:dyDescent="0.2">
      <c r="A27" t="s">
        <v>58</v>
      </c>
      <c r="B27" t="s">
        <v>129</v>
      </c>
      <c r="C27" t="s">
        <v>32</v>
      </c>
      <c r="D27">
        <v>27.810621671764</v>
      </c>
      <c r="E27">
        <v>27.810621671764</v>
      </c>
      <c r="F27" t="s">
        <v>58</v>
      </c>
      <c r="G27" t="s">
        <v>14</v>
      </c>
      <c r="H27">
        <v>144</v>
      </c>
      <c r="I27">
        <f t="shared" ref="I27:J27" si="28">I26</f>
        <v>27.9159490817696</v>
      </c>
      <c r="J27">
        <f t="shared" si="28"/>
        <v>0.14895545171955127</v>
      </c>
      <c r="K27">
        <f>I2</f>
        <v>28.493489288405797</v>
      </c>
      <c r="L27">
        <f>I14</f>
        <v>16.033335517056035</v>
      </c>
      <c r="M27">
        <f t="shared" si="0"/>
        <v>-0.57754020663619698</v>
      </c>
      <c r="N27">
        <f t="shared" si="1"/>
        <v>11.882613564713566</v>
      </c>
    </row>
    <row r="28" spans="1:14" x14ac:dyDescent="0.2">
      <c r="A28" t="s">
        <v>59</v>
      </c>
      <c r="B28" t="s">
        <v>129</v>
      </c>
      <c r="C28" t="s">
        <v>32</v>
      </c>
      <c r="D28">
        <v>28.0212764917752</v>
      </c>
      <c r="E28">
        <v>28.0212764917752</v>
      </c>
      <c r="F28" t="s">
        <v>59</v>
      </c>
      <c r="G28" t="s">
        <v>14</v>
      </c>
      <c r="H28">
        <v>144</v>
      </c>
      <c r="I28">
        <f t="shared" ref="I28:J28" si="29">I26</f>
        <v>27.9159490817696</v>
      </c>
      <c r="J28">
        <f t="shared" si="29"/>
        <v>0.14895545171955127</v>
      </c>
      <c r="K28">
        <f>I2</f>
        <v>28.493489288405797</v>
      </c>
      <c r="L28">
        <f>I14</f>
        <v>16.033335517056035</v>
      </c>
      <c r="M28">
        <f t="shared" si="0"/>
        <v>-0.57754020663619698</v>
      </c>
      <c r="N28">
        <f t="shared" si="1"/>
        <v>11.882613564713566</v>
      </c>
    </row>
    <row r="29" spans="1:14" x14ac:dyDescent="0.2">
      <c r="A29" t="s">
        <v>60</v>
      </c>
      <c r="B29" t="s">
        <v>129</v>
      </c>
      <c r="C29" t="s">
        <v>32</v>
      </c>
      <c r="D29">
        <v>27.978251394824799</v>
      </c>
      <c r="E29">
        <v>27.978251394824799</v>
      </c>
      <c r="F29" t="s">
        <v>60</v>
      </c>
      <c r="G29" t="s">
        <v>23</v>
      </c>
      <c r="H29">
        <v>144</v>
      </c>
      <c r="I29">
        <f t="shared" ref="I29" si="30">AVERAGE(D29:D31)</f>
        <v>28.037758504580399</v>
      </c>
      <c r="J29">
        <f t="shared" ref="J29" si="31">STDEV(D29:D31)</f>
        <v>5.1887954291537204E-2</v>
      </c>
      <c r="K29">
        <f>I2</f>
        <v>28.493489288405797</v>
      </c>
      <c r="L29">
        <f>I14</f>
        <v>16.033335517056035</v>
      </c>
      <c r="M29">
        <f t="shared" si="0"/>
        <v>-0.45573078382539833</v>
      </c>
      <c r="N29">
        <f t="shared" si="1"/>
        <v>12.004422987524364</v>
      </c>
    </row>
    <row r="30" spans="1:14" x14ac:dyDescent="0.2">
      <c r="A30" t="s">
        <v>61</v>
      </c>
      <c r="B30" t="s">
        <v>129</v>
      </c>
      <c r="C30" t="s">
        <v>32</v>
      </c>
      <c r="D30">
        <v>28.073556703116999</v>
      </c>
      <c r="E30">
        <v>28.073556703116999</v>
      </c>
      <c r="F30" t="s">
        <v>61</v>
      </c>
      <c r="G30" t="s">
        <v>23</v>
      </c>
      <c r="H30">
        <v>144</v>
      </c>
      <c r="I30">
        <f t="shared" ref="I30:J31" si="32">I29</f>
        <v>28.037758504580399</v>
      </c>
      <c r="J30">
        <f t="shared" si="32"/>
        <v>5.1887954291537204E-2</v>
      </c>
      <c r="K30">
        <f>I2</f>
        <v>28.493489288405797</v>
      </c>
      <c r="L30">
        <f>I14</f>
        <v>16.033335517056035</v>
      </c>
      <c r="M30">
        <f t="shared" si="0"/>
        <v>-0.45573078382539833</v>
      </c>
      <c r="N30">
        <f t="shared" si="1"/>
        <v>12.004422987524364</v>
      </c>
    </row>
    <row r="31" spans="1:14" x14ac:dyDescent="0.2">
      <c r="A31" t="s">
        <v>62</v>
      </c>
      <c r="B31" t="s">
        <v>129</v>
      </c>
      <c r="C31" t="s">
        <v>32</v>
      </c>
      <c r="D31">
        <v>28.061467415799399</v>
      </c>
      <c r="E31">
        <v>28.061467415799399</v>
      </c>
      <c r="F31" t="s">
        <v>62</v>
      </c>
      <c r="G31" t="s">
        <v>23</v>
      </c>
      <c r="H31">
        <v>144</v>
      </c>
      <c r="I31">
        <f t="shared" si="32"/>
        <v>28.037758504580399</v>
      </c>
      <c r="J31">
        <f t="shared" ref="J31" si="33">J29</f>
        <v>5.1887954291537204E-2</v>
      </c>
      <c r="K31">
        <f>I2</f>
        <v>28.493489288405797</v>
      </c>
      <c r="L31">
        <f>I14</f>
        <v>16.033335517056035</v>
      </c>
      <c r="M31">
        <f t="shared" si="0"/>
        <v>-0.45573078382539833</v>
      </c>
      <c r="N31">
        <f t="shared" si="1"/>
        <v>12.004422987524364</v>
      </c>
    </row>
    <row r="32" spans="1:14" x14ac:dyDescent="0.2">
      <c r="A32" t="s">
        <v>63</v>
      </c>
      <c r="B32" t="s">
        <v>129</v>
      </c>
      <c r="C32" t="s">
        <v>32</v>
      </c>
      <c r="E32">
        <v>33.342246644087197</v>
      </c>
      <c r="F32" t="s">
        <v>63</v>
      </c>
      <c r="G32" t="s">
        <v>14</v>
      </c>
      <c r="H32">
        <v>162</v>
      </c>
      <c r="I32">
        <f t="shared" ref="I32" si="34">AVERAGE(D32:D34)</f>
        <v>31.442051212727051</v>
      </c>
      <c r="J32">
        <f t="shared" ref="J32" si="35">STDEV(D32:D34)</f>
        <v>0.46088779768592431</v>
      </c>
      <c r="K32">
        <f>I8</f>
        <v>32.626515972576399</v>
      </c>
      <c r="L32">
        <f>I20</f>
        <v>14.779234795748634</v>
      </c>
      <c r="M32">
        <f t="shared" si="0"/>
        <v>-1.1844647598493481</v>
      </c>
      <c r="N32">
        <f t="shared" si="1"/>
        <v>16.662816416978416</v>
      </c>
    </row>
    <row r="33" spans="1:14" x14ac:dyDescent="0.2">
      <c r="A33" t="s">
        <v>64</v>
      </c>
      <c r="B33" t="s">
        <v>129</v>
      </c>
      <c r="C33" t="s">
        <v>32</v>
      </c>
      <c r="D33">
        <v>31.7679480998369</v>
      </c>
      <c r="E33">
        <v>31.7679480998369</v>
      </c>
      <c r="F33" t="s">
        <v>64</v>
      </c>
      <c r="G33" t="s">
        <v>14</v>
      </c>
      <c r="H33">
        <v>162</v>
      </c>
      <c r="I33">
        <f t="shared" ref="I33:J33" si="36">I32</f>
        <v>31.442051212727051</v>
      </c>
      <c r="J33">
        <f t="shared" si="36"/>
        <v>0.46088779768592431</v>
      </c>
      <c r="K33">
        <f>I8</f>
        <v>32.626515972576399</v>
      </c>
      <c r="L33">
        <f>I20</f>
        <v>14.779234795748634</v>
      </c>
      <c r="M33">
        <f t="shared" si="0"/>
        <v>-1.1844647598493481</v>
      </c>
      <c r="N33">
        <f t="shared" si="1"/>
        <v>16.662816416978416</v>
      </c>
    </row>
    <row r="34" spans="1:14" x14ac:dyDescent="0.2">
      <c r="A34" t="s">
        <v>65</v>
      </c>
      <c r="B34" t="s">
        <v>129</v>
      </c>
      <c r="C34" t="s">
        <v>32</v>
      </c>
      <c r="D34">
        <v>31.116154325617199</v>
      </c>
      <c r="E34">
        <v>31.116154325617199</v>
      </c>
      <c r="F34" t="s">
        <v>65</v>
      </c>
      <c r="G34" t="s">
        <v>14</v>
      </c>
      <c r="H34">
        <v>162</v>
      </c>
      <c r="I34">
        <f t="shared" ref="I34:J34" si="37">I32</f>
        <v>31.442051212727051</v>
      </c>
      <c r="J34">
        <f t="shared" si="37"/>
        <v>0.46088779768592431</v>
      </c>
      <c r="K34">
        <f>I8</f>
        <v>32.626515972576399</v>
      </c>
      <c r="L34">
        <f>I20</f>
        <v>14.779234795748634</v>
      </c>
      <c r="M34">
        <f t="shared" si="0"/>
        <v>-1.1844647598493481</v>
      </c>
      <c r="N34">
        <f t="shared" si="1"/>
        <v>16.662816416978416</v>
      </c>
    </row>
    <row r="35" spans="1:14" x14ac:dyDescent="0.2">
      <c r="A35" t="s">
        <v>66</v>
      </c>
      <c r="B35" t="s">
        <v>129</v>
      </c>
      <c r="C35" t="s">
        <v>32</v>
      </c>
      <c r="D35">
        <v>33.513191295786797</v>
      </c>
      <c r="E35">
        <v>33.513191295786797</v>
      </c>
      <c r="F35" t="s">
        <v>66</v>
      </c>
      <c r="G35" t="s">
        <v>23</v>
      </c>
      <c r="H35">
        <v>162</v>
      </c>
      <c r="I35">
        <f t="shared" ref="I35" si="38">AVERAGE(D35:D37)</f>
        <v>33.557448727583299</v>
      </c>
      <c r="J35">
        <f t="shared" ref="J35" si="39">STDEV(D35:D37)</f>
        <v>6.2589460282416146E-2</v>
      </c>
      <c r="K35">
        <f>I8</f>
        <v>32.626515972576399</v>
      </c>
      <c r="L35">
        <f>I20</f>
        <v>14.779234795748634</v>
      </c>
      <c r="M35">
        <f t="shared" si="0"/>
        <v>0.93093275500689998</v>
      </c>
      <c r="N35">
        <f t="shared" si="1"/>
        <v>18.778213931834664</v>
      </c>
    </row>
    <row r="36" spans="1:14" x14ac:dyDescent="0.2">
      <c r="A36" t="s">
        <v>67</v>
      </c>
      <c r="B36" t="s">
        <v>129</v>
      </c>
      <c r="C36" t="s">
        <v>32</v>
      </c>
      <c r="D36">
        <v>33.601706159379802</v>
      </c>
      <c r="E36">
        <v>33.601706159379802</v>
      </c>
      <c r="F36" t="s">
        <v>67</v>
      </c>
      <c r="G36" t="s">
        <v>23</v>
      </c>
      <c r="H36">
        <v>162</v>
      </c>
      <c r="I36">
        <f t="shared" ref="I36:J37" si="40">I35</f>
        <v>33.557448727583299</v>
      </c>
      <c r="J36">
        <f t="shared" si="40"/>
        <v>6.2589460282416146E-2</v>
      </c>
      <c r="K36">
        <f>I8</f>
        <v>32.626515972576399</v>
      </c>
      <c r="L36">
        <f>I20</f>
        <v>14.779234795748634</v>
      </c>
      <c r="M36">
        <f t="shared" si="0"/>
        <v>0.93093275500689998</v>
      </c>
      <c r="N36">
        <f t="shared" si="1"/>
        <v>18.778213931834664</v>
      </c>
    </row>
    <row r="37" spans="1:14" x14ac:dyDescent="0.2">
      <c r="A37" t="s">
        <v>68</v>
      </c>
      <c r="B37" t="s">
        <v>129</v>
      </c>
      <c r="C37" t="s">
        <v>32</v>
      </c>
      <c r="E37">
        <v>38.917379057769601</v>
      </c>
      <c r="F37" t="s">
        <v>68</v>
      </c>
      <c r="G37" t="s">
        <v>23</v>
      </c>
      <c r="H37">
        <v>162</v>
      </c>
      <c r="I37">
        <f t="shared" si="40"/>
        <v>33.557448727583299</v>
      </c>
      <c r="J37">
        <f t="shared" ref="J37" si="41">J35</f>
        <v>6.2589460282416146E-2</v>
      </c>
      <c r="K37">
        <f>I8</f>
        <v>32.626515972576399</v>
      </c>
      <c r="L37">
        <f>I20</f>
        <v>14.779234795748634</v>
      </c>
      <c r="M37">
        <f t="shared" si="0"/>
        <v>0.93093275500689998</v>
      </c>
      <c r="N37">
        <f t="shared" si="1"/>
        <v>18.778213931834664</v>
      </c>
    </row>
    <row r="38" spans="1:14" x14ac:dyDescent="0.2">
      <c r="A38" t="s">
        <v>69</v>
      </c>
      <c r="B38" t="s">
        <v>129</v>
      </c>
      <c r="C38" t="s">
        <v>32</v>
      </c>
      <c r="D38">
        <v>27.6992813591479</v>
      </c>
      <c r="E38">
        <v>27.6992813591479</v>
      </c>
      <c r="F38" t="s">
        <v>69</v>
      </c>
      <c r="G38" t="s">
        <v>15</v>
      </c>
      <c r="H38">
        <v>144</v>
      </c>
      <c r="I38">
        <f t="shared" ref="I38" si="42">AVERAGE(D38:D40)</f>
        <v>27.398169132353768</v>
      </c>
      <c r="J38">
        <f t="shared" ref="J38" si="43">STDEV(D38:D40)</f>
        <v>0.3343011631805991</v>
      </c>
      <c r="K38">
        <f>I2</f>
        <v>28.493489288405797</v>
      </c>
      <c r="L38">
        <f>I14</f>
        <v>16.033335517056035</v>
      </c>
      <c r="M38">
        <f t="shared" si="0"/>
        <v>-1.0953201560520291</v>
      </c>
      <c r="N38">
        <f t="shared" si="1"/>
        <v>11.364833615297734</v>
      </c>
    </row>
    <row r="39" spans="1:14" x14ac:dyDescent="0.2">
      <c r="A39" t="s">
        <v>70</v>
      </c>
      <c r="B39" t="s">
        <v>129</v>
      </c>
      <c r="C39" t="s">
        <v>32</v>
      </c>
      <c r="D39">
        <v>27.038434057633602</v>
      </c>
      <c r="E39">
        <v>27.038434057633602</v>
      </c>
      <c r="F39" t="s">
        <v>70</v>
      </c>
      <c r="G39" t="s">
        <v>15</v>
      </c>
      <c r="H39">
        <v>144</v>
      </c>
      <c r="I39">
        <f t="shared" ref="I39:J39" si="44">I38</f>
        <v>27.398169132353768</v>
      </c>
      <c r="J39">
        <f t="shared" si="44"/>
        <v>0.3343011631805991</v>
      </c>
      <c r="K39">
        <f>I2</f>
        <v>28.493489288405797</v>
      </c>
      <c r="L39">
        <f>I14</f>
        <v>16.033335517056035</v>
      </c>
      <c r="M39">
        <f t="shared" si="0"/>
        <v>-1.0953201560520291</v>
      </c>
      <c r="N39">
        <f t="shared" si="1"/>
        <v>11.364833615297734</v>
      </c>
    </row>
    <row r="40" spans="1:14" x14ac:dyDescent="0.2">
      <c r="A40" t="s">
        <v>71</v>
      </c>
      <c r="B40" t="s">
        <v>129</v>
      </c>
      <c r="C40" t="s">
        <v>32</v>
      </c>
      <c r="D40">
        <v>27.4567919802798</v>
      </c>
      <c r="E40">
        <v>27.4567919802798</v>
      </c>
      <c r="F40" t="s">
        <v>71</v>
      </c>
      <c r="G40" t="s">
        <v>15</v>
      </c>
      <c r="H40">
        <v>144</v>
      </c>
      <c r="I40">
        <f t="shared" ref="I40:J40" si="45">I38</f>
        <v>27.398169132353768</v>
      </c>
      <c r="J40">
        <f t="shared" si="45"/>
        <v>0.3343011631805991</v>
      </c>
      <c r="K40">
        <f>I2</f>
        <v>28.493489288405797</v>
      </c>
      <c r="L40">
        <f>I14</f>
        <v>16.033335517056035</v>
      </c>
      <c r="M40">
        <f t="shared" si="0"/>
        <v>-1.0953201560520291</v>
      </c>
      <c r="N40">
        <f t="shared" si="1"/>
        <v>11.364833615297734</v>
      </c>
    </row>
    <row r="41" spans="1:14" x14ac:dyDescent="0.2">
      <c r="A41" t="s">
        <v>72</v>
      </c>
      <c r="B41" t="s">
        <v>129</v>
      </c>
      <c r="C41" t="s">
        <v>32</v>
      </c>
      <c r="D41">
        <v>28.6079329202813</v>
      </c>
      <c r="E41">
        <v>28.6079329202813</v>
      </c>
      <c r="F41" t="s">
        <v>72</v>
      </c>
      <c r="G41" t="s">
        <v>22</v>
      </c>
      <c r="H41">
        <v>144</v>
      </c>
      <c r="I41">
        <f t="shared" ref="I41" si="46">AVERAGE(D41:D43)</f>
        <v>28.484728020801697</v>
      </c>
      <c r="J41">
        <f t="shared" ref="J41" si="47">STDEV(D41:D43)</f>
        <v>0.18898291357856276</v>
      </c>
      <c r="K41">
        <f>I2</f>
        <v>28.493489288405797</v>
      </c>
      <c r="L41">
        <f>I14</f>
        <v>16.033335517056035</v>
      </c>
      <c r="M41">
        <f t="shared" si="0"/>
        <v>-8.7612676041004534E-3</v>
      </c>
      <c r="N41">
        <f t="shared" si="1"/>
        <v>12.451392503745662</v>
      </c>
    </row>
    <row r="42" spans="1:14" x14ac:dyDescent="0.2">
      <c r="A42" t="s">
        <v>73</v>
      </c>
      <c r="B42" t="s">
        <v>129</v>
      </c>
      <c r="C42" t="s">
        <v>32</v>
      </c>
      <c r="D42">
        <v>28.267144943473699</v>
      </c>
      <c r="E42">
        <v>28.267144943473699</v>
      </c>
      <c r="F42" t="s">
        <v>73</v>
      </c>
      <c r="G42" t="s">
        <v>22</v>
      </c>
      <c r="H42">
        <v>144</v>
      </c>
      <c r="I42">
        <f t="shared" ref="I42:J43" si="48">I41</f>
        <v>28.484728020801697</v>
      </c>
      <c r="J42">
        <f t="shared" si="48"/>
        <v>0.18898291357856276</v>
      </c>
      <c r="K42">
        <f>I2</f>
        <v>28.493489288405797</v>
      </c>
      <c r="L42">
        <f>I14</f>
        <v>16.033335517056035</v>
      </c>
      <c r="M42">
        <f t="shared" si="0"/>
        <v>-8.7612676041004534E-3</v>
      </c>
      <c r="N42">
        <f t="shared" si="1"/>
        <v>12.451392503745662</v>
      </c>
    </row>
    <row r="43" spans="1:14" x14ac:dyDescent="0.2">
      <c r="A43" t="s">
        <v>74</v>
      </c>
      <c r="B43" t="s">
        <v>129</v>
      </c>
      <c r="C43" t="s">
        <v>32</v>
      </c>
      <c r="D43">
        <v>28.579106198650098</v>
      </c>
      <c r="E43">
        <v>28.579106198650098</v>
      </c>
      <c r="F43" t="s">
        <v>74</v>
      </c>
      <c r="G43" t="s">
        <v>22</v>
      </c>
      <c r="H43">
        <v>144</v>
      </c>
      <c r="I43">
        <f t="shared" si="48"/>
        <v>28.484728020801697</v>
      </c>
      <c r="J43">
        <f t="shared" ref="J43" si="49">J41</f>
        <v>0.18898291357856276</v>
      </c>
      <c r="K43">
        <f>I2</f>
        <v>28.493489288405797</v>
      </c>
      <c r="L43">
        <f>I14</f>
        <v>16.033335517056035</v>
      </c>
      <c r="M43">
        <f t="shared" si="0"/>
        <v>-8.7612676041004534E-3</v>
      </c>
      <c r="N43">
        <f t="shared" si="1"/>
        <v>12.451392503745662</v>
      </c>
    </row>
    <row r="44" spans="1:14" x14ac:dyDescent="0.2">
      <c r="A44" t="s">
        <v>75</v>
      </c>
      <c r="B44" t="s">
        <v>129</v>
      </c>
      <c r="C44" t="s">
        <v>32</v>
      </c>
      <c r="D44">
        <v>32.964053821048203</v>
      </c>
      <c r="E44">
        <v>32.964053821048203</v>
      </c>
      <c r="F44" t="s">
        <v>75</v>
      </c>
      <c r="G44" t="s">
        <v>15</v>
      </c>
      <c r="H44">
        <v>162</v>
      </c>
      <c r="I44">
        <f t="shared" ref="I44" si="50">AVERAGE(D44:D46)</f>
        <v>32.955653068615852</v>
      </c>
      <c r="J44">
        <f t="shared" ref="J44" si="51">STDEV(D44:D46)</f>
        <v>1.1880458023969628E-2</v>
      </c>
      <c r="K44">
        <f>I8</f>
        <v>32.626515972576399</v>
      </c>
      <c r="L44">
        <f>I20</f>
        <v>14.779234795748634</v>
      </c>
      <c r="M44">
        <f t="shared" si="0"/>
        <v>0.32913709603945307</v>
      </c>
      <c r="N44">
        <f t="shared" si="1"/>
        <v>18.176418272867217</v>
      </c>
    </row>
    <row r="45" spans="1:14" x14ac:dyDescent="0.2">
      <c r="A45" t="s">
        <v>76</v>
      </c>
      <c r="B45" t="s">
        <v>129</v>
      </c>
      <c r="C45" t="s">
        <v>32</v>
      </c>
      <c r="D45">
        <v>32.947252316183501</v>
      </c>
      <c r="E45">
        <v>32.947252316183501</v>
      </c>
      <c r="F45" t="s">
        <v>76</v>
      </c>
      <c r="G45" t="s">
        <v>15</v>
      </c>
      <c r="H45">
        <v>162</v>
      </c>
      <c r="I45">
        <f t="shared" ref="I45:J45" si="52">I44</f>
        <v>32.955653068615852</v>
      </c>
      <c r="J45">
        <f t="shared" si="52"/>
        <v>1.1880458023969628E-2</v>
      </c>
      <c r="K45">
        <f>I8</f>
        <v>32.626515972576399</v>
      </c>
      <c r="L45">
        <f>I20</f>
        <v>14.779234795748634</v>
      </c>
      <c r="M45">
        <f t="shared" si="0"/>
        <v>0.32913709603945307</v>
      </c>
      <c r="N45">
        <f t="shared" si="1"/>
        <v>18.176418272867217</v>
      </c>
    </row>
    <row r="46" spans="1:14" x14ac:dyDescent="0.2">
      <c r="A46" t="s">
        <v>77</v>
      </c>
      <c r="B46" t="s">
        <v>129</v>
      </c>
      <c r="C46" t="s">
        <v>32</v>
      </c>
      <c r="E46">
        <v>33.7402838601163</v>
      </c>
      <c r="F46" t="s">
        <v>77</v>
      </c>
      <c r="G46" t="s">
        <v>15</v>
      </c>
      <c r="H46">
        <v>162</v>
      </c>
      <c r="I46">
        <f t="shared" ref="I46:J46" si="53">I44</f>
        <v>32.955653068615852</v>
      </c>
      <c r="J46">
        <f t="shared" si="53"/>
        <v>1.1880458023969628E-2</v>
      </c>
      <c r="K46">
        <f>I8</f>
        <v>32.626515972576399</v>
      </c>
      <c r="L46">
        <f>I20</f>
        <v>14.779234795748634</v>
      </c>
      <c r="M46">
        <f t="shared" si="0"/>
        <v>0.32913709603945307</v>
      </c>
      <c r="N46">
        <f t="shared" si="1"/>
        <v>18.176418272867217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36.243615172931001</v>
      </c>
      <c r="F47" s="17" t="s">
        <v>78</v>
      </c>
      <c r="G47" s="17" t="s">
        <v>22</v>
      </c>
      <c r="H47" s="17">
        <v>162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32.626515972576399</v>
      </c>
      <c r="L47" s="17">
        <f>I20</f>
        <v>14.779234795748634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 t="s">
        <v>33</v>
      </c>
      <c r="F48" s="17" t="s">
        <v>79</v>
      </c>
      <c r="G48" s="17" t="s">
        <v>22</v>
      </c>
      <c r="H48" s="17">
        <v>162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32.626515972576399</v>
      </c>
      <c r="L48" s="17">
        <f>I20</f>
        <v>14.779234795748634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 t="s">
        <v>33</v>
      </c>
      <c r="F49" s="17" t="s">
        <v>80</v>
      </c>
      <c r="G49" s="17" t="s">
        <v>22</v>
      </c>
      <c r="H49" s="17">
        <v>162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32.626515972576399</v>
      </c>
      <c r="L49" s="17">
        <f>I20</f>
        <v>14.779234795748634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27.210125724249501</v>
      </c>
      <c r="E50">
        <v>27.210125724249501</v>
      </c>
      <c r="F50" t="s">
        <v>81</v>
      </c>
      <c r="G50" t="s">
        <v>16</v>
      </c>
      <c r="H50">
        <v>144</v>
      </c>
      <c r="I50">
        <f t="shared" ref="I50" si="58">AVERAGE(D50:D52)</f>
        <v>27.073358792025363</v>
      </c>
      <c r="J50">
        <f t="shared" ref="J50" si="59">STDEV(D50:D52)</f>
        <v>0.13914573898874266</v>
      </c>
      <c r="K50">
        <f>I2</f>
        <v>28.493489288405797</v>
      </c>
      <c r="L50">
        <f>I14</f>
        <v>16.033335517056035</v>
      </c>
      <c r="M50">
        <f t="shared" si="0"/>
        <v>-1.420130496380434</v>
      </c>
      <c r="N50">
        <f t="shared" si="1"/>
        <v>11.040023274969329</v>
      </c>
    </row>
    <row r="51" spans="1:14" x14ac:dyDescent="0.2">
      <c r="A51" t="s">
        <v>82</v>
      </c>
      <c r="B51" t="s">
        <v>129</v>
      </c>
      <c r="C51" t="s">
        <v>32</v>
      </c>
      <c r="D51">
        <v>27.0780002625187</v>
      </c>
      <c r="E51">
        <v>27.0780002625187</v>
      </c>
      <c r="F51" t="s">
        <v>82</v>
      </c>
      <c r="G51" t="s">
        <v>16</v>
      </c>
      <c r="H51">
        <v>144</v>
      </c>
      <c r="I51">
        <f t="shared" ref="I51:J51" si="60">I50</f>
        <v>27.073358792025363</v>
      </c>
      <c r="J51">
        <f t="shared" si="60"/>
        <v>0.13914573898874266</v>
      </c>
      <c r="K51">
        <f>I2</f>
        <v>28.493489288405797</v>
      </c>
      <c r="L51">
        <f>I14</f>
        <v>16.033335517056035</v>
      </c>
      <c r="M51">
        <f t="shared" si="0"/>
        <v>-1.420130496380434</v>
      </c>
      <c r="N51">
        <f t="shared" si="1"/>
        <v>11.040023274969329</v>
      </c>
    </row>
    <row r="52" spans="1:14" x14ac:dyDescent="0.2">
      <c r="A52" t="s">
        <v>83</v>
      </c>
      <c r="B52" t="s">
        <v>129</v>
      </c>
      <c r="C52" t="s">
        <v>32</v>
      </c>
      <c r="D52">
        <v>26.9319503893079</v>
      </c>
      <c r="E52">
        <v>26.9319503893079</v>
      </c>
      <c r="F52" t="s">
        <v>83</v>
      </c>
      <c r="G52" t="s">
        <v>16</v>
      </c>
      <c r="H52">
        <v>144</v>
      </c>
      <c r="I52">
        <f t="shared" ref="I52:J52" si="61">I50</f>
        <v>27.073358792025363</v>
      </c>
      <c r="J52">
        <f t="shared" si="61"/>
        <v>0.13914573898874266</v>
      </c>
      <c r="K52">
        <f>I2</f>
        <v>28.493489288405797</v>
      </c>
      <c r="L52">
        <f>I14</f>
        <v>16.033335517056035</v>
      </c>
      <c r="M52">
        <f t="shared" si="0"/>
        <v>-1.420130496380434</v>
      </c>
      <c r="N52">
        <f t="shared" si="1"/>
        <v>11.040023274969329</v>
      </c>
    </row>
    <row r="53" spans="1:14" x14ac:dyDescent="0.2">
      <c r="A53" t="s">
        <v>84</v>
      </c>
      <c r="B53" t="s">
        <v>129</v>
      </c>
      <c r="C53" t="s">
        <v>32</v>
      </c>
      <c r="D53">
        <v>27.6696235903038</v>
      </c>
      <c r="E53">
        <v>27.6696235903038</v>
      </c>
      <c r="F53" t="s">
        <v>84</v>
      </c>
      <c r="G53" t="s">
        <v>24</v>
      </c>
      <c r="H53">
        <v>144</v>
      </c>
      <c r="I53">
        <f t="shared" ref="I53" si="62">AVERAGE(D53:D55)</f>
        <v>27.64736141340077</v>
      </c>
      <c r="J53">
        <f t="shared" ref="J53" si="63">STDEV(D53:D55)</f>
        <v>0.23956876421661163</v>
      </c>
      <c r="K53">
        <f>I2</f>
        <v>28.493489288405797</v>
      </c>
      <c r="L53">
        <f>I14</f>
        <v>16.033335517056035</v>
      </c>
      <c r="M53">
        <f t="shared" si="0"/>
        <v>-0.84612787500502762</v>
      </c>
      <c r="N53">
        <f t="shared" si="1"/>
        <v>11.614025896344735</v>
      </c>
    </row>
    <row r="54" spans="1:14" x14ac:dyDescent="0.2">
      <c r="A54" t="s">
        <v>85</v>
      </c>
      <c r="B54" t="s">
        <v>129</v>
      </c>
      <c r="C54" t="s">
        <v>32</v>
      </c>
      <c r="D54">
        <v>27.397438596872401</v>
      </c>
      <c r="E54">
        <v>27.397438596872401</v>
      </c>
      <c r="F54" t="s">
        <v>85</v>
      </c>
      <c r="G54" t="s">
        <v>24</v>
      </c>
      <c r="H54">
        <v>144</v>
      </c>
      <c r="I54">
        <f t="shared" ref="I54:J55" si="64">I53</f>
        <v>27.64736141340077</v>
      </c>
      <c r="J54">
        <f t="shared" si="64"/>
        <v>0.23956876421661163</v>
      </c>
      <c r="K54">
        <f>I2</f>
        <v>28.493489288405797</v>
      </c>
      <c r="L54">
        <f>I14</f>
        <v>16.033335517056035</v>
      </c>
      <c r="M54">
        <f t="shared" si="0"/>
        <v>-0.84612787500502762</v>
      </c>
      <c r="N54">
        <f t="shared" si="1"/>
        <v>11.614025896344735</v>
      </c>
    </row>
    <row r="55" spans="1:14" x14ac:dyDescent="0.2">
      <c r="A55" t="s">
        <v>86</v>
      </c>
      <c r="B55" t="s">
        <v>129</v>
      </c>
      <c r="C55" t="s">
        <v>32</v>
      </c>
      <c r="D55">
        <v>27.8750220530261</v>
      </c>
      <c r="E55">
        <v>27.8750220530261</v>
      </c>
      <c r="F55" t="s">
        <v>86</v>
      </c>
      <c r="G55" t="s">
        <v>24</v>
      </c>
      <c r="H55">
        <v>144</v>
      </c>
      <c r="I55">
        <f t="shared" si="64"/>
        <v>27.64736141340077</v>
      </c>
      <c r="J55">
        <f t="shared" ref="J55" si="65">J53</f>
        <v>0.23956876421661163</v>
      </c>
      <c r="K55">
        <f>I2</f>
        <v>28.493489288405797</v>
      </c>
      <c r="L55">
        <f>I14</f>
        <v>16.033335517056035</v>
      </c>
      <c r="M55">
        <f t="shared" si="0"/>
        <v>-0.84612787500502762</v>
      </c>
      <c r="N55">
        <f t="shared" si="1"/>
        <v>11.614025896344735</v>
      </c>
    </row>
    <row r="56" spans="1:14" x14ac:dyDescent="0.2">
      <c r="A56" t="s">
        <v>87</v>
      </c>
      <c r="B56" t="s">
        <v>129</v>
      </c>
      <c r="C56" t="s">
        <v>32</v>
      </c>
      <c r="D56">
        <v>32.9228306377263</v>
      </c>
      <c r="E56">
        <v>32.9228306377263</v>
      </c>
      <c r="F56" t="s">
        <v>87</v>
      </c>
      <c r="G56" t="s">
        <v>16</v>
      </c>
      <c r="H56">
        <v>162</v>
      </c>
      <c r="I56">
        <f t="shared" ref="I56" si="66">AVERAGE(D56:D58)</f>
        <v>32.591390864135967</v>
      </c>
      <c r="J56">
        <f t="shared" ref="J56" si="67">STDEV(D56:D58)</f>
        <v>0.32280330814443114</v>
      </c>
      <c r="K56">
        <f>I8</f>
        <v>32.626515972576399</v>
      </c>
      <c r="L56">
        <f>I20</f>
        <v>14.779234795748634</v>
      </c>
      <c r="M56">
        <f t="shared" si="0"/>
        <v>-3.5125108440432484E-2</v>
      </c>
      <c r="N56">
        <f t="shared" si="1"/>
        <v>17.812156068387331</v>
      </c>
    </row>
    <row r="57" spans="1:14" x14ac:dyDescent="0.2">
      <c r="A57" t="s">
        <v>88</v>
      </c>
      <c r="B57" t="s">
        <v>129</v>
      </c>
      <c r="C57" t="s">
        <v>32</v>
      </c>
      <c r="D57">
        <v>32.277979633279003</v>
      </c>
      <c r="E57">
        <v>32.277979633279003</v>
      </c>
      <c r="F57" t="s">
        <v>88</v>
      </c>
      <c r="G57" t="s">
        <v>16</v>
      </c>
      <c r="H57">
        <v>162</v>
      </c>
      <c r="I57">
        <f t="shared" ref="I57:J57" si="68">I56</f>
        <v>32.591390864135967</v>
      </c>
      <c r="J57">
        <f t="shared" si="68"/>
        <v>0.32280330814443114</v>
      </c>
      <c r="K57">
        <f>I8</f>
        <v>32.626515972576399</v>
      </c>
      <c r="L57">
        <f>I20</f>
        <v>14.779234795748634</v>
      </c>
      <c r="M57">
        <f t="shared" si="0"/>
        <v>-3.5125108440432484E-2</v>
      </c>
      <c r="N57">
        <f t="shared" si="1"/>
        <v>17.812156068387331</v>
      </c>
    </row>
    <row r="58" spans="1:14" x14ac:dyDescent="0.2">
      <c r="A58" t="s">
        <v>89</v>
      </c>
      <c r="B58" t="s">
        <v>129</v>
      </c>
      <c r="C58" t="s">
        <v>32</v>
      </c>
      <c r="D58">
        <v>32.573362321402598</v>
      </c>
      <c r="E58">
        <v>32.573362321402598</v>
      </c>
      <c r="F58" t="s">
        <v>89</v>
      </c>
      <c r="G58" t="s">
        <v>16</v>
      </c>
      <c r="H58">
        <v>162</v>
      </c>
      <c r="I58">
        <f t="shared" ref="I58:J58" si="69">I56</f>
        <v>32.591390864135967</v>
      </c>
      <c r="J58">
        <f t="shared" si="69"/>
        <v>0.32280330814443114</v>
      </c>
      <c r="K58">
        <f>I8</f>
        <v>32.626515972576399</v>
      </c>
      <c r="L58">
        <f>I20</f>
        <v>14.779234795748634</v>
      </c>
      <c r="M58">
        <f t="shared" si="0"/>
        <v>-3.5125108440432484E-2</v>
      </c>
      <c r="N58">
        <f t="shared" si="1"/>
        <v>17.812156068387331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33.880436579708501</v>
      </c>
      <c r="F59" s="17" t="s">
        <v>90</v>
      </c>
      <c r="G59" s="17" t="s">
        <v>24</v>
      </c>
      <c r="H59" s="17">
        <v>162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32.626515972576399</v>
      </c>
      <c r="L59" s="17">
        <f>I20</f>
        <v>14.779234795748634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 t="s">
        <v>33</v>
      </c>
      <c r="F60" s="17" t="s">
        <v>91</v>
      </c>
      <c r="G60" s="17" t="s">
        <v>24</v>
      </c>
      <c r="H60" s="17">
        <v>162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32.626515972576399</v>
      </c>
      <c r="L60" s="17">
        <f>I20</f>
        <v>14.779234795748634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7" t="s">
        <v>24</v>
      </c>
      <c r="H61" s="17">
        <v>162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32.626515972576399</v>
      </c>
      <c r="L61" s="17">
        <f>I20</f>
        <v>14.779234795748634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28.2651797378251</v>
      </c>
      <c r="E62">
        <v>28.2651797378251</v>
      </c>
      <c r="F62" t="s">
        <v>93</v>
      </c>
      <c r="G62" t="s">
        <v>17</v>
      </c>
      <c r="H62">
        <v>144</v>
      </c>
      <c r="I62">
        <f t="shared" ref="I62" si="74">AVERAGE(D62:D64)</f>
        <v>28.033992189034702</v>
      </c>
      <c r="J62">
        <f t="shared" ref="J62" si="75">STDEV(D62:D64)</f>
        <v>0.20544987113469945</v>
      </c>
      <c r="K62">
        <f>I2</f>
        <v>28.493489288405797</v>
      </c>
      <c r="L62">
        <f>I14</f>
        <v>16.033335517056035</v>
      </c>
      <c r="M62">
        <f t="shared" si="0"/>
        <v>-0.45949709937109517</v>
      </c>
      <c r="N62">
        <f t="shared" si="1"/>
        <v>12.000656671978668</v>
      </c>
    </row>
    <row r="63" spans="1:14" x14ac:dyDescent="0.2">
      <c r="A63" t="s">
        <v>94</v>
      </c>
      <c r="B63" t="s">
        <v>129</v>
      </c>
      <c r="C63" t="s">
        <v>32</v>
      </c>
      <c r="D63">
        <v>27.9644840687249</v>
      </c>
      <c r="E63">
        <v>27.9644840687249</v>
      </c>
      <c r="F63" t="s">
        <v>94</v>
      </c>
      <c r="G63" t="s">
        <v>17</v>
      </c>
      <c r="H63">
        <v>144</v>
      </c>
      <c r="I63">
        <f t="shared" ref="I63:J63" si="76">I62</f>
        <v>28.033992189034702</v>
      </c>
      <c r="J63">
        <f t="shared" si="76"/>
        <v>0.20544987113469945</v>
      </c>
      <c r="K63">
        <f>I2</f>
        <v>28.493489288405797</v>
      </c>
      <c r="L63">
        <f>I14</f>
        <v>16.033335517056035</v>
      </c>
      <c r="M63">
        <f t="shared" si="0"/>
        <v>-0.45949709937109517</v>
      </c>
      <c r="N63">
        <f t="shared" si="1"/>
        <v>12.000656671978668</v>
      </c>
    </row>
    <row r="64" spans="1:14" x14ac:dyDescent="0.2">
      <c r="A64" t="s">
        <v>95</v>
      </c>
      <c r="B64" t="s">
        <v>129</v>
      </c>
      <c r="C64" t="s">
        <v>32</v>
      </c>
      <c r="D64">
        <v>27.872312760554099</v>
      </c>
      <c r="E64">
        <v>27.872312760554099</v>
      </c>
      <c r="F64" t="s">
        <v>95</v>
      </c>
      <c r="G64" t="s">
        <v>17</v>
      </c>
      <c r="H64">
        <v>144</v>
      </c>
      <c r="I64">
        <f t="shared" ref="I64:J64" si="77">I62</f>
        <v>28.033992189034702</v>
      </c>
      <c r="J64">
        <f t="shared" si="77"/>
        <v>0.20544987113469945</v>
      </c>
      <c r="K64">
        <f>I2</f>
        <v>28.493489288405797</v>
      </c>
      <c r="L64">
        <f>I14</f>
        <v>16.033335517056035</v>
      </c>
      <c r="M64">
        <f t="shared" si="0"/>
        <v>-0.45949709937109517</v>
      </c>
      <c r="N64">
        <f t="shared" si="1"/>
        <v>12.000656671978668</v>
      </c>
    </row>
    <row r="65" spans="1:14" x14ac:dyDescent="0.2">
      <c r="A65" t="s">
        <v>96</v>
      </c>
      <c r="B65" t="s">
        <v>129</v>
      </c>
      <c r="C65" t="s">
        <v>32</v>
      </c>
      <c r="D65">
        <v>28.370050574436199</v>
      </c>
      <c r="E65">
        <v>28.370050574436199</v>
      </c>
      <c r="F65" t="s">
        <v>96</v>
      </c>
      <c r="G65" t="s">
        <v>25</v>
      </c>
      <c r="H65">
        <v>144</v>
      </c>
      <c r="I65">
        <f t="shared" ref="I65" si="78">AVERAGE(D65:D67)</f>
        <v>28.507304282434266</v>
      </c>
      <c r="J65">
        <f t="shared" ref="J65" si="79">STDEV(D65:D67)</f>
        <v>0.14665666376637299</v>
      </c>
      <c r="K65">
        <f>I2</f>
        <v>28.493489288405797</v>
      </c>
      <c r="L65">
        <f>I14</f>
        <v>16.033335517056035</v>
      </c>
      <c r="M65">
        <f t="shared" si="0"/>
        <v>1.3814994028468419E-2</v>
      </c>
      <c r="N65">
        <f t="shared" si="1"/>
        <v>12.473968765378231</v>
      </c>
    </row>
    <row r="66" spans="1:14" x14ac:dyDescent="0.2">
      <c r="A66" t="s">
        <v>97</v>
      </c>
      <c r="B66" t="s">
        <v>129</v>
      </c>
      <c r="C66" t="s">
        <v>32</v>
      </c>
      <c r="D66">
        <v>28.490028623328801</v>
      </c>
      <c r="E66">
        <v>28.490028623328801</v>
      </c>
      <c r="F66" t="s">
        <v>97</v>
      </c>
      <c r="G66" t="s">
        <v>25</v>
      </c>
      <c r="H66">
        <v>144</v>
      </c>
      <c r="I66">
        <f t="shared" ref="I66:J67" si="80">I65</f>
        <v>28.507304282434266</v>
      </c>
      <c r="J66">
        <f t="shared" si="80"/>
        <v>0.14665666376637299</v>
      </c>
      <c r="K66">
        <f>I2</f>
        <v>28.493489288405797</v>
      </c>
      <c r="L66">
        <f>I14</f>
        <v>16.033335517056035</v>
      </c>
      <c r="M66">
        <f t="shared" si="0"/>
        <v>1.3814994028468419E-2</v>
      </c>
      <c r="N66">
        <f t="shared" si="1"/>
        <v>12.473968765378231</v>
      </c>
    </row>
    <row r="67" spans="1:14" x14ac:dyDescent="0.2">
      <c r="A67" t="s">
        <v>98</v>
      </c>
      <c r="B67" t="s">
        <v>129</v>
      </c>
      <c r="C67" t="s">
        <v>32</v>
      </c>
      <c r="D67">
        <v>28.661833649537801</v>
      </c>
      <c r="E67">
        <v>28.661833649537801</v>
      </c>
      <c r="F67" t="s">
        <v>98</v>
      </c>
      <c r="G67" t="s">
        <v>25</v>
      </c>
      <c r="H67">
        <v>144</v>
      </c>
      <c r="I67">
        <f t="shared" si="80"/>
        <v>28.507304282434266</v>
      </c>
      <c r="J67">
        <f t="shared" ref="J67" si="81">J65</f>
        <v>0.14665666376637299</v>
      </c>
      <c r="K67">
        <f>I2</f>
        <v>28.493489288405797</v>
      </c>
      <c r="L67">
        <f>I14</f>
        <v>16.033335517056035</v>
      </c>
      <c r="M67">
        <f t="shared" ref="M67:M97" si="82">I67-K67</f>
        <v>1.3814994028468419E-2</v>
      </c>
      <c r="N67">
        <f t="shared" ref="N67:N97" si="83">I67-L67</f>
        <v>12.473968765378231</v>
      </c>
    </row>
    <row r="68" spans="1:14" x14ac:dyDescent="0.2">
      <c r="A68" t="s">
        <v>99</v>
      </c>
      <c r="B68" t="s">
        <v>129</v>
      </c>
      <c r="C68" t="s">
        <v>32</v>
      </c>
      <c r="D68">
        <v>32.7951891751255</v>
      </c>
      <c r="E68">
        <v>32.7951891751255</v>
      </c>
      <c r="F68" t="s">
        <v>99</v>
      </c>
      <c r="G68" t="s">
        <v>17</v>
      </c>
      <c r="H68">
        <v>162</v>
      </c>
      <c r="I68">
        <f t="shared" ref="I68" si="84">AVERAGE(D68:D70)</f>
        <v>32.62118219071705</v>
      </c>
      <c r="J68">
        <f t="shared" ref="J68" si="85">STDEV(D68:D70)</f>
        <v>0.24608303729807396</v>
      </c>
      <c r="K68">
        <f>I8</f>
        <v>32.626515972576399</v>
      </c>
      <c r="L68">
        <f>I20</f>
        <v>14.779234795748634</v>
      </c>
      <c r="M68">
        <f t="shared" si="82"/>
        <v>-5.3337818593490738E-3</v>
      </c>
      <c r="N68">
        <f t="shared" si="83"/>
        <v>17.841947394968415</v>
      </c>
    </row>
    <row r="69" spans="1:14" x14ac:dyDescent="0.2">
      <c r="A69" t="s">
        <v>100</v>
      </c>
      <c r="B69" t="s">
        <v>129</v>
      </c>
      <c r="C69" t="s">
        <v>32</v>
      </c>
      <c r="E69">
        <v>31.802866920667299</v>
      </c>
      <c r="F69" t="s">
        <v>100</v>
      </c>
      <c r="G69" t="s">
        <v>17</v>
      </c>
      <c r="H69">
        <v>162</v>
      </c>
      <c r="I69">
        <f t="shared" ref="I69:J69" si="86">I68</f>
        <v>32.62118219071705</v>
      </c>
      <c r="J69">
        <f t="shared" si="86"/>
        <v>0.24608303729807396</v>
      </c>
      <c r="K69">
        <f>I8</f>
        <v>32.626515972576399</v>
      </c>
      <c r="L69">
        <f>I20</f>
        <v>14.779234795748634</v>
      </c>
      <c r="M69">
        <f t="shared" si="82"/>
        <v>-5.3337818593490738E-3</v>
      </c>
      <c r="N69">
        <f t="shared" si="83"/>
        <v>17.841947394968415</v>
      </c>
    </row>
    <row r="70" spans="1:14" x14ac:dyDescent="0.2">
      <c r="A70" t="s">
        <v>101</v>
      </c>
      <c r="B70" t="s">
        <v>129</v>
      </c>
      <c r="C70" t="s">
        <v>32</v>
      </c>
      <c r="D70">
        <v>32.4471752063086</v>
      </c>
      <c r="E70">
        <v>32.4471752063086</v>
      </c>
      <c r="F70" t="s">
        <v>101</v>
      </c>
      <c r="G70" t="s">
        <v>17</v>
      </c>
      <c r="H70">
        <v>162</v>
      </c>
      <c r="I70">
        <f t="shared" ref="I70:J70" si="87">I68</f>
        <v>32.62118219071705</v>
      </c>
      <c r="J70">
        <f t="shared" si="87"/>
        <v>0.24608303729807396</v>
      </c>
      <c r="K70">
        <f>I8</f>
        <v>32.626515972576399</v>
      </c>
      <c r="L70">
        <f>I20</f>
        <v>14.779234795748634</v>
      </c>
      <c r="M70">
        <f t="shared" si="82"/>
        <v>-5.3337818593490738E-3</v>
      </c>
      <c r="N70">
        <f t="shared" si="83"/>
        <v>17.841947394968415</v>
      </c>
    </row>
    <row r="71" spans="1:14" x14ac:dyDescent="0.2">
      <c r="A71" t="s">
        <v>102</v>
      </c>
      <c r="B71" t="s">
        <v>129</v>
      </c>
      <c r="C71" t="s">
        <v>32</v>
      </c>
      <c r="D71">
        <v>32.164022394174999</v>
      </c>
      <c r="E71">
        <v>32.164022394174999</v>
      </c>
      <c r="F71" t="s">
        <v>102</v>
      </c>
      <c r="G71" t="s">
        <v>25</v>
      </c>
      <c r="H71">
        <v>162</v>
      </c>
      <c r="I71">
        <f t="shared" ref="I71" si="88">AVERAGE(D71:D73)</f>
        <v>32.153672201417351</v>
      </c>
      <c r="J71">
        <f t="shared" ref="J71" si="89">STDEV(D71:D73)</f>
        <v>1.4637382971042737E-2</v>
      </c>
      <c r="K71">
        <f>I8</f>
        <v>32.626515972576399</v>
      </c>
      <c r="L71">
        <f>I20</f>
        <v>14.779234795748634</v>
      </c>
      <c r="M71">
        <f t="shared" si="82"/>
        <v>-0.47284377115904874</v>
      </c>
      <c r="N71">
        <f t="shared" si="83"/>
        <v>17.374437405668715</v>
      </c>
    </row>
    <row r="72" spans="1:14" x14ac:dyDescent="0.2">
      <c r="A72" t="s">
        <v>103</v>
      </c>
      <c r="B72" t="s">
        <v>129</v>
      </c>
      <c r="C72" t="s">
        <v>32</v>
      </c>
      <c r="D72">
        <v>32.143322008659702</v>
      </c>
      <c r="E72">
        <v>32.143322008659702</v>
      </c>
      <c r="F72" t="s">
        <v>103</v>
      </c>
      <c r="G72" t="s">
        <v>25</v>
      </c>
      <c r="H72">
        <v>162</v>
      </c>
      <c r="I72">
        <f t="shared" ref="I72:J73" si="90">I71</f>
        <v>32.153672201417351</v>
      </c>
      <c r="J72">
        <f t="shared" si="90"/>
        <v>1.4637382971042737E-2</v>
      </c>
      <c r="K72">
        <f>I8</f>
        <v>32.626515972576399</v>
      </c>
      <c r="L72">
        <f>I20</f>
        <v>14.779234795748634</v>
      </c>
      <c r="M72">
        <f t="shared" si="82"/>
        <v>-0.47284377115904874</v>
      </c>
      <c r="N72">
        <f t="shared" si="83"/>
        <v>17.374437405668715</v>
      </c>
    </row>
    <row r="73" spans="1:14" x14ac:dyDescent="0.2">
      <c r="A73" t="s">
        <v>104</v>
      </c>
      <c r="B73" t="s">
        <v>129</v>
      </c>
      <c r="C73" t="s">
        <v>32</v>
      </c>
      <c r="E73">
        <v>33.034731155788101</v>
      </c>
      <c r="F73" t="s">
        <v>104</v>
      </c>
      <c r="G73" t="s">
        <v>25</v>
      </c>
      <c r="H73">
        <v>162</v>
      </c>
      <c r="I73">
        <f t="shared" si="90"/>
        <v>32.153672201417351</v>
      </c>
      <c r="J73">
        <f t="shared" ref="J73" si="91">J71</f>
        <v>1.4637382971042737E-2</v>
      </c>
      <c r="K73">
        <f>I8</f>
        <v>32.626515972576399</v>
      </c>
      <c r="L73">
        <f>I20</f>
        <v>14.779234795748634</v>
      </c>
      <c r="M73">
        <f t="shared" si="82"/>
        <v>-0.47284377115904874</v>
      </c>
      <c r="N73">
        <f t="shared" si="83"/>
        <v>17.374437405668715</v>
      </c>
    </row>
    <row r="74" spans="1:14" x14ac:dyDescent="0.2">
      <c r="A74" t="s">
        <v>105</v>
      </c>
      <c r="B74" t="s">
        <v>129</v>
      </c>
      <c r="C74" t="s">
        <v>32</v>
      </c>
      <c r="E74">
        <v>28.935225346693802</v>
      </c>
      <c r="F74" t="s">
        <v>105</v>
      </c>
      <c r="G74" t="s">
        <v>18</v>
      </c>
      <c r="H74">
        <v>144</v>
      </c>
      <c r="I74">
        <f t="shared" ref="I74" si="92">AVERAGE(D74:D76)</f>
        <v>28.29984639311045</v>
      </c>
      <c r="J74">
        <f>STDEV(D74:D76)</f>
        <v>5.7278929401561984E-2</v>
      </c>
      <c r="K74">
        <f>I2</f>
        <v>28.493489288405797</v>
      </c>
      <c r="L74">
        <f>I14</f>
        <v>16.033335517056035</v>
      </c>
      <c r="M74">
        <f t="shared" si="82"/>
        <v>-0.19364289529534773</v>
      </c>
      <c r="N74">
        <f t="shared" si="83"/>
        <v>12.266510876054415</v>
      </c>
    </row>
    <row r="75" spans="1:14" x14ac:dyDescent="0.2">
      <c r="A75" t="s">
        <v>106</v>
      </c>
      <c r="B75" t="s">
        <v>129</v>
      </c>
      <c r="C75" t="s">
        <v>32</v>
      </c>
      <c r="D75">
        <v>28.3403487125094</v>
      </c>
      <c r="E75">
        <v>28.3403487125094</v>
      </c>
      <c r="F75" t="s">
        <v>106</v>
      </c>
      <c r="G75" t="s">
        <v>18</v>
      </c>
      <c r="H75">
        <v>144</v>
      </c>
      <c r="I75">
        <f t="shared" ref="I75:J75" si="93">I74</f>
        <v>28.29984639311045</v>
      </c>
      <c r="J75">
        <f t="shared" si="93"/>
        <v>5.7278929401561984E-2</v>
      </c>
      <c r="K75">
        <f>I2</f>
        <v>28.493489288405797</v>
      </c>
      <c r="L75">
        <f>I14</f>
        <v>16.033335517056035</v>
      </c>
      <c r="M75">
        <f t="shared" si="82"/>
        <v>-0.19364289529534773</v>
      </c>
      <c r="N75">
        <f t="shared" si="83"/>
        <v>12.266510876054415</v>
      </c>
    </row>
    <row r="76" spans="1:14" x14ac:dyDescent="0.2">
      <c r="A76" t="s">
        <v>107</v>
      </c>
      <c r="B76" t="s">
        <v>129</v>
      </c>
      <c r="C76" t="s">
        <v>32</v>
      </c>
      <c r="D76">
        <v>28.2593440737115</v>
      </c>
      <c r="E76">
        <v>28.2593440737115</v>
      </c>
      <c r="F76" t="s">
        <v>107</v>
      </c>
      <c r="G76" t="s">
        <v>18</v>
      </c>
      <c r="H76">
        <v>144</v>
      </c>
      <c r="I76">
        <f t="shared" ref="I76:J76" si="94">I74</f>
        <v>28.29984639311045</v>
      </c>
      <c r="J76">
        <f t="shared" si="94"/>
        <v>5.7278929401561984E-2</v>
      </c>
      <c r="K76">
        <f>I2</f>
        <v>28.493489288405797</v>
      </c>
      <c r="L76">
        <f>I14</f>
        <v>16.033335517056035</v>
      </c>
      <c r="M76">
        <f t="shared" si="82"/>
        <v>-0.19364289529534773</v>
      </c>
      <c r="N76">
        <f t="shared" si="83"/>
        <v>12.266510876054415</v>
      </c>
    </row>
    <row r="77" spans="1:14" x14ac:dyDescent="0.2">
      <c r="A77" t="s">
        <v>108</v>
      </c>
      <c r="B77" t="s">
        <v>129</v>
      </c>
      <c r="C77" t="s">
        <v>32</v>
      </c>
      <c r="D77">
        <v>27.7398382671329</v>
      </c>
      <c r="E77">
        <v>27.7398382671329</v>
      </c>
      <c r="F77" t="s">
        <v>108</v>
      </c>
      <c r="G77" t="s">
        <v>144</v>
      </c>
      <c r="I77">
        <f t="shared" ref="I77" si="95">AVERAGE(D77:D79)</f>
        <v>27.892465190663</v>
      </c>
      <c r="J77">
        <f t="shared" ref="J77" si="96">STDEV(D77:D79)</f>
        <v>0.13895256989285154</v>
      </c>
      <c r="K77">
        <f>I2</f>
        <v>28.493489288405797</v>
      </c>
      <c r="L77">
        <f>I14</f>
        <v>16.033335517056035</v>
      </c>
      <c r="M77">
        <f t="shared" si="82"/>
        <v>-0.60102409774279764</v>
      </c>
      <c r="N77">
        <f t="shared" si="83"/>
        <v>11.859129673606965</v>
      </c>
    </row>
    <row r="78" spans="1:14" x14ac:dyDescent="0.2">
      <c r="A78" t="s">
        <v>109</v>
      </c>
      <c r="B78" t="s">
        <v>129</v>
      </c>
      <c r="C78" t="s">
        <v>32</v>
      </c>
      <c r="D78">
        <v>27.925923275401001</v>
      </c>
      <c r="E78">
        <v>27.925923275401001</v>
      </c>
      <c r="F78" t="s">
        <v>109</v>
      </c>
      <c r="I78">
        <f t="shared" ref="I78:J79" si="97">I77</f>
        <v>27.892465190663</v>
      </c>
      <c r="J78">
        <f t="shared" si="97"/>
        <v>0.13895256989285154</v>
      </c>
      <c r="K78">
        <f>I2</f>
        <v>28.493489288405797</v>
      </c>
      <c r="L78">
        <f>I14</f>
        <v>16.033335517056035</v>
      </c>
      <c r="M78">
        <f t="shared" si="82"/>
        <v>-0.60102409774279764</v>
      </c>
      <c r="N78">
        <f t="shared" si="83"/>
        <v>11.859129673606965</v>
      </c>
    </row>
    <row r="79" spans="1:14" x14ac:dyDescent="0.2">
      <c r="A79" t="s">
        <v>110</v>
      </c>
      <c r="B79" t="s">
        <v>129</v>
      </c>
      <c r="C79" t="s">
        <v>32</v>
      </c>
      <c r="D79">
        <v>28.011634029455099</v>
      </c>
      <c r="E79">
        <v>28.011634029455099</v>
      </c>
      <c r="F79" t="s">
        <v>110</v>
      </c>
      <c r="I79">
        <f t="shared" si="97"/>
        <v>27.892465190663</v>
      </c>
      <c r="J79">
        <f t="shared" ref="J79" si="98">J77</f>
        <v>0.13895256989285154</v>
      </c>
      <c r="K79">
        <f>I2</f>
        <v>28.493489288405797</v>
      </c>
      <c r="L79">
        <f>I14</f>
        <v>16.033335517056035</v>
      </c>
      <c r="M79">
        <f t="shared" si="82"/>
        <v>-0.60102409774279764</v>
      </c>
      <c r="N79">
        <f t="shared" si="83"/>
        <v>11.859129673606965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35.327875653256903</v>
      </c>
      <c r="F80" s="17" t="s">
        <v>111</v>
      </c>
      <c r="G80" s="17" t="s">
        <v>18</v>
      </c>
      <c r="H80" s="17">
        <v>162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32.626515972576399</v>
      </c>
      <c r="L80" s="17">
        <f>I20</f>
        <v>14.779234795748634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33.915543244079203</v>
      </c>
      <c r="F81" s="17" t="s">
        <v>112</v>
      </c>
      <c r="G81" s="17" t="s">
        <v>18</v>
      </c>
      <c r="H81" s="17">
        <v>162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32.626515972576399</v>
      </c>
      <c r="L81" s="17">
        <f>I20</f>
        <v>14.779234795748634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 t="s">
        <v>33</v>
      </c>
      <c r="F82" s="17" t="s">
        <v>113</v>
      </c>
      <c r="G82" s="17" t="s">
        <v>18</v>
      </c>
      <c r="H82" s="17">
        <v>162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32.626515972576399</v>
      </c>
      <c r="L82" s="17">
        <f>I20</f>
        <v>14.779234795748634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D83">
        <v>32.593649956596799</v>
      </c>
      <c r="E83">
        <v>32.593649956596799</v>
      </c>
      <c r="F83" t="s">
        <v>114</v>
      </c>
      <c r="I83">
        <f t="shared" ref="I83" si="103">AVERAGE(D83:D85)</f>
        <v>32.709039139347752</v>
      </c>
      <c r="J83">
        <f t="shared" ref="J83" si="104">STDEV(D83:D85)</f>
        <v>0.16318494719753968</v>
      </c>
      <c r="K83">
        <f>I8</f>
        <v>32.626515972576399</v>
      </c>
      <c r="L83">
        <f>I20</f>
        <v>14.779234795748634</v>
      </c>
      <c r="M83">
        <f t="shared" si="82"/>
        <v>8.2523166771352408E-2</v>
      </c>
      <c r="N83">
        <f t="shared" si="83"/>
        <v>17.929804343599116</v>
      </c>
    </row>
    <row r="84" spans="1:14" x14ac:dyDescent="0.2">
      <c r="A84" t="s">
        <v>115</v>
      </c>
      <c r="B84" t="s">
        <v>129</v>
      </c>
      <c r="C84" t="s">
        <v>32</v>
      </c>
      <c r="E84">
        <v>31.201231005117499</v>
      </c>
      <c r="F84" t="s">
        <v>115</v>
      </c>
      <c r="I84">
        <f t="shared" ref="I84:J85" si="105">I83</f>
        <v>32.709039139347752</v>
      </c>
      <c r="J84">
        <f t="shared" si="105"/>
        <v>0.16318494719753968</v>
      </c>
      <c r="K84">
        <f>I8</f>
        <v>32.626515972576399</v>
      </c>
      <c r="L84">
        <f>I20</f>
        <v>14.779234795748634</v>
      </c>
      <c r="M84">
        <f t="shared" si="82"/>
        <v>8.2523166771352408E-2</v>
      </c>
      <c r="N84">
        <f t="shared" si="83"/>
        <v>17.929804343599116</v>
      </c>
    </row>
    <row r="85" spans="1:14" x14ac:dyDescent="0.2">
      <c r="A85" t="s">
        <v>116</v>
      </c>
      <c r="B85" t="s">
        <v>129</v>
      </c>
      <c r="C85" t="s">
        <v>32</v>
      </c>
      <c r="D85">
        <v>32.824428322098697</v>
      </c>
      <c r="E85">
        <v>32.824428322098697</v>
      </c>
      <c r="F85" t="s">
        <v>116</v>
      </c>
      <c r="I85">
        <f t="shared" si="105"/>
        <v>32.709039139347752</v>
      </c>
      <c r="J85">
        <f t="shared" ref="J85" si="106">J83</f>
        <v>0.16318494719753968</v>
      </c>
      <c r="K85">
        <f>I8</f>
        <v>32.626515972576399</v>
      </c>
      <c r="L85">
        <f>I20</f>
        <v>14.779234795748634</v>
      </c>
      <c r="M85">
        <f t="shared" si="82"/>
        <v>8.2523166771352408E-2</v>
      </c>
      <c r="N85">
        <f t="shared" si="83"/>
        <v>17.929804343599116</v>
      </c>
    </row>
    <row r="86" spans="1:14" x14ac:dyDescent="0.2">
      <c r="A86" t="s">
        <v>117</v>
      </c>
      <c r="B86" t="s">
        <v>129</v>
      </c>
      <c r="C86" t="s">
        <v>32</v>
      </c>
      <c r="E86">
        <v>31.999731201424801</v>
      </c>
      <c r="F86" t="s">
        <v>117</v>
      </c>
      <c r="G86" t="s">
        <v>19</v>
      </c>
      <c r="H86">
        <v>144</v>
      </c>
      <c r="I86">
        <f t="shared" ref="I86" si="107">AVERAGE(D86:D88)</f>
        <v>30.346629316458252</v>
      </c>
      <c r="J86">
        <f t="shared" ref="J86" si="108">STDEV(D86:D88)</f>
        <v>0.21622244501911275</v>
      </c>
      <c r="K86">
        <f>I2</f>
        <v>28.493489288405797</v>
      </c>
      <c r="L86">
        <f>I14</f>
        <v>16.033335517056035</v>
      </c>
      <c r="M86">
        <f t="shared" si="82"/>
        <v>1.8531400280524544</v>
      </c>
      <c r="N86">
        <f t="shared" si="83"/>
        <v>14.313293799402217</v>
      </c>
    </row>
    <row r="87" spans="1:14" x14ac:dyDescent="0.2">
      <c r="A87" t="s">
        <v>118</v>
      </c>
      <c r="B87" t="s">
        <v>129</v>
      </c>
      <c r="C87" t="s">
        <v>32</v>
      </c>
      <c r="D87">
        <v>30.499521673576002</v>
      </c>
      <c r="E87">
        <v>30.499521673576002</v>
      </c>
      <c r="F87" t="s">
        <v>118</v>
      </c>
      <c r="G87" t="s">
        <v>19</v>
      </c>
      <c r="H87">
        <v>144</v>
      </c>
      <c r="I87">
        <f t="shared" ref="I87:J87" si="109">I86</f>
        <v>30.346629316458252</v>
      </c>
      <c r="J87">
        <f t="shared" si="109"/>
        <v>0.21622244501911275</v>
      </c>
      <c r="K87">
        <f>I2</f>
        <v>28.493489288405797</v>
      </c>
      <c r="L87">
        <f>I14</f>
        <v>16.033335517056035</v>
      </c>
      <c r="M87">
        <f t="shared" si="82"/>
        <v>1.8531400280524544</v>
      </c>
      <c r="N87">
        <f t="shared" si="83"/>
        <v>14.313293799402217</v>
      </c>
    </row>
    <row r="88" spans="1:14" x14ac:dyDescent="0.2">
      <c r="A88" t="s">
        <v>119</v>
      </c>
      <c r="B88" t="s">
        <v>129</v>
      </c>
      <c r="C88" t="s">
        <v>32</v>
      </c>
      <c r="D88">
        <v>30.193736959340502</v>
      </c>
      <c r="E88">
        <v>30.193736959340502</v>
      </c>
      <c r="F88" t="s">
        <v>119</v>
      </c>
      <c r="G88" t="s">
        <v>19</v>
      </c>
      <c r="H88">
        <v>144</v>
      </c>
      <c r="I88">
        <f t="shared" ref="I88:J88" si="110">I86</f>
        <v>30.346629316458252</v>
      </c>
      <c r="J88">
        <f t="shared" si="110"/>
        <v>0.21622244501911275</v>
      </c>
      <c r="K88">
        <f>I2</f>
        <v>28.493489288405797</v>
      </c>
      <c r="L88">
        <f>I14</f>
        <v>16.033335517056035</v>
      </c>
      <c r="M88">
        <f t="shared" si="82"/>
        <v>1.8531400280524544</v>
      </c>
      <c r="N88">
        <f t="shared" si="83"/>
        <v>14.313293799402217</v>
      </c>
    </row>
    <row r="89" spans="1:14" x14ac:dyDescent="0.2">
      <c r="A89" t="s">
        <v>120</v>
      </c>
      <c r="B89" t="s">
        <v>129</v>
      </c>
      <c r="C89" t="s">
        <v>32</v>
      </c>
      <c r="D89">
        <v>16.198783787585601</v>
      </c>
      <c r="E89">
        <v>16.198783787585601</v>
      </c>
      <c r="F89" t="s">
        <v>120</v>
      </c>
      <c r="G89" t="s">
        <v>145</v>
      </c>
      <c r="I89">
        <f t="shared" ref="I89" si="111">AVERAGE(D89:D91)</f>
        <v>16.127288977851236</v>
      </c>
      <c r="J89">
        <f t="shared" ref="J89" si="112">STDEV(D89:D91)</f>
        <v>6.859933763249132E-2</v>
      </c>
      <c r="K89">
        <f>I2</f>
        <v>28.493489288405797</v>
      </c>
      <c r="L89">
        <f>I14</f>
        <v>16.033335517056035</v>
      </c>
      <c r="M89">
        <f t="shared" si="82"/>
        <v>-12.366200310554561</v>
      </c>
      <c r="N89">
        <f t="shared" si="83"/>
        <v>9.3953460795201948E-2</v>
      </c>
    </row>
    <row r="90" spans="1:14" x14ac:dyDescent="0.2">
      <c r="A90" t="s">
        <v>121</v>
      </c>
      <c r="B90" t="s">
        <v>129</v>
      </c>
      <c r="C90" t="s">
        <v>32</v>
      </c>
      <c r="D90">
        <v>16.0620078928984</v>
      </c>
      <c r="E90">
        <v>16.0620078928984</v>
      </c>
      <c r="F90" t="s">
        <v>121</v>
      </c>
      <c r="I90">
        <f t="shared" ref="I90:J91" si="113">I89</f>
        <v>16.127288977851236</v>
      </c>
      <c r="J90">
        <f t="shared" si="113"/>
        <v>6.859933763249132E-2</v>
      </c>
      <c r="K90">
        <f>I2</f>
        <v>28.493489288405797</v>
      </c>
      <c r="L90">
        <f>I14</f>
        <v>16.033335517056035</v>
      </c>
      <c r="M90">
        <f t="shared" si="82"/>
        <v>-12.366200310554561</v>
      </c>
      <c r="N90">
        <f t="shared" si="83"/>
        <v>9.3953460795201948E-2</v>
      </c>
    </row>
    <row r="91" spans="1:14" x14ac:dyDescent="0.2">
      <c r="A91" t="s">
        <v>122</v>
      </c>
      <c r="B91" t="s">
        <v>129</v>
      </c>
      <c r="C91" t="s">
        <v>32</v>
      </c>
      <c r="D91">
        <v>16.121075253069701</v>
      </c>
      <c r="E91">
        <v>16.121075253069701</v>
      </c>
      <c r="F91" t="s">
        <v>122</v>
      </c>
      <c r="I91">
        <f t="shared" si="113"/>
        <v>16.127288977851236</v>
      </c>
      <c r="J91">
        <f t="shared" ref="J91" si="114">J89</f>
        <v>6.859933763249132E-2</v>
      </c>
      <c r="K91">
        <f>I2</f>
        <v>28.493489288405797</v>
      </c>
      <c r="L91">
        <f>I14</f>
        <v>16.033335517056035</v>
      </c>
      <c r="M91">
        <f t="shared" si="82"/>
        <v>-12.366200310554561</v>
      </c>
      <c r="N91">
        <f t="shared" si="83"/>
        <v>9.3953460795201948E-2</v>
      </c>
    </row>
    <row r="92" spans="1:14" x14ac:dyDescent="0.2">
      <c r="A92" t="s">
        <v>123</v>
      </c>
      <c r="B92" t="s">
        <v>129</v>
      </c>
      <c r="C92" t="s">
        <v>32</v>
      </c>
      <c r="D92">
        <v>36.2835312280545</v>
      </c>
      <c r="E92">
        <v>36.2835312280545</v>
      </c>
      <c r="F92" t="s">
        <v>123</v>
      </c>
      <c r="G92" t="s">
        <v>19</v>
      </c>
      <c r="H92">
        <v>162</v>
      </c>
      <c r="I92">
        <f t="shared" ref="I92" si="115">AVERAGE(D92:D94)</f>
        <v>36.349944015560801</v>
      </c>
      <c r="J92">
        <f t="shared" ref="J92" si="116">STDEV(D92:D94)</f>
        <v>9.3921864806414221E-2</v>
      </c>
      <c r="K92">
        <f>I8</f>
        <v>32.626515972576399</v>
      </c>
      <c r="L92">
        <f>I20</f>
        <v>14.779234795748634</v>
      </c>
      <c r="M92">
        <f t="shared" si="82"/>
        <v>3.723428042984402</v>
      </c>
      <c r="N92">
        <f t="shared" si="83"/>
        <v>21.570709219812166</v>
      </c>
    </row>
    <row r="93" spans="1:14" x14ac:dyDescent="0.2">
      <c r="A93" t="s">
        <v>124</v>
      </c>
      <c r="B93" t="s">
        <v>129</v>
      </c>
      <c r="C93" t="s">
        <v>32</v>
      </c>
      <c r="E93">
        <v>35.084771551847098</v>
      </c>
      <c r="F93" t="s">
        <v>124</v>
      </c>
      <c r="G93" t="s">
        <v>19</v>
      </c>
      <c r="H93">
        <v>162</v>
      </c>
      <c r="I93">
        <f t="shared" ref="I93:J93" si="117">I92</f>
        <v>36.349944015560801</v>
      </c>
      <c r="J93">
        <f t="shared" si="117"/>
        <v>9.3921864806414221E-2</v>
      </c>
      <c r="K93">
        <f>I8</f>
        <v>32.626515972576399</v>
      </c>
      <c r="L93">
        <f>I20</f>
        <v>14.779234795748634</v>
      </c>
      <c r="M93">
        <f t="shared" si="82"/>
        <v>3.723428042984402</v>
      </c>
      <c r="N93">
        <f t="shared" si="83"/>
        <v>21.570709219812166</v>
      </c>
    </row>
    <row r="94" spans="1:14" x14ac:dyDescent="0.2">
      <c r="A94" t="s">
        <v>125</v>
      </c>
      <c r="B94" t="s">
        <v>129</v>
      </c>
      <c r="C94" t="s">
        <v>32</v>
      </c>
      <c r="D94">
        <v>36.416356803067103</v>
      </c>
      <c r="E94">
        <v>36.416356803067103</v>
      </c>
      <c r="F94" t="s">
        <v>125</v>
      </c>
      <c r="G94" t="s">
        <v>19</v>
      </c>
      <c r="H94">
        <v>162</v>
      </c>
      <c r="I94">
        <f t="shared" ref="I94:J94" si="118">I92</f>
        <v>36.349944015560801</v>
      </c>
      <c r="J94">
        <f t="shared" si="118"/>
        <v>9.3921864806414221E-2</v>
      </c>
      <c r="K94">
        <f>I8</f>
        <v>32.626515972576399</v>
      </c>
      <c r="L94">
        <f>I20</f>
        <v>14.779234795748634</v>
      </c>
      <c r="M94">
        <f t="shared" si="82"/>
        <v>3.723428042984402</v>
      </c>
      <c r="N94">
        <f t="shared" si="83"/>
        <v>21.570709219812166</v>
      </c>
    </row>
    <row r="95" spans="1:14" x14ac:dyDescent="0.2">
      <c r="A95" t="s">
        <v>126</v>
      </c>
      <c r="B95" t="s">
        <v>129</v>
      </c>
      <c r="C95" t="s">
        <v>32</v>
      </c>
      <c r="D95">
        <v>14.9116967633315</v>
      </c>
      <c r="E95">
        <v>14.9116967633315</v>
      </c>
      <c r="F95" t="s">
        <v>126</v>
      </c>
      <c r="I95">
        <f t="shared" ref="I95" si="119">AVERAGE(D95:D97)</f>
        <v>15.067615668024199</v>
      </c>
      <c r="J95">
        <f t="shared" ref="J95" si="120">STDEV(D95:D97)</f>
        <v>0.2205026296467745</v>
      </c>
      <c r="K95">
        <f>I8</f>
        <v>32.626515972576399</v>
      </c>
      <c r="L95">
        <f>I20</f>
        <v>14.779234795748634</v>
      </c>
      <c r="M95">
        <f t="shared" si="82"/>
        <v>-17.5589003045522</v>
      </c>
      <c r="N95">
        <f t="shared" si="83"/>
        <v>0.28838087227556564</v>
      </c>
    </row>
    <row r="96" spans="1:14" x14ac:dyDescent="0.2">
      <c r="A96" t="s">
        <v>127</v>
      </c>
      <c r="B96" t="s">
        <v>129</v>
      </c>
      <c r="C96" t="s">
        <v>32</v>
      </c>
      <c r="D96">
        <v>15.2235345727169</v>
      </c>
      <c r="E96">
        <v>15.2235345727169</v>
      </c>
      <c r="F96" t="s">
        <v>127</v>
      </c>
      <c r="I96">
        <f t="shared" ref="I96:J97" si="121">I95</f>
        <v>15.067615668024199</v>
      </c>
      <c r="J96">
        <f t="shared" si="121"/>
        <v>0.2205026296467745</v>
      </c>
      <c r="K96">
        <f>I8</f>
        <v>32.626515972576399</v>
      </c>
      <c r="L96">
        <f>I20</f>
        <v>14.779234795748634</v>
      </c>
      <c r="M96">
        <f t="shared" si="82"/>
        <v>-17.5589003045522</v>
      </c>
      <c r="N96">
        <f t="shared" si="83"/>
        <v>0.28838087227556564</v>
      </c>
    </row>
    <row r="97" spans="1:14" x14ac:dyDescent="0.2">
      <c r="A97" t="s">
        <v>128</v>
      </c>
      <c r="B97" t="s">
        <v>129</v>
      </c>
      <c r="C97" t="s">
        <v>32</v>
      </c>
      <c r="E97">
        <v>15.9850547526868</v>
      </c>
      <c r="F97" t="s">
        <v>128</v>
      </c>
      <c r="I97">
        <f t="shared" si="121"/>
        <v>15.067615668024199</v>
      </c>
      <c r="J97">
        <f t="shared" ref="J97" si="122">J95</f>
        <v>0.2205026296467745</v>
      </c>
      <c r="K97">
        <f>I8</f>
        <v>32.626515972576399</v>
      </c>
      <c r="L97">
        <f>I20</f>
        <v>14.779234795748634</v>
      </c>
      <c r="M97">
        <f t="shared" si="82"/>
        <v>-17.5589003045522</v>
      </c>
      <c r="N97">
        <f t="shared" si="83"/>
        <v>0.28838087227556564</v>
      </c>
    </row>
  </sheetData>
  <conditionalFormatting sqref="J2:J97">
    <cfRule type="cellIs" dxfId="2" priority="1" operator="greaterThan">
      <formula>0.3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5376-4FEC-DD4E-80E1-7BA7E29B178D}">
  <dimension ref="A1:N97"/>
  <sheetViews>
    <sheetView topLeftCell="A55" workbookViewId="0">
      <selection activeCell="H1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30.661474940158101</v>
      </c>
      <c r="F2" t="s">
        <v>31</v>
      </c>
      <c r="G2" s="9" t="s">
        <v>9</v>
      </c>
      <c r="H2">
        <v>128</v>
      </c>
      <c r="I2">
        <f>AVERAGE(D2:D4)</f>
        <v>29.915959853716199</v>
      </c>
      <c r="J2">
        <f>STDEV(D2:D4)</f>
        <v>7.3102242326484435E-2</v>
      </c>
      <c r="K2">
        <f>I2</f>
        <v>29.915959853716199</v>
      </c>
      <c r="L2">
        <f>I14</f>
        <v>15.483463902292966</v>
      </c>
      <c r="M2">
        <f>I2-K2</f>
        <v>0</v>
      </c>
      <c r="N2">
        <f>I2-L2</f>
        <v>14.432495951423233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29.8642687624472</v>
      </c>
      <c r="E3">
        <v>29.8642687624472</v>
      </c>
      <c r="F3" t="s">
        <v>34</v>
      </c>
      <c r="G3" s="9" t="s">
        <v>9</v>
      </c>
      <c r="H3">
        <v>128</v>
      </c>
      <c r="I3">
        <f>I2</f>
        <v>29.915959853716199</v>
      </c>
      <c r="J3">
        <f>J2</f>
        <v>7.3102242326484435E-2</v>
      </c>
      <c r="K3">
        <f>I2</f>
        <v>29.915959853716199</v>
      </c>
      <c r="L3">
        <f>I14</f>
        <v>15.483463902292966</v>
      </c>
      <c r="M3">
        <f t="shared" ref="M3:M66" si="0">I3-K3</f>
        <v>0</v>
      </c>
      <c r="N3">
        <f t="shared" ref="N3:N66" si="1">I3-L3</f>
        <v>14.432495951423233</v>
      </c>
    </row>
    <row r="4" spans="1:14" x14ac:dyDescent="0.2">
      <c r="A4" t="s">
        <v>35</v>
      </c>
      <c r="B4" t="s">
        <v>129</v>
      </c>
      <c r="C4" t="s">
        <v>32</v>
      </c>
      <c r="D4">
        <v>29.967650944985198</v>
      </c>
      <c r="E4">
        <v>29.967650944985198</v>
      </c>
      <c r="F4" t="s">
        <v>35</v>
      </c>
      <c r="G4" s="9" t="s">
        <v>9</v>
      </c>
      <c r="H4">
        <v>128</v>
      </c>
      <c r="I4">
        <f>I2</f>
        <v>29.915959853716199</v>
      </c>
      <c r="J4">
        <f>J2</f>
        <v>7.3102242326484435E-2</v>
      </c>
      <c r="K4">
        <f>I2</f>
        <v>29.915959853716199</v>
      </c>
      <c r="L4">
        <f>I14</f>
        <v>15.483463902292966</v>
      </c>
      <c r="M4">
        <f t="shared" si="0"/>
        <v>0</v>
      </c>
      <c r="N4">
        <f t="shared" si="1"/>
        <v>14.432495951423233</v>
      </c>
    </row>
    <row r="5" spans="1:14" x14ac:dyDescent="0.2">
      <c r="A5" t="s">
        <v>36</v>
      </c>
      <c r="B5" t="s">
        <v>129</v>
      </c>
      <c r="C5" t="s">
        <v>32</v>
      </c>
      <c r="E5">
        <v>31.892223109933699</v>
      </c>
      <c r="F5" t="s">
        <v>36</v>
      </c>
      <c r="G5" t="s">
        <v>20</v>
      </c>
      <c r="H5">
        <v>128</v>
      </c>
      <c r="I5">
        <f>AVERAGE(D5:D7)</f>
        <v>32.9212542717923</v>
      </c>
      <c r="J5">
        <f>STDEV(D5:D7)</f>
        <v>2.3237603078745804E-2</v>
      </c>
      <c r="K5">
        <f>I2</f>
        <v>29.915959853716199</v>
      </c>
      <c r="L5">
        <f>I14</f>
        <v>15.483463902292966</v>
      </c>
      <c r="M5">
        <f t="shared" si="0"/>
        <v>3.005294418076101</v>
      </c>
      <c r="N5">
        <f t="shared" si="1"/>
        <v>17.437790369499332</v>
      </c>
    </row>
    <row r="6" spans="1:14" x14ac:dyDescent="0.2">
      <c r="A6" t="s">
        <v>37</v>
      </c>
      <c r="B6" t="s">
        <v>129</v>
      </c>
      <c r="C6" t="s">
        <v>32</v>
      </c>
      <c r="D6">
        <v>32.904822805076797</v>
      </c>
      <c r="E6">
        <v>32.904822805076797</v>
      </c>
      <c r="F6" t="s">
        <v>37</v>
      </c>
      <c r="G6" t="s">
        <v>20</v>
      </c>
      <c r="H6">
        <v>128</v>
      </c>
      <c r="I6">
        <f>I5</f>
        <v>32.9212542717923</v>
      </c>
      <c r="J6">
        <f>J5</f>
        <v>2.3237603078745804E-2</v>
      </c>
      <c r="K6">
        <f>I2</f>
        <v>29.915959853716199</v>
      </c>
      <c r="L6">
        <f>I14</f>
        <v>15.483463902292966</v>
      </c>
      <c r="M6">
        <f t="shared" si="0"/>
        <v>3.005294418076101</v>
      </c>
      <c r="N6">
        <f t="shared" si="1"/>
        <v>17.437790369499332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32.937685738507803</v>
      </c>
      <c r="E7">
        <v>32.937685738507803</v>
      </c>
      <c r="F7" t="s">
        <v>38</v>
      </c>
      <c r="G7" t="s">
        <v>20</v>
      </c>
      <c r="H7">
        <v>128</v>
      </c>
      <c r="I7">
        <f>I6</f>
        <v>32.9212542717923</v>
      </c>
      <c r="J7">
        <f>J5</f>
        <v>2.3237603078745804E-2</v>
      </c>
      <c r="K7">
        <f>I2</f>
        <v>29.915959853716199</v>
      </c>
      <c r="L7">
        <f>I14</f>
        <v>15.483463902292966</v>
      </c>
      <c r="M7">
        <f t="shared" si="0"/>
        <v>3.005294418076101</v>
      </c>
      <c r="N7">
        <f t="shared" si="1"/>
        <v>17.437790369499332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32.633387168664001</v>
      </c>
      <c r="E8">
        <v>32.633387168664001</v>
      </c>
      <c r="F8" t="s">
        <v>39</v>
      </c>
      <c r="G8" s="9" t="s">
        <v>9</v>
      </c>
      <c r="H8">
        <v>129</v>
      </c>
      <c r="I8">
        <f t="shared" ref="I8" si="2">AVERAGE(D8:D10)</f>
        <v>32.801979802944899</v>
      </c>
      <c r="J8">
        <f t="shared" ref="J8" si="3">STDEV(D8:D10)</f>
        <v>0.23842598991625361</v>
      </c>
      <c r="K8">
        <f>I8</f>
        <v>32.801979802944899</v>
      </c>
      <c r="L8">
        <f>I20</f>
        <v>16.275744658081166</v>
      </c>
      <c r="M8">
        <f t="shared" si="0"/>
        <v>0</v>
      </c>
      <c r="N8">
        <f t="shared" si="1"/>
        <v>16.526235144863733</v>
      </c>
    </row>
    <row r="9" spans="1:14" ht="17" thickBot="1" x14ac:dyDescent="0.25">
      <c r="A9" t="s">
        <v>40</v>
      </c>
      <c r="B9" t="s">
        <v>129</v>
      </c>
      <c r="C9" t="s">
        <v>32</v>
      </c>
      <c r="E9">
        <v>32.091403785782703</v>
      </c>
      <c r="F9" t="s">
        <v>40</v>
      </c>
      <c r="G9" s="9" t="s">
        <v>9</v>
      </c>
      <c r="H9">
        <v>129</v>
      </c>
      <c r="I9">
        <f t="shared" ref="I9:J9" si="4">I8</f>
        <v>32.801979802944899</v>
      </c>
      <c r="J9">
        <f t="shared" si="4"/>
        <v>0.23842598991625361</v>
      </c>
      <c r="K9">
        <f>I8</f>
        <v>32.801979802944899</v>
      </c>
      <c r="L9">
        <f>I20</f>
        <v>16.275744658081166</v>
      </c>
      <c r="M9">
        <f t="shared" si="0"/>
        <v>0</v>
      </c>
      <c r="N9">
        <f t="shared" si="1"/>
        <v>16.526235144863733</v>
      </c>
    </row>
    <row r="10" spans="1:14" x14ac:dyDescent="0.2">
      <c r="A10" t="s">
        <v>41</v>
      </c>
      <c r="B10" t="s">
        <v>129</v>
      </c>
      <c r="C10" t="s">
        <v>32</v>
      </c>
      <c r="D10">
        <v>32.970572437225798</v>
      </c>
      <c r="E10">
        <v>32.970572437225798</v>
      </c>
      <c r="F10" t="s">
        <v>41</v>
      </c>
      <c r="G10" s="9" t="s">
        <v>9</v>
      </c>
      <c r="H10">
        <v>129</v>
      </c>
      <c r="I10">
        <f t="shared" ref="I10:J10" si="5">I8</f>
        <v>32.801979802944899</v>
      </c>
      <c r="J10">
        <f t="shared" si="5"/>
        <v>0.23842598991625361</v>
      </c>
      <c r="K10">
        <f>I8</f>
        <v>32.801979802944899</v>
      </c>
      <c r="L10">
        <f>I20</f>
        <v>16.275744658081166</v>
      </c>
      <c r="M10">
        <f t="shared" si="0"/>
        <v>0</v>
      </c>
      <c r="N10">
        <f t="shared" si="1"/>
        <v>16.526235144863733</v>
      </c>
    </row>
    <row r="11" spans="1:14" s="17" customFormat="1" x14ac:dyDescent="0.2">
      <c r="A11" s="17" t="s">
        <v>42</v>
      </c>
      <c r="B11" s="17" t="s">
        <v>129</v>
      </c>
      <c r="C11" s="17" t="s">
        <v>32</v>
      </c>
      <c r="E11" s="17">
        <v>36.932515844065399</v>
      </c>
      <c r="F11" s="17" t="s">
        <v>42</v>
      </c>
      <c r="G11" s="17" t="s">
        <v>20</v>
      </c>
      <c r="H11" s="17">
        <v>129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32.801979802944899</v>
      </c>
      <c r="L11" s="17">
        <f>I20</f>
        <v>16.275744658081166</v>
      </c>
      <c r="M11" s="17" t="e">
        <f t="shared" si="0"/>
        <v>#DIV/0!</v>
      </c>
      <c r="N11" s="17" t="e">
        <f t="shared" si="1"/>
        <v>#DIV/0!</v>
      </c>
    </row>
    <row r="12" spans="1:14" s="17" customFormat="1" x14ac:dyDescent="0.2">
      <c r="A12" s="17" t="s">
        <v>43</v>
      </c>
      <c r="B12" s="17" t="s">
        <v>129</v>
      </c>
      <c r="C12" s="17" t="s">
        <v>32</v>
      </c>
      <c r="E12" s="17">
        <v>15.953896934348201</v>
      </c>
      <c r="F12" s="17" t="s">
        <v>43</v>
      </c>
      <c r="G12" s="17" t="s">
        <v>20</v>
      </c>
      <c r="H12" s="17">
        <v>129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32.801979802944899</v>
      </c>
      <c r="L12" s="17">
        <f>I20</f>
        <v>16.275744658081166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22.420557830199801</v>
      </c>
      <c r="F13" s="17" t="s">
        <v>44</v>
      </c>
      <c r="G13" s="17" t="s">
        <v>20</v>
      </c>
      <c r="H13" s="17">
        <v>129</v>
      </c>
      <c r="I13" s="17" t="e">
        <f t="shared" si="8"/>
        <v>#DIV/0!</v>
      </c>
      <c r="J13" s="17" t="e">
        <f t="shared" ref="J13" si="9">J11</f>
        <v>#DIV/0!</v>
      </c>
      <c r="K13" s="17">
        <f>I8</f>
        <v>32.801979802944899</v>
      </c>
      <c r="L13" s="17">
        <f>I20</f>
        <v>16.275744658081166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15.7757119902433</v>
      </c>
      <c r="E14">
        <v>15.7757119902433</v>
      </c>
      <c r="F14" t="s">
        <v>45</v>
      </c>
      <c r="G14" s="11" t="s">
        <v>8</v>
      </c>
      <c r="H14">
        <v>128</v>
      </c>
      <c r="I14">
        <f t="shared" ref="I14" si="10">AVERAGE(D14:D16)</f>
        <v>15.483463902292966</v>
      </c>
      <c r="J14">
        <f t="shared" ref="J14" si="11">STDEV(D14:D16)</f>
        <v>0.25337739718619345</v>
      </c>
      <c r="K14">
        <f>I2</f>
        <v>29.915959853716199</v>
      </c>
      <c r="L14">
        <f>I14</f>
        <v>15.483463902292966</v>
      </c>
      <c r="M14">
        <f t="shared" si="0"/>
        <v>-14.432495951423233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15.3493146953472</v>
      </c>
      <c r="E15">
        <v>15.3493146953472</v>
      </c>
      <c r="F15" t="s">
        <v>46</v>
      </c>
      <c r="G15" s="11" t="s">
        <v>8</v>
      </c>
      <c r="H15">
        <v>128</v>
      </c>
      <c r="I15">
        <f t="shared" ref="I15:J15" si="12">I14</f>
        <v>15.483463902292966</v>
      </c>
      <c r="J15">
        <f t="shared" si="12"/>
        <v>0.25337739718619345</v>
      </c>
      <c r="K15">
        <f>I2</f>
        <v>29.915959853716199</v>
      </c>
      <c r="L15">
        <f>I14</f>
        <v>15.483463902292966</v>
      </c>
      <c r="M15">
        <f t="shared" si="0"/>
        <v>-14.432495951423233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15.3253650212884</v>
      </c>
      <c r="E16">
        <v>15.3253650212884</v>
      </c>
      <c r="F16" t="s">
        <v>47</v>
      </c>
      <c r="G16" s="11" t="s">
        <v>8</v>
      </c>
      <c r="H16">
        <v>128</v>
      </c>
      <c r="I16">
        <f t="shared" ref="I16:J16" si="13">I14</f>
        <v>15.483463902292966</v>
      </c>
      <c r="J16">
        <f t="shared" si="13"/>
        <v>0.25337739718619345</v>
      </c>
      <c r="K16">
        <f>I2</f>
        <v>29.915959853716199</v>
      </c>
      <c r="L16">
        <f>I14</f>
        <v>15.483463902292966</v>
      </c>
      <c r="M16">
        <f t="shared" si="0"/>
        <v>-14.432495951423233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29.704286223577501</v>
      </c>
      <c r="E17">
        <v>29.704286223577501</v>
      </c>
      <c r="F17" t="s">
        <v>48</v>
      </c>
      <c r="G17" s="1" t="s">
        <v>21</v>
      </c>
      <c r="H17">
        <v>128</v>
      </c>
      <c r="I17">
        <f t="shared" ref="I17" si="14">AVERAGE(D17:D19)</f>
        <v>29.937870347459636</v>
      </c>
      <c r="J17">
        <f t="shared" ref="J17" si="15">STDEV(D17:D19)</f>
        <v>0.20332101650552539</v>
      </c>
      <c r="K17">
        <f>I2</f>
        <v>29.915959853716199</v>
      </c>
      <c r="L17">
        <f>I14</f>
        <v>15.483463902292966</v>
      </c>
      <c r="M17">
        <f t="shared" si="0"/>
        <v>2.1910493743437343E-2</v>
      </c>
      <c r="N17">
        <f t="shared" si="1"/>
        <v>14.45440644516667</v>
      </c>
    </row>
    <row r="18" spans="1:14" x14ac:dyDescent="0.2">
      <c r="A18" t="s">
        <v>49</v>
      </c>
      <c r="B18" t="s">
        <v>129</v>
      </c>
      <c r="C18" t="s">
        <v>32</v>
      </c>
      <c r="D18">
        <v>30.034210549937502</v>
      </c>
      <c r="E18">
        <v>30.034210549937502</v>
      </c>
      <c r="F18" t="s">
        <v>49</v>
      </c>
      <c r="G18" s="1" t="s">
        <v>21</v>
      </c>
      <c r="H18">
        <v>128</v>
      </c>
      <c r="I18">
        <f t="shared" ref="I18:J19" si="16">I17</f>
        <v>29.937870347459636</v>
      </c>
      <c r="J18">
        <f t="shared" si="16"/>
        <v>0.20332101650552539</v>
      </c>
      <c r="K18">
        <f>I2</f>
        <v>29.915959853716199</v>
      </c>
      <c r="L18">
        <f>I14</f>
        <v>15.483463902292966</v>
      </c>
      <c r="M18">
        <f t="shared" si="0"/>
        <v>2.1910493743437343E-2</v>
      </c>
      <c r="N18">
        <f t="shared" si="1"/>
        <v>14.45440644516667</v>
      </c>
    </row>
    <row r="19" spans="1:14" x14ac:dyDescent="0.2">
      <c r="A19" t="s">
        <v>50</v>
      </c>
      <c r="B19" t="s">
        <v>129</v>
      </c>
      <c r="C19" t="s">
        <v>32</v>
      </c>
      <c r="D19">
        <v>30.075114268863899</v>
      </c>
      <c r="E19">
        <v>30.075114268863899</v>
      </c>
      <c r="F19" t="s">
        <v>50</v>
      </c>
      <c r="G19" s="1" t="s">
        <v>21</v>
      </c>
      <c r="H19">
        <v>128</v>
      </c>
      <c r="I19">
        <f t="shared" si="16"/>
        <v>29.937870347459636</v>
      </c>
      <c r="J19">
        <f t="shared" ref="J19" si="17">J17</f>
        <v>0.20332101650552539</v>
      </c>
      <c r="K19">
        <f>I2</f>
        <v>29.915959853716199</v>
      </c>
      <c r="L19">
        <f>I14</f>
        <v>15.483463902292966</v>
      </c>
      <c r="M19">
        <f t="shared" si="0"/>
        <v>2.1910493743437343E-2</v>
      </c>
      <c r="N19">
        <f t="shared" si="1"/>
        <v>14.45440644516667</v>
      </c>
    </row>
    <row r="20" spans="1:14" x14ac:dyDescent="0.2">
      <c r="A20" t="s">
        <v>51</v>
      </c>
      <c r="B20" t="s">
        <v>129</v>
      </c>
      <c r="C20" t="s">
        <v>32</v>
      </c>
      <c r="D20">
        <v>16.336197205975999</v>
      </c>
      <c r="E20">
        <v>16.336197205975999</v>
      </c>
      <c r="F20" t="s">
        <v>51</v>
      </c>
      <c r="G20" s="11" t="s">
        <v>8</v>
      </c>
      <c r="H20">
        <v>129</v>
      </c>
      <c r="I20">
        <f t="shared" ref="I20" si="18">AVERAGE(D20:D22)</f>
        <v>16.275744658081166</v>
      </c>
      <c r="J20">
        <f t="shared" ref="J20" si="19">STDEV(D20:D22)</f>
        <v>0.10051227302396543</v>
      </c>
      <c r="K20">
        <f>I8</f>
        <v>32.801979802944899</v>
      </c>
      <c r="L20">
        <f>I20</f>
        <v>16.275744658081166</v>
      </c>
      <c r="M20">
        <f t="shared" si="0"/>
        <v>-16.526235144863733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16.159717252916199</v>
      </c>
      <c r="E21">
        <v>16.159717252916199</v>
      </c>
      <c r="F21" t="s">
        <v>52</v>
      </c>
      <c r="G21" s="11" t="s">
        <v>8</v>
      </c>
      <c r="H21">
        <v>129</v>
      </c>
      <c r="I21">
        <f t="shared" ref="I21:J21" si="20">I20</f>
        <v>16.275744658081166</v>
      </c>
      <c r="J21">
        <f t="shared" si="20"/>
        <v>0.10051227302396543</v>
      </c>
      <c r="K21">
        <f>I8</f>
        <v>32.801979802944899</v>
      </c>
      <c r="L21">
        <f>I20</f>
        <v>16.275744658081166</v>
      </c>
      <c r="M21">
        <f t="shared" si="0"/>
        <v>-16.526235144863733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16.3313195153513</v>
      </c>
      <c r="E22">
        <v>16.3313195153513</v>
      </c>
      <c r="F22" t="s">
        <v>53</v>
      </c>
      <c r="G22" s="11" t="s">
        <v>8</v>
      </c>
      <c r="H22">
        <v>129</v>
      </c>
      <c r="I22">
        <f t="shared" ref="I22:J22" si="21">I20</f>
        <v>16.275744658081166</v>
      </c>
      <c r="J22">
        <f t="shared" si="21"/>
        <v>0.10051227302396543</v>
      </c>
      <c r="K22">
        <f>I8</f>
        <v>32.801979802944899</v>
      </c>
      <c r="L22">
        <f>I20</f>
        <v>16.275744658081166</v>
      </c>
      <c r="M22">
        <f t="shared" si="0"/>
        <v>-16.526235144863733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34.9913956561997</v>
      </c>
      <c r="F23" s="17" t="s">
        <v>54</v>
      </c>
      <c r="G23" s="17" t="s">
        <v>21</v>
      </c>
      <c r="H23" s="17">
        <v>129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32.801979802944899</v>
      </c>
      <c r="L23" s="17">
        <f>I20</f>
        <v>16.275744658081166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38.149766686407197</v>
      </c>
      <c r="F24" s="17" t="s">
        <v>55</v>
      </c>
      <c r="G24" s="17" t="s">
        <v>21</v>
      </c>
      <c r="H24" s="17">
        <v>129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32.801979802944899</v>
      </c>
      <c r="L24" s="17">
        <f>I20</f>
        <v>16.275744658081166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10.948997082763499</v>
      </c>
      <c r="F25" s="17" t="s">
        <v>56</v>
      </c>
      <c r="G25" s="17" t="s">
        <v>21</v>
      </c>
      <c r="H25" s="17">
        <v>129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32.801979802944899</v>
      </c>
      <c r="L25" s="17">
        <f>I20</f>
        <v>16.275744658081166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D26">
        <v>29.531156171441602</v>
      </c>
      <c r="E26">
        <v>29.531156171441602</v>
      </c>
      <c r="F26" t="s">
        <v>57</v>
      </c>
      <c r="G26" t="s">
        <v>14</v>
      </c>
      <c r="H26">
        <v>128</v>
      </c>
      <c r="I26">
        <f t="shared" ref="I26" si="26">AVERAGE(D26:D28)</f>
        <v>29.7518127173633</v>
      </c>
      <c r="J26">
        <f t="shared" ref="J26" si="27">STDEV(D26:D28)</f>
        <v>0.31205547986886828</v>
      </c>
      <c r="K26">
        <f>I2</f>
        <v>29.915959853716199</v>
      </c>
      <c r="L26">
        <f>I14</f>
        <v>15.483463902292966</v>
      </c>
      <c r="M26">
        <f t="shared" si="0"/>
        <v>-0.16414713635289857</v>
      </c>
      <c r="N26">
        <f t="shared" si="1"/>
        <v>14.268348815070334</v>
      </c>
    </row>
    <row r="27" spans="1:14" x14ac:dyDescent="0.2">
      <c r="A27" t="s">
        <v>58</v>
      </c>
      <c r="B27" t="s">
        <v>129</v>
      </c>
      <c r="C27" t="s">
        <v>32</v>
      </c>
      <c r="E27">
        <v>29.008840961453501</v>
      </c>
      <c r="F27" t="s">
        <v>58</v>
      </c>
      <c r="G27" t="s">
        <v>14</v>
      </c>
      <c r="H27">
        <v>128</v>
      </c>
      <c r="I27">
        <f t="shared" ref="I27:J27" si="28">I26</f>
        <v>29.7518127173633</v>
      </c>
      <c r="J27">
        <f t="shared" si="28"/>
        <v>0.31205547986886828</v>
      </c>
      <c r="K27">
        <f>I2</f>
        <v>29.915959853716199</v>
      </c>
      <c r="L27">
        <f>I14</f>
        <v>15.483463902292966</v>
      </c>
      <c r="M27">
        <f t="shared" si="0"/>
        <v>-0.16414713635289857</v>
      </c>
      <c r="N27">
        <f t="shared" si="1"/>
        <v>14.268348815070334</v>
      </c>
    </row>
    <row r="28" spans="1:14" x14ac:dyDescent="0.2">
      <c r="A28" t="s">
        <v>59</v>
      </c>
      <c r="B28" t="s">
        <v>129</v>
      </c>
      <c r="C28" t="s">
        <v>32</v>
      </c>
      <c r="D28">
        <v>29.972469263284999</v>
      </c>
      <c r="E28">
        <v>29.972469263284999</v>
      </c>
      <c r="F28" t="s">
        <v>59</v>
      </c>
      <c r="G28" t="s">
        <v>14</v>
      </c>
      <c r="H28">
        <v>128</v>
      </c>
      <c r="I28">
        <f t="shared" ref="I28:J28" si="29">I26</f>
        <v>29.7518127173633</v>
      </c>
      <c r="J28">
        <f t="shared" si="29"/>
        <v>0.31205547986886828</v>
      </c>
      <c r="K28">
        <f>I2</f>
        <v>29.915959853716199</v>
      </c>
      <c r="L28">
        <f>I14</f>
        <v>15.483463902292966</v>
      </c>
      <c r="M28">
        <f t="shared" si="0"/>
        <v>-0.16414713635289857</v>
      </c>
      <c r="N28">
        <f t="shared" si="1"/>
        <v>14.268348815070334</v>
      </c>
    </row>
    <row r="29" spans="1:14" x14ac:dyDescent="0.2">
      <c r="A29" t="s">
        <v>60</v>
      </c>
      <c r="B29" t="s">
        <v>129</v>
      </c>
      <c r="C29" t="s">
        <v>32</v>
      </c>
      <c r="E29">
        <v>31.002331511670501</v>
      </c>
      <c r="F29" t="s">
        <v>60</v>
      </c>
      <c r="G29" t="s">
        <v>23</v>
      </c>
      <c r="H29">
        <v>128</v>
      </c>
      <c r="I29">
        <f t="shared" ref="I29" si="30">AVERAGE(D29:D31)</f>
        <v>29.97345174291295</v>
      </c>
      <c r="J29">
        <f t="shared" ref="J29" si="31">STDEV(D29:D31)</f>
        <v>0.20509437009484746</v>
      </c>
      <c r="K29">
        <f>I2</f>
        <v>29.915959853716199</v>
      </c>
      <c r="L29">
        <f>I14</f>
        <v>15.483463902292966</v>
      </c>
      <c r="M29">
        <f t="shared" si="0"/>
        <v>5.7491889196750634E-2</v>
      </c>
      <c r="N29">
        <f t="shared" si="1"/>
        <v>14.489987840619984</v>
      </c>
    </row>
    <row r="30" spans="1:14" x14ac:dyDescent="0.2">
      <c r="A30" t="s">
        <v>61</v>
      </c>
      <c r="B30" t="s">
        <v>129</v>
      </c>
      <c r="C30" t="s">
        <v>32</v>
      </c>
      <c r="D30">
        <v>29.8284281230357</v>
      </c>
      <c r="E30">
        <v>29.8284281230357</v>
      </c>
      <c r="F30" t="s">
        <v>61</v>
      </c>
      <c r="G30" t="s">
        <v>23</v>
      </c>
      <c r="H30">
        <v>128</v>
      </c>
      <c r="I30">
        <f t="shared" ref="I30:J31" si="32">I29</f>
        <v>29.97345174291295</v>
      </c>
      <c r="J30">
        <f t="shared" si="32"/>
        <v>0.20509437009484746</v>
      </c>
      <c r="K30">
        <f>I2</f>
        <v>29.915959853716199</v>
      </c>
      <c r="L30">
        <f>I14</f>
        <v>15.483463902292966</v>
      </c>
      <c r="M30">
        <f t="shared" si="0"/>
        <v>5.7491889196750634E-2</v>
      </c>
      <c r="N30">
        <f t="shared" si="1"/>
        <v>14.489987840619984</v>
      </c>
    </row>
    <row r="31" spans="1:14" x14ac:dyDescent="0.2">
      <c r="A31" t="s">
        <v>62</v>
      </c>
      <c r="B31" t="s">
        <v>129</v>
      </c>
      <c r="C31" t="s">
        <v>32</v>
      </c>
      <c r="D31">
        <v>30.1184753627902</v>
      </c>
      <c r="E31">
        <v>30.1184753627902</v>
      </c>
      <c r="F31" t="s">
        <v>62</v>
      </c>
      <c r="G31" t="s">
        <v>23</v>
      </c>
      <c r="H31">
        <v>128</v>
      </c>
      <c r="I31">
        <f t="shared" si="32"/>
        <v>29.97345174291295</v>
      </c>
      <c r="J31">
        <f t="shared" ref="J31" si="33">J29</f>
        <v>0.20509437009484746</v>
      </c>
      <c r="K31">
        <f>I2</f>
        <v>29.915959853716199</v>
      </c>
      <c r="L31">
        <f>I14</f>
        <v>15.483463902292966</v>
      </c>
      <c r="M31">
        <f t="shared" si="0"/>
        <v>5.7491889196750634E-2</v>
      </c>
      <c r="N31">
        <f t="shared" si="1"/>
        <v>14.489987840619984</v>
      </c>
    </row>
    <row r="32" spans="1:14" s="17" customFormat="1" x14ac:dyDescent="0.2">
      <c r="A32" s="17" t="s">
        <v>63</v>
      </c>
      <c r="B32" s="17" t="s">
        <v>129</v>
      </c>
      <c r="C32" s="17" t="s">
        <v>32</v>
      </c>
      <c r="E32" s="17">
        <v>33.089198044594902</v>
      </c>
      <c r="F32" s="17" t="s">
        <v>63</v>
      </c>
      <c r="G32" s="17" t="s">
        <v>14</v>
      </c>
      <c r="H32" s="17">
        <v>129</v>
      </c>
      <c r="I32" s="17" t="e">
        <f t="shared" ref="I32" si="34">AVERAGE(D32:D34)</f>
        <v>#DIV/0!</v>
      </c>
      <c r="J32" s="17" t="e">
        <f t="shared" ref="J32" si="35">STDEV(D32:D34)</f>
        <v>#DIV/0!</v>
      </c>
      <c r="K32" s="17">
        <f>I8</f>
        <v>32.801979802944899</v>
      </c>
      <c r="L32" s="17">
        <f>I20</f>
        <v>16.275744658081166</v>
      </c>
      <c r="M32" s="17" t="e">
        <f t="shared" si="0"/>
        <v>#DIV/0!</v>
      </c>
      <c r="N32" s="17" t="e">
        <f t="shared" si="1"/>
        <v>#DIV/0!</v>
      </c>
    </row>
    <row r="33" spans="1:14" s="17" customFormat="1" x14ac:dyDescent="0.2">
      <c r="A33" s="17" t="s">
        <v>64</v>
      </c>
      <c r="B33" s="17" t="s">
        <v>129</v>
      </c>
      <c r="C33" s="17" t="s">
        <v>32</v>
      </c>
      <c r="E33" s="17">
        <v>39.029437121195599</v>
      </c>
      <c r="F33" s="17" t="s">
        <v>64</v>
      </c>
      <c r="G33" s="17" t="s">
        <v>14</v>
      </c>
      <c r="H33" s="17">
        <v>129</v>
      </c>
      <c r="I33" s="17" t="e">
        <f t="shared" ref="I33:J33" si="36">I32</f>
        <v>#DIV/0!</v>
      </c>
      <c r="J33" s="17" t="e">
        <f t="shared" si="36"/>
        <v>#DIV/0!</v>
      </c>
      <c r="K33" s="17">
        <f>I8</f>
        <v>32.801979802944899</v>
      </c>
      <c r="L33" s="17">
        <f>I20</f>
        <v>16.275744658081166</v>
      </c>
      <c r="M33" s="17" t="e">
        <f t="shared" si="0"/>
        <v>#DIV/0!</v>
      </c>
      <c r="N33" s="17" t="e">
        <f t="shared" si="1"/>
        <v>#DIV/0!</v>
      </c>
    </row>
    <row r="34" spans="1:14" s="17" customFormat="1" x14ac:dyDescent="0.2">
      <c r="A34" s="17" t="s">
        <v>65</v>
      </c>
      <c r="B34" s="17" t="s">
        <v>129</v>
      </c>
      <c r="C34" s="17" t="s">
        <v>32</v>
      </c>
      <c r="E34" s="17">
        <v>26.751158902579</v>
      </c>
      <c r="F34" s="17" t="s">
        <v>65</v>
      </c>
      <c r="G34" s="17" t="s">
        <v>14</v>
      </c>
      <c r="H34" s="17">
        <v>129</v>
      </c>
      <c r="I34" s="17" t="e">
        <f t="shared" ref="I34:J34" si="37">I32</f>
        <v>#DIV/0!</v>
      </c>
      <c r="J34" s="17" t="e">
        <f t="shared" si="37"/>
        <v>#DIV/0!</v>
      </c>
      <c r="K34" s="17">
        <f>I8</f>
        <v>32.801979802944899</v>
      </c>
      <c r="L34" s="17">
        <f>I20</f>
        <v>16.275744658081166</v>
      </c>
      <c r="M34" s="17" t="e">
        <f t="shared" si="0"/>
        <v>#DIV/0!</v>
      </c>
      <c r="N34" s="17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>
        <v>33.753173939720803</v>
      </c>
      <c r="E35">
        <v>33.753173939720803</v>
      </c>
      <c r="F35" t="s">
        <v>66</v>
      </c>
      <c r="G35" t="s">
        <v>23</v>
      </c>
      <c r="H35">
        <v>129</v>
      </c>
      <c r="I35">
        <f t="shared" ref="I35" si="38">AVERAGE(D35:D37)</f>
        <v>33.724125360387546</v>
      </c>
      <c r="J35">
        <f t="shared" ref="J35" si="39">STDEV(D35:D37)</f>
        <v>4.1080894860757035E-2</v>
      </c>
      <c r="K35">
        <f>I8</f>
        <v>32.801979802944899</v>
      </c>
      <c r="L35">
        <f>I20</f>
        <v>16.275744658081166</v>
      </c>
      <c r="M35">
        <f t="shared" si="0"/>
        <v>0.92214555744264715</v>
      </c>
      <c r="N35">
        <f t="shared" si="1"/>
        <v>17.44838070230638</v>
      </c>
    </row>
    <row r="36" spans="1:14" x14ac:dyDescent="0.2">
      <c r="A36" t="s">
        <v>67</v>
      </c>
      <c r="B36" t="s">
        <v>129</v>
      </c>
      <c r="C36" t="s">
        <v>32</v>
      </c>
      <c r="D36">
        <v>33.695076781054297</v>
      </c>
      <c r="E36">
        <v>33.695076781054297</v>
      </c>
      <c r="F36" t="s">
        <v>67</v>
      </c>
      <c r="G36" t="s">
        <v>23</v>
      </c>
      <c r="H36">
        <v>129</v>
      </c>
      <c r="I36">
        <f t="shared" ref="I36:J37" si="40">I35</f>
        <v>33.724125360387546</v>
      </c>
      <c r="J36">
        <f t="shared" si="40"/>
        <v>4.1080894860757035E-2</v>
      </c>
      <c r="K36">
        <f>I8</f>
        <v>32.801979802944899</v>
      </c>
      <c r="L36">
        <f>I20</f>
        <v>16.275744658081166</v>
      </c>
      <c r="M36">
        <f t="shared" si="0"/>
        <v>0.92214555744264715</v>
      </c>
      <c r="N36">
        <f t="shared" si="1"/>
        <v>17.44838070230638</v>
      </c>
    </row>
    <row r="37" spans="1:14" x14ac:dyDescent="0.2">
      <c r="A37" t="s">
        <v>68</v>
      </c>
      <c r="B37" t="s">
        <v>129</v>
      </c>
      <c r="C37" t="s">
        <v>32</v>
      </c>
      <c r="D37" t="s">
        <v>33</v>
      </c>
      <c r="E37" t="s">
        <v>33</v>
      </c>
      <c r="F37" t="s">
        <v>68</v>
      </c>
      <c r="G37" t="s">
        <v>23</v>
      </c>
      <c r="H37">
        <v>129</v>
      </c>
      <c r="I37">
        <f t="shared" si="40"/>
        <v>33.724125360387546</v>
      </c>
      <c r="J37">
        <f t="shared" ref="J37" si="41">J35</f>
        <v>4.1080894860757035E-2</v>
      </c>
      <c r="K37">
        <f>I8</f>
        <v>32.801979802944899</v>
      </c>
      <c r="L37">
        <f>I20</f>
        <v>16.275744658081166</v>
      </c>
      <c r="M37">
        <f t="shared" si="0"/>
        <v>0.92214555744264715</v>
      </c>
      <c r="N37">
        <f t="shared" si="1"/>
        <v>17.44838070230638</v>
      </c>
    </row>
    <row r="38" spans="1:14" x14ac:dyDescent="0.2">
      <c r="A38" t="s">
        <v>69</v>
      </c>
      <c r="B38" t="s">
        <v>129</v>
      </c>
      <c r="C38" t="s">
        <v>32</v>
      </c>
      <c r="D38">
        <v>29.260526969662099</v>
      </c>
      <c r="E38">
        <v>29.260526969662099</v>
      </c>
      <c r="F38" t="s">
        <v>69</v>
      </c>
      <c r="G38" t="s">
        <v>15</v>
      </c>
      <c r="H38">
        <v>128</v>
      </c>
      <c r="I38">
        <f t="shared" ref="I38" si="42">AVERAGE(D38:D40)</f>
        <v>28.912990412218033</v>
      </c>
      <c r="J38">
        <f t="shared" ref="J38" si="43">STDEV(D38:D40)</f>
        <v>0.33205238979285256</v>
      </c>
      <c r="K38">
        <f>I2</f>
        <v>29.915959853716199</v>
      </c>
      <c r="L38">
        <f>I14</f>
        <v>15.483463902292966</v>
      </c>
      <c r="M38">
        <f t="shared" si="0"/>
        <v>-1.0029694414981662</v>
      </c>
      <c r="N38">
        <f t="shared" si="1"/>
        <v>13.429526509925067</v>
      </c>
    </row>
    <row r="39" spans="1:14" x14ac:dyDescent="0.2">
      <c r="A39" t="s">
        <v>70</v>
      </c>
      <c r="B39" t="s">
        <v>129</v>
      </c>
      <c r="C39" t="s">
        <v>32</v>
      </c>
      <c r="D39">
        <v>28.879480985256201</v>
      </c>
      <c r="E39">
        <v>28.879480985256201</v>
      </c>
      <c r="F39" t="s">
        <v>70</v>
      </c>
      <c r="G39" t="s">
        <v>15</v>
      </c>
      <c r="H39">
        <v>128</v>
      </c>
      <c r="I39">
        <f t="shared" ref="I39:J39" si="44">I38</f>
        <v>28.912990412218033</v>
      </c>
      <c r="J39">
        <f t="shared" si="44"/>
        <v>0.33205238979285256</v>
      </c>
      <c r="K39">
        <f>I2</f>
        <v>29.915959853716199</v>
      </c>
      <c r="L39">
        <f>I14</f>
        <v>15.483463902292966</v>
      </c>
      <c r="M39">
        <f t="shared" si="0"/>
        <v>-1.0029694414981662</v>
      </c>
      <c r="N39">
        <f t="shared" si="1"/>
        <v>13.429526509925067</v>
      </c>
    </row>
    <row r="40" spans="1:14" x14ac:dyDescent="0.2">
      <c r="A40" t="s">
        <v>71</v>
      </c>
      <c r="B40" t="s">
        <v>129</v>
      </c>
      <c r="C40" t="s">
        <v>32</v>
      </c>
      <c r="D40">
        <v>28.598963281735799</v>
      </c>
      <c r="E40">
        <v>28.598963281735799</v>
      </c>
      <c r="F40" t="s">
        <v>71</v>
      </c>
      <c r="G40" t="s">
        <v>15</v>
      </c>
      <c r="H40">
        <v>128</v>
      </c>
      <c r="I40">
        <f t="shared" ref="I40:J40" si="45">I38</f>
        <v>28.912990412218033</v>
      </c>
      <c r="J40">
        <f t="shared" si="45"/>
        <v>0.33205238979285256</v>
      </c>
      <c r="K40">
        <f>I2</f>
        <v>29.915959853716199</v>
      </c>
      <c r="L40">
        <f>I14</f>
        <v>15.483463902292966</v>
      </c>
      <c r="M40">
        <f t="shared" si="0"/>
        <v>-1.0029694414981662</v>
      </c>
      <c r="N40">
        <f t="shared" si="1"/>
        <v>13.429526509925067</v>
      </c>
    </row>
    <row r="41" spans="1:14" x14ac:dyDescent="0.2">
      <c r="A41" t="s">
        <v>72</v>
      </c>
      <c r="B41" t="s">
        <v>129</v>
      </c>
      <c r="C41" t="s">
        <v>32</v>
      </c>
      <c r="D41">
        <v>29.6168844678756</v>
      </c>
      <c r="E41">
        <v>29.6168844678756</v>
      </c>
      <c r="F41" t="s">
        <v>72</v>
      </c>
      <c r="G41" t="s">
        <v>22</v>
      </c>
      <c r="H41">
        <v>128</v>
      </c>
      <c r="I41">
        <f t="shared" ref="I41" si="46">AVERAGE(D41:D43)</f>
        <v>29.666625892899265</v>
      </c>
      <c r="J41">
        <f t="shared" ref="J41" si="47">STDEV(D41:D43)</f>
        <v>4.578644031828729E-2</v>
      </c>
      <c r="K41">
        <f>I2</f>
        <v>29.915959853716199</v>
      </c>
      <c r="L41">
        <f>I14</f>
        <v>15.483463902292966</v>
      </c>
      <c r="M41">
        <f t="shared" si="0"/>
        <v>-0.2493339608169336</v>
      </c>
      <c r="N41">
        <f t="shared" si="1"/>
        <v>14.183161990606299</v>
      </c>
    </row>
    <row r="42" spans="1:14" x14ac:dyDescent="0.2">
      <c r="A42" t="s">
        <v>73</v>
      </c>
      <c r="B42" t="s">
        <v>129</v>
      </c>
      <c r="C42" t="s">
        <v>32</v>
      </c>
      <c r="D42">
        <v>29.6759807717409</v>
      </c>
      <c r="E42">
        <v>29.6759807717409</v>
      </c>
      <c r="F42" t="s">
        <v>73</v>
      </c>
      <c r="G42" t="s">
        <v>22</v>
      </c>
      <c r="H42">
        <v>128</v>
      </c>
      <c r="I42">
        <f t="shared" ref="I42:J43" si="48">I41</f>
        <v>29.666625892899265</v>
      </c>
      <c r="J42">
        <f t="shared" si="48"/>
        <v>4.578644031828729E-2</v>
      </c>
      <c r="K42">
        <f>I2</f>
        <v>29.915959853716199</v>
      </c>
      <c r="L42">
        <f>I14</f>
        <v>15.483463902292966</v>
      </c>
      <c r="M42">
        <f t="shared" si="0"/>
        <v>-0.2493339608169336</v>
      </c>
      <c r="N42">
        <f t="shared" si="1"/>
        <v>14.183161990606299</v>
      </c>
    </row>
    <row r="43" spans="1:14" x14ac:dyDescent="0.2">
      <c r="A43" t="s">
        <v>74</v>
      </c>
      <c r="B43" t="s">
        <v>129</v>
      </c>
      <c r="C43" t="s">
        <v>32</v>
      </c>
      <c r="D43">
        <v>29.7070124390813</v>
      </c>
      <c r="E43">
        <v>29.7070124390813</v>
      </c>
      <c r="F43" t="s">
        <v>74</v>
      </c>
      <c r="G43" t="s">
        <v>22</v>
      </c>
      <c r="H43">
        <v>128</v>
      </c>
      <c r="I43">
        <f t="shared" si="48"/>
        <v>29.666625892899265</v>
      </c>
      <c r="J43">
        <f t="shared" ref="J43" si="49">J41</f>
        <v>4.578644031828729E-2</v>
      </c>
      <c r="K43">
        <f>I2</f>
        <v>29.915959853716199</v>
      </c>
      <c r="L43">
        <f>I14</f>
        <v>15.483463902292966</v>
      </c>
      <c r="M43">
        <f t="shared" si="0"/>
        <v>-0.2493339608169336</v>
      </c>
      <c r="N43">
        <f t="shared" si="1"/>
        <v>14.183161990606299</v>
      </c>
    </row>
    <row r="44" spans="1:14" x14ac:dyDescent="0.2">
      <c r="A44" t="s">
        <v>75</v>
      </c>
      <c r="B44" t="s">
        <v>129</v>
      </c>
      <c r="C44" t="s">
        <v>32</v>
      </c>
      <c r="E44">
        <v>34.297956368851601</v>
      </c>
      <c r="F44" t="s">
        <v>75</v>
      </c>
      <c r="G44" t="s">
        <v>15</v>
      </c>
      <c r="H44">
        <v>129</v>
      </c>
      <c r="I44">
        <f t="shared" ref="I44" si="50">AVERAGE(D44:D46)</f>
        <v>32.341432419595193</v>
      </c>
      <c r="J44">
        <f t="shared" ref="J44" si="51">STDEV(D44:D46)</f>
        <v>0.18577682834913128</v>
      </c>
      <c r="K44">
        <f>I8</f>
        <v>32.801979802944899</v>
      </c>
      <c r="L44">
        <f>I20</f>
        <v>16.275744658081166</v>
      </c>
      <c r="M44">
        <f t="shared" si="0"/>
        <v>-0.4605473833497058</v>
      </c>
      <c r="N44">
        <f t="shared" si="1"/>
        <v>16.065687761514027</v>
      </c>
    </row>
    <row r="45" spans="1:14" x14ac:dyDescent="0.2">
      <c r="A45" t="s">
        <v>76</v>
      </c>
      <c r="B45" t="s">
        <v>129</v>
      </c>
      <c r="C45" t="s">
        <v>32</v>
      </c>
      <c r="D45">
        <v>32.472796474708197</v>
      </c>
      <c r="E45">
        <v>32.472796474708197</v>
      </c>
      <c r="F45" t="s">
        <v>76</v>
      </c>
      <c r="G45" t="s">
        <v>15</v>
      </c>
      <c r="H45">
        <v>129</v>
      </c>
      <c r="I45">
        <f t="shared" ref="I45:J45" si="52">I44</f>
        <v>32.341432419595193</v>
      </c>
      <c r="J45">
        <f t="shared" si="52"/>
        <v>0.18577682834913128</v>
      </c>
      <c r="K45">
        <f>I8</f>
        <v>32.801979802944899</v>
      </c>
      <c r="L45">
        <f>I20</f>
        <v>16.275744658081166</v>
      </c>
      <c r="M45">
        <f t="shared" si="0"/>
        <v>-0.4605473833497058</v>
      </c>
      <c r="N45">
        <f t="shared" si="1"/>
        <v>16.065687761514027</v>
      </c>
    </row>
    <row r="46" spans="1:14" x14ac:dyDescent="0.2">
      <c r="A46" t="s">
        <v>77</v>
      </c>
      <c r="B46" t="s">
        <v>129</v>
      </c>
      <c r="C46" t="s">
        <v>32</v>
      </c>
      <c r="D46">
        <v>32.210068364482197</v>
      </c>
      <c r="E46">
        <v>32.210068364482197</v>
      </c>
      <c r="F46" t="s">
        <v>77</v>
      </c>
      <c r="G46" t="s">
        <v>15</v>
      </c>
      <c r="H46">
        <v>129</v>
      </c>
      <c r="I46">
        <f t="shared" ref="I46:J46" si="53">I44</f>
        <v>32.341432419595193</v>
      </c>
      <c r="J46">
        <f t="shared" si="53"/>
        <v>0.18577682834913128</v>
      </c>
      <c r="K46">
        <f>I8</f>
        <v>32.801979802944899</v>
      </c>
      <c r="L46">
        <f>I20</f>
        <v>16.275744658081166</v>
      </c>
      <c r="M46">
        <f t="shared" si="0"/>
        <v>-0.4605473833497058</v>
      </c>
      <c r="N46">
        <f t="shared" si="1"/>
        <v>16.065687761514027</v>
      </c>
    </row>
    <row r="47" spans="1:14" s="17" customFormat="1" x14ac:dyDescent="0.2">
      <c r="A47" s="17" t="s">
        <v>78</v>
      </c>
      <c r="B47" s="17" t="s">
        <v>129</v>
      </c>
      <c r="C47" s="17" t="s">
        <v>32</v>
      </c>
      <c r="E47" s="17">
        <v>34.785452408456003</v>
      </c>
      <c r="F47" s="17" t="s">
        <v>78</v>
      </c>
      <c r="G47" s="17" t="s">
        <v>22</v>
      </c>
      <c r="H47" s="17">
        <v>129</v>
      </c>
      <c r="I47" s="17" t="e">
        <f t="shared" ref="I47" si="54">AVERAGE(D47:D49)</f>
        <v>#DIV/0!</v>
      </c>
      <c r="J47" s="17" t="e">
        <f t="shared" ref="J47" si="55">STDEV(D47:D49)</f>
        <v>#DIV/0!</v>
      </c>
      <c r="K47" s="17">
        <f>I8</f>
        <v>32.801979802944899</v>
      </c>
      <c r="L47" s="17">
        <f>I20</f>
        <v>16.275744658081166</v>
      </c>
      <c r="M47" s="17" t="e">
        <f t="shared" si="0"/>
        <v>#DIV/0!</v>
      </c>
      <c r="N47" s="17" t="e">
        <f t="shared" si="1"/>
        <v>#DIV/0!</v>
      </c>
    </row>
    <row r="48" spans="1:14" s="17" customFormat="1" x14ac:dyDescent="0.2">
      <c r="A48" s="17" t="s">
        <v>79</v>
      </c>
      <c r="B48" s="17" t="s">
        <v>129</v>
      </c>
      <c r="C48" s="17" t="s">
        <v>32</v>
      </c>
      <c r="E48" s="17">
        <v>33.9164316095559</v>
      </c>
      <c r="F48" s="17" t="s">
        <v>79</v>
      </c>
      <c r="G48" s="17" t="s">
        <v>22</v>
      </c>
      <c r="H48" s="17">
        <v>129</v>
      </c>
      <c r="I48" s="17" t="e">
        <f t="shared" ref="I48:J49" si="56">I47</f>
        <v>#DIV/0!</v>
      </c>
      <c r="J48" s="17" t="e">
        <f t="shared" si="56"/>
        <v>#DIV/0!</v>
      </c>
      <c r="K48" s="17">
        <f>I8</f>
        <v>32.801979802944899</v>
      </c>
      <c r="L48" s="17">
        <f>I20</f>
        <v>16.275744658081166</v>
      </c>
      <c r="M48" s="17" t="e">
        <f t="shared" si="0"/>
        <v>#DIV/0!</v>
      </c>
      <c r="N48" s="17" t="e">
        <f t="shared" si="1"/>
        <v>#DIV/0!</v>
      </c>
    </row>
    <row r="49" spans="1:14" s="17" customFormat="1" x14ac:dyDescent="0.2">
      <c r="A49" s="17" t="s">
        <v>80</v>
      </c>
      <c r="B49" s="17" t="s">
        <v>129</v>
      </c>
      <c r="C49" s="17" t="s">
        <v>32</v>
      </c>
      <c r="E49" s="17" t="s">
        <v>33</v>
      </c>
      <c r="F49" s="17" t="s">
        <v>80</v>
      </c>
      <c r="G49" s="17" t="s">
        <v>22</v>
      </c>
      <c r="H49" s="17">
        <v>129</v>
      </c>
      <c r="I49" s="17" t="e">
        <f t="shared" si="56"/>
        <v>#DIV/0!</v>
      </c>
      <c r="J49" s="17" t="e">
        <f t="shared" ref="J49" si="57">J47</f>
        <v>#DIV/0!</v>
      </c>
      <c r="K49" s="17">
        <f>I8</f>
        <v>32.801979802944899</v>
      </c>
      <c r="L49" s="17">
        <f>I20</f>
        <v>16.275744658081166</v>
      </c>
      <c r="M49" s="17" t="e">
        <f t="shared" si="0"/>
        <v>#DIV/0!</v>
      </c>
      <c r="N49" s="17" t="e">
        <f t="shared" si="1"/>
        <v>#DIV/0!</v>
      </c>
    </row>
    <row r="50" spans="1:14" x14ac:dyDescent="0.2">
      <c r="A50" t="s">
        <v>81</v>
      </c>
      <c r="B50" t="s">
        <v>129</v>
      </c>
      <c r="C50" t="s">
        <v>32</v>
      </c>
      <c r="D50">
        <v>28.690994868007799</v>
      </c>
      <c r="E50">
        <v>28.690994868007799</v>
      </c>
      <c r="F50" t="s">
        <v>81</v>
      </c>
      <c r="G50" t="s">
        <v>16</v>
      </c>
      <c r="H50">
        <v>128</v>
      </c>
      <c r="I50">
        <f t="shared" ref="I50" si="58">AVERAGE(D50:D52)</f>
        <v>28.687611657376703</v>
      </c>
      <c r="J50">
        <f t="shared" ref="J50" si="59">STDEV(D50:D52)</f>
        <v>0.20181512206276725</v>
      </c>
      <c r="K50">
        <f>I2</f>
        <v>29.915959853716199</v>
      </c>
      <c r="L50">
        <f>I14</f>
        <v>15.483463902292966</v>
      </c>
      <c r="M50">
        <f t="shared" si="0"/>
        <v>-1.2283481963394962</v>
      </c>
      <c r="N50">
        <f t="shared" si="1"/>
        <v>13.204147755083737</v>
      </c>
    </row>
    <row r="51" spans="1:14" x14ac:dyDescent="0.2">
      <c r="A51" t="s">
        <v>82</v>
      </c>
      <c r="B51" t="s">
        <v>129</v>
      </c>
      <c r="C51" t="s">
        <v>32</v>
      </c>
      <c r="D51">
        <v>28.8877139045631</v>
      </c>
      <c r="E51">
        <v>28.8877139045631</v>
      </c>
      <c r="F51" t="s">
        <v>82</v>
      </c>
      <c r="G51" t="s">
        <v>16</v>
      </c>
      <c r="H51">
        <v>128</v>
      </c>
      <c r="I51">
        <f t="shared" ref="I51:J51" si="60">I50</f>
        <v>28.687611657376703</v>
      </c>
      <c r="J51">
        <f t="shared" si="60"/>
        <v>0.20181512206276725</v>
      </c>
      <c r="K51">
        <f>I2</f>
        <v>29.915959853716199</v>
      </c>
      <c r="L51">
        <f>I14</f>
        <v>15.483463902292966</v>
      </c>
      <c r="M51">
        <f t="shared" si="0"/>
        <v>-1.2283481963394962</v>
      </c>
      <c r="N51">
        <f t="shared" si="1"/>
        <v>13.204147755083737</v>
      </c>
    </row>
    <row r="52" spans="1:14" x14ac:dyDescent="0.2">
      <c r="A52" t="s">
        <v>83</v>
      </c>
      <c r="B52" t="s">
        <v>129</v>
      </c>
      <c r="C52" t="s">
        <v>32</v>
      </c>
      <c r="D52">
        <v>28.484126199559199</v>
      </c>
      <c r="E52">
        <v>28.484126199559199</v>
      </c>
      <c r="F52" t="s">
        <v>83</v>
      </c>
      <c r="G52" t="s">
        <v>16</v>
      </c>
      <c r="H52">
        <v>128</v>
      </c>
      <c r="I52">
        <f t="shared" ref="I52:J52" si="61">I50</f>
        <v>28.687611657376703</v>
      </c>
      <c r="J52">
        <f t="shared" si="61"/>
        <v>0.20181512206276725</v>
      </c>
      <c r="K52">
        <f>I2</f>
        <v>29.915959853716199</v>
      </c>
      <c r="L52">
        <f>I14</f>
        <v>15.483463902292966</v>
      </c>
      <c r="M52">
        <f t="shared" si="0"/>
        <v>-1.2283481963394962</v>
      </c>
      <c r="N52">
        <f t="shared" si="1"/>
        <v>13.204147755083737</v>
      </c>
    </row>
    <row r="53" spans="1:14" x14ac:dyDescent="0.2">
      <c r="A53" t="s">
        <v>84</v>
      </c>
      <c r="B53" t="s">
        <v>129</v>
      </c>
      <c r="C53" t="s">
        <v>32</v>
      </c>
      <c r="D53">
        <v>29.231006194202099</v>
      </c>
      <c r="E53">
        <v>29.231006194202099</v>
      </c>
      <c r="F53" t="s">
        <v>84</v>
      </c>
      <c r="G53" t="s">
        <v>24</v>
      </c>
      <c r="H53">
        <v>128</v>
      </c>
      <c r="I53">
        <f t="shared" ref="I53" si="62">AVERAGE(D53:D55)</f>
        <v>29.137179810767396</v>
      </c>
      <c r="J53">
        <f t="shared" ref="J53" si="63">STDEV(D53:D55)</f>
        <v>9.1921035172964793E-2</v>
      </c>
      <c r="K53">
        <f>I2</f>
        <v>29.915959853716199</v>
      </c>
      <c r="L53">
        <f>I14</f>
        <v>15.483463902292966</v>
      </c>
      <c r="M53">
        <f t="shared" si="0"/>
        <v>-0.77878004294880299</v>
      </c>
      <c r="N53">
        <f t="shared" si="1"/>
        <v>13.65371590847443</v>
      </c>
    </row>
    <row r="54" spans="1:14" x14ac:dyDescent="0.2">
      <c r="A54" t="s">
        <v>85</v>
      </c>
      <c r="B54" t="s">
        <v>129</v>
      </c>
      <c r="C54" t="s">
        <v>32</v>
      </c>
      <c r="D54">
        <v>29.133242589498</v>
      </c>
      <c r="E54">
        <v>29.133242589498</v>
      </c>
      <c r="F54" t="s">
        <v>85</v>
      </c>
      <c r="G54" t="s">
        <v>24</v>
      </c>
      <c r="H54">
        <v>128</v>
      </c>
      <c r="I54">
        <f t="shared" ref="I54:J55" si="64">I53</f>
        <v>29.137179810767396</v>
      </c>
      <c r="J54">
        <f t="shared" si="64"/>
        <v>9.1921035172964793E-2</v>
      </c>
      <c r="K54">
        <f>I2</f>
        <v>29.915959853716199</v>
      </c>
      <c r="L54">
        <f>I14</f>
        <v>15.483463902292966</v>
      </c>
      <c r="M54">
        <f t="shared" si="0"/>
        <v>-0.77878004294880299</v>
      </c>
      <c r="N54">
        <f t="shared" si="1"/>
        <v>13.65371590847443</v>
      </c>
    </row>
    <row r="55" spans="1:14" x14ac:dyDescent="0.2">
      <c r="A55" t="s">
        <v>86</v>
      </c>
      <c r="B55" t="s">
        <v>129</v>
      </c>
      <c r="C55" t="s">
        <v>32</v>
      </c>
      <c r="D55">
        <v>29.0472906486021</v>
      </c>
      <c r="E55">
        <v>29.0472906486021</v>
      </c>
      <c r="F55" t="s">
        <v>86</v>
      </c>
      <c r="G55" t="s">
        <v>24</v>
      </c>
      <c r="H55">
        <v>128</v>
      </c>
      <c r="I55">
        <f t="shared" si="64"/>
        <v>29.137179810767396</v>
      </c>
      <c r="J55">
        <f t="shared" ref="J55" si="65">J53</f>
        <v>9.1921035172964793E-2</v>
      </c>
      <c r="K55">
        <f>I2</f>
        <v>29.915959853716199</v>
      </c>
      <c r="L55">
        <f>I14</f>
        <v>15.483463902292966</v>
      </c>
      <c r="M55">
        <f t="shared" si="0"/>
        <v>-0.77878004294880299</v>
      </c>
      <c r="N55">
        <f t="shared" si="1"/>
        <v>13.65371590847443</v>
      </c>
    </row>
    <row r="56" spans="1:14" x14ac:dyDescent="0.2">
      <c r="A56" t="s">
        <v>87</v>
      </c>
      <c r="B56" t="s">
        <v>129</v>
      </c>
      <c r="C56" t="s">
        <v>32</v>
      </c>
      <c r="D56">
        <v>32.189027149497399</v>
      </c>
      <c r="E56">
        <v>32.189027149497399</v>
      </c>
      <c r="F56" t="s">
        <v>87</v>
      </c>
      <c r="G56" t="s">
        <v>16</v>
      </c>
      <c r="H56">
        <v>129</v>
      </c>
      <c r="I56">
        <f t="shared" ref="I56" si="66">AVERAGE(D56:D58)</f>
        <v>32.369601745222248</v>
      </c>
      <c r="J56">
        <f t="shared" ref="J56" si="67">STDEV(D56:D58)</f>
        <v>0.25537104229412022</v>
      </c>
      <c r="K56">
        <f>I8</f>
        <v>32.801979802944899</v>
      </c>
      <c r="L56">
        <f>I20</f>
        <v>16.275744658081166</v>
      </c>
      <c r="M56">
        <f t="shared" si="0"/>
        <v>-0.43237805772265148</v>
      </c>
      <c r="N56">
        <f t="shared" si="1"/>
        <v>16.093857087141082</v>
      </c>
    </row>
    <row r="57" spans="1:14" x14ac:dyDescent="0.2">
      <c r="A57" t="s">
        <v>88</v>
      </c>
      <c r="B57" t="s">
        <v>129</v>
      </c>
      <c r="C57" t="s">
        <v>32</v>
      </c>
      <c r="D57">
        <v>32.550176340947097</v>
      </c>
      <c r="E57">
        <v>32.550176340947097</v>
      </c>
      <c r="F57" t="s">
        <v>88</v>
      </c>
      <c r="G57" t="s">
        <v>16</v>
      </c>
      <c r="H57">
        <v>129</v>
      </c>
      <c r="I57">
        <f t="shared" ref="I57:J57" si="68">I56</f>
        <v>32.369601745222248</v>
      </c>
      <c r="J57">
        <f t="shared" si="68"/>
        <v>0.25537104229412022</v>
      </c>
      <c r="K57">
        <f>I8</f>
        <v>32.801979802944899</v>
      </c>
      <c r="L57">
        <f>I20</f>
        <v>16.275744658081166</v>
      </c>
      <c r="M57">
        <f t="shared" si="0"/>
        <v>-0.43237805772265148</v>
      </c>
      <c r="N57">
        <f t="shared" si="1"/>
        <v>16.093857087141082</v>
      </c>
    </row>
    <row r="58" spans="1:14" x14ac:dyDescent="0.2">
      <c r="A58" t="s">
        <v>89</v>
      </c>
      <c r="B58" t="s">
        <v>129</v>
      </c>
      <c r="C58" t="s">
        <v>32</v>
      </c>
      <c r="E58">
        <v>31.207537684798101</v>
      </c>
      <c r="F58" t="s">
        <v>89</v>
      </c>
      <c r="G58" t="s">
        <v>16</v>
      </c>
      <c r="H58">
        <v>129</v>
      </c>
      <c r="I58">
        <f t="shared" ref="I58:J58" si="69">I56</f>
        <v>32.369601745222248</v>
      </c>
      <c r="J58">
        <f t="shared" si="69"/>
        <v>0.25537104229412022</v>
      </c>
      <c r="K58">
        <f>I8</f>
        <v>32.801979802944899</v>
      </c>
      <c r="L58">
        <f>I20</f>
        <v>16.275744658081166</v>
      </c>
      <c r="M58">
        <f t="shared" si="0"/>
        <v>-0.43237805772265148</v>
      </c>
      <c r="N58">
        <f t="shared" si="1"/>
        <v>16.093857087141082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 t="s">
        <v>33</v>
      </c>
      <c r="F59" s="17" t="s">
        <v>90</v>
      </c>
      <c r="G59" s="17" t="s">
        <v>24</v>
      </c>
      <c r="H59" s="17">
        <v>129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32.801979802944899</v>
      </c>
      <c r="L59" s="17">
        <f>I20</f>
        <v>16.275744658081166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34.4594713101488</v>
      </c>
      <c r="F60" s="17" t="s">
        <v>91</v>
      </c>
      <c r="G60" s="17" t="s">
        <v>24</v>
      </c>
      <c r="H60" s="17">
        <v>129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32.801979802944899</v>
      </c>
      <c r="L60" s="17">
        <f>I20</f>
        <v>16.275744658081166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7" t="s">
        <v>24</v>
      </c>
      <c r="H61" s="17">
        <v>129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32.801979802944899</v>
      </c>
      <c r="L61" s="17">
        <f>I20</f>
        <v>16.275744658081166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29.148348825345199</v>
      </c>
      <c r="E62">
        <v>29.148348825345199</v>
      </c>
      <c r="F62" t="s">
        <v>93</v>
      </c>
      <c r="G62" t="s">
        <v>17</v>
      </c>
      <c r="H62">
        <v>128</v>
      </c>
      <c r="I62">
        <f t="shared" ref="I62" si="74">AVERAGE(D62:D64)</f>
        <v>29.242141321001828</v>
      </c>
      <c r="J62">
        <f t="shared" ref="J62" si="75">STDEV(D62:D64)</f>
        <v>0.12972206519665033</v>
      </c>
      <c r="K62">
        <f>I2</f>
        <v>29.915959853716199</v>
      </c>
      <c r="L62">
        <f>I14</f>
        <v>15.483463902292966</v>
      </c>
      <c r="M62">
        <f t="shared" si="0"/>
        <v>-0.67381853271437109</v>
      </c>
      <c r="N62">
        <f t="shared" si="1"/>
        <v>13.758677418708862</v>
      </c>
    </row>
    <row r="63" spans="1:14" x14ac:dyDescent="0.2">
      <c r="A63" t="s">
        <v>94</v>
      </c>
      <c r="B63" t="s">
        <v>129</v>
      </c>
      <c r="C63" t="s">
        <v>32</v>
      </c>
      <c r="D63">
        <v>29.187893908535699</v>
      </c>
      <c r="E63">
        <v>29.187893908535699</v>
      </c>
      <c r="F63" t="s">
        <v>94</v>
      </c>
      <c r="G63" t="s">
        <v>17</v>
      </c>
      <c r="H63">
        <v>128</v>
      </c>
      <c r="I63">
        <f t="shared" ref="I63:J63" si="76">I62</f>
        <v>29.242141321001828</v>
      </c>
      <c r="J63">
        <f t="shared" si="76"/>
        <v>0.12972206519665033</v>
      </c>
      <c r="K63">
        <f>I2</f>
        <v>29.915959853716199</v>
      </c>
      <c r="L63">
        <f>I14</f>
        <v>15.483463902292966</v>
      </c>
      <c r="M63">
        <f t="shared" si="0"/>
        <v>-0.67381853271437109</v>
      </c>
      <c r="N63">
        <f t="shared" si="1"/>
        <v>13.758677418708862</v>
      </c>
    </row>
    <row r="64" spans="1:14" x14ac:dyDescent="0.2">
      <c r="A64" t="s">
        <v>95</v>
      </c>
      <c r="B64" t="s">
        <v>129</v>
      </c>
      <c r="C64" t="s">
        <v>32</v>
      </c>
      <c r="D64">
        <v>29.3901812291246</v>
      </c>
      <c r="E64">
        <v>29.3901812291246</v>
      </c>
      <c r="F64" t="s">
        <v>95</v>
      </c>
      <c r="G64" t="s">
        <v>17</v>
      </c>
      <c r="H64">
        <v>128</v>
      </c>
      <c r="I64">
        <f t="shared" ref="I64:J64" si="77">I62</f>
        <v>29.242141321001828</v>
      </c>
      <c r="J64">
        <f t="shared" si="77"/>
        <v>0.12972206519665033</v>
      </c>
      <c r="K64">
        <f>I2</f>
        <v>29.915959853716199</v>
      </c>
      <c r="L64">
        <f>I14</f>
        <v>15.483463902292966</v>
      </c>
      <c r="M64">
        <f t="shared" si="0"/>
        <v>-0.67381853271437109</v>
      </c>
      <c r="N64">
        <f t="shared" si="1"/>
        <v>13.758677418708862</v>
      </c>
    </row>
    <row r="65" spans="1:14" x14ac:dyDescent="0.2">
      <c r="A65" t="s">
        <v>96</v>
      </c>
      <c r="B65" t="s">
        <v>129</v>
      </c>
      <c r="C65" t="s">
        <v>32</v>
      </c>
      <c r="D65">
        <v>29.218573897048</v>
      </c>
      <c r="E65">
        <v>29.218573897048</v>
      </c>
      <c r="F65" t="s">
        <v>96</v>
      </c>
      <c r="G65" t="s">
        <v>25</v>
      </c>
      <c r="H65">
        <v>128</v>
      </c>
      <c r="I65">
        <f t="shared" ref="I65" si="78">AVERAGE(D65:D67)</f>
        <v>29.273261562118133</v>
      </c>
      <c r="J65">
        <f t="shared" ref="J65" si="79">STDEV(D65:D67)</f>
        <v>6.7165747213678739E-2</v>
      </c>
      <c r="K65">
        <f>I2</f>
        <v>29.915959853716199</v>
      </c>
      <c r="L65">
        <f>I14</f>
        <v>15.483463902292966</v>
      </c>
      <c r="M65">
        <f t="shared" si="0"/>
        <v>-0.64269829159806591</v>
      </c>
      <c r="N65">
        <f t="shared" si="1"/>
        <v>13.789797659825167</v>
      </c>
    </row>
    <row r="66" spans="1:14" x14ac:dyDescent="0.2">
      <c r="A66" t="s">
        <v>97</v>
      </c>
      <c r="B66" t="s">
        <v>129</v>
      </c>
      <c r="C66" t="s">
        <v>32</v>
      </c>
      <c r="D66">
        <v>29.3482308297237</v>
      </c>
      <c r="E66">
        <v>29.3482308297237</v>
      </c>
      <c r="F66" t="s">
        <v>97</v>
      </c>
      <c r="G66" t="s">
        <v>25</v>
      </c>
      <c r="H66">
        <v>128</v>
      </c>
      <c r="I66">
        <f t="shared" ref="I66:J67" si="80">I65</f>
        <v>29.273261562118133</v>
      </c>
      <c r="J66">
        <f t="shared" si="80"/>
        <v>6.7165747213678739E-2</v>
      </c>
      <c r="K66">
        <f>I2</f>
        <v>29.915959853716199</v>
      </c>
      <c r="L66">
        <f>I14</f>
        <v>15.483463902292966</v>
      </c>
      <c r="M66">
        <f t="shared" si="0"/>
        <v>-0.64269829159806591</v>
      </c>
      <c r="N66">
        <f t="shared" si="1"/>
        <v>13.789797659825167</v>
      </c>
    </row>
    <row r="67" spans="1:14" x14ac:dyDescent="0.2">
      <c r="A67" t="s">
        <v>98</v>
      </c>
      <c r="B67" t="s">
        <v>129</v>
      </c>
      <c r="C67" t="s">
        <v>32</v>
      </c>
      <c r="D67">
        <v>29.252979959582699</v>
      </c>
      <c r="E67">
        <v>29.252979959582699</v>
      </c>
      <c r="F67" t="s">
        <v>98</v>
      </c>
      <c r="G67" t="s">
        <v>25</v>
      </c>
      <c r="H67">
        <v>128</v>
      </c>
      <c r="I67">
        <f t="shared" si="80"/>
        <v>29.273261562118133</v>
      </c>
      <c r="J67">
        <f t="shared" ref="J67" si="81">J65</f>
        <v>6.7165747213678739E-2</v>
      </c>
      <c r="K67">
        <f>I2</f>
        <v>29.915959853716199</v>
      </c>
      <c r="L67">
        <f>I14</f>
        <v>15.483463902292966</v>
      </c>
      <c r="M67">
        <f t="shared" ref="M67:M97" si="82">I67-K67</f>
        <v>-0.64269829159806591</v>
      </c>
      <c r="N67">
        <f t="shared" ref="N67:N97" si="83">I67-L67</f>
        <v>13.789797659825167</v>
      </c>
    </row>
    <row r="68" spans="1:14" x14ac:dyDescent="0.2">
      <c r="A68" t="s">
        <v>99</v>
      </c>
      <c r="B68" t="s">
        <v>129</v>
      </c>
      <c r="C68" t="s">
        <v>32</v>
      </c>
      <c r="D68">
        <v>31.789356381692802</v>
      </c>
      <c r="E68">
        <v>31.789356381692802</v>
      </c>
      <c r="F68" t="s">
        <v>99</v>
      </c>
      <c r="G68" t="s">
        <v>17</v>
      </c>
      <c r="H68">
        <v>129</v>
      </c>
      <c r="I68">
        <f t="shared" ref="I68" si="84">AVERAGE(D68:D70)</f>
        <v>31.714217220755401</v>
      </c>
      <c r="J68">
        <f t="shared" ref="J68" si="85">STDEV(D68:D70)</f>
        <v>0.10626282046300628</v>
      </c>
      <c r="K68">
        <f>I8</f>
        <v>32.801979802944899</v>
      </c>
      <c r="L68">
        <f>I20</f>
        <v>16.275744658081166</v>
      </c>
      <c r="M68">
        <f t="shared" si="82"/>
        <v>-1.0877625821894981</v>
      </c>
      <c r="N68">
        <f t="shared" si="83"/>
        <v>15.438472562674235</v>
      </c>
    </row>
    <row r="69" spans="1:14" x14ac:dyDescent="0.2">
      <c r="A69" t="s">
        <v>100</v>
      </c>
      <c r="B69" t="s">
        <v>129</v>
      </c>
      <c r="C69" t="s">
        <v>32</v>
      </c>
      <c r="E69">
        <v>32.322716210158099</v>
      </c>
      <c r="F69" t="s">
        <v>100</v>
      </c>
      <c r="G69" t="s">
        <v>17</v>
      </c>
      <c r="H69">
        <v>129</v>
      </c>
      <c r="I69">
        <f t="shared" ref="I69:J69" si="86">I68</f>
        <v>31.714217220755401</v>
      </c>
      <c r="J69">
        <f t="shared" si="86"/>
        <v>0.10626282046300628</v>
      </c>
      <c r="K69">
        <f>I8</f>
        <v>32.801979802944899</v>
      </c>
      <c r="L69">
        <f>I20</f>
        <v>16.275744658081166</v>
      </c>
      <c r="M69">
        <f t="shared" si="82"/>
        <v>-1.0877625821894981</v>
      </c>
      <c r="N69">
        <f t="shared" si="83"/>
        <v>15.438472562674235</v>
      </c>
    </row>
    <row r="70" spans="1:14" x14ac:dyDescent="0.2">
      <c r="A70" t="s">
        <v>101</v>
      </c>
      <c r="B70" t="s">
        <v>129</v>
      </c>
      <c r="C70" t="s">
        <v>32</v>
      </c>
      <c r="D70">
        <v>31.639078059818001</v>
      </c>
      <c r="E70">
        <v>31.639078059818001</v>
      </c>
      <c r="F70" t="s">
        <v>101</v>
      </c>
      <c r="G70" t="s">
        <v>17</v>
      </c>
      <c r="H70">
        <v>129</v>
      </c>
      <c r="I70">
        <f t="shared" ref="I70:J70" si="87">I68</f>
        <v>31.714217220755401</v>
      </c>
      <c r="J70">
        <f t="shared" si="87"/>
        <v>0.10626282046300628</v>
      </c>
      <c r="K70">
        <f>I8</f>
        <v>32.801979802944899</v>
      </c>
      <c r="L70">
        <f>I20</f>
        <v>16.275744658081166</v>
      </c>
      <c r="M70">
        <f t="shared" si="82"/>
        <v>-1.0877625821894981</v>
      </c>
      <c r="N70">
        <f t="shared" si="83"/>
        <v>15.438472562674235</v>
      </c>
    </row>
    <row r="71" spans="1:14" x14ac:dyDescent="0.2">
      <c r="A71" t="s">
        <v>102</v>
      </c>
      <c r="B71" t="s">
        <v>129</v>
      </c>
      <c r="C71" t="s">
        <v>32</v>
      </c>
      <c r="D71">
        <v>30.863702638437701</v>
      </c>
      <c r="E71">
        <v>30.863702638437701</v>
      </c>
      <c r="F71" t="s">
        <v>102</v>
      </c>
      <c r="G71" t="s">
        <v>25</v>
      </c>
      <c r="H71">
        <v>129</v>
      </c>
      <c r="I71">
        <f t="shared" ref="I71" si="88">AVERAGE(D71:D73)</f>
        <v>30.94950352185025</v>
      </c>
      <c r="J71">
        <f t="shared" ref="J71" si="89">STDEV(D71:D73)</f>
        <v>0.12134077298561982</v>
      </c>
      <c r="K71">
        <f>I8</f>
        <v>32.801979802944899</v>
      </c>
      <c r="L71">
        <f>I20</f>
        <v>16.275744658081166</v>
      </c>
      <c r="M71">
        <f t="shared" si="82"/>
        <v>-1.8524762810946491</v>
      </c>
      <c r="N71">
        <f t="shared" si="83"/>
        <v>14.673758863769084</v>
      </c>
    </row>
    <row r="72" spans="1:14" x14ac:dyDescent="0.2">
      <c r="A72" t="s">
        <v>103</v>
      </c>
      <c r="B72" t="s">
        <v>129</v>
      </c>
      <c r="C72" t="s">
        <v>32</v>
      </c>
      <c r="D72">
        <v>31.035304405262799</v>
      </c>
      <c r="E72">
        <v>31.035304405262799</v>
      </c>
      <c r="F72" t="s">
        <v>103</v>
      </c>
      <c r="G72" t="s">
        <v>25</v>
      </c>
      <c r="H72">
        <v>129</v>
      </c>
      <c r="I72">
        <f t="shared" ref="I72:J73" si="90">I71</f>
        <v>30.94950352185025</v>
      </c>
      <c r="J72">
        <f t="shared" si="90"/>
        <v>0.12134077298561982</v>
      </c>
      <c r="K72">
        <f>I8</f>
        <v>32.801979802944899</v>
      </c>
      <c r="L72">
        <f>I20</f>
        <v>16.275744658081166</v>
      </c>
      <c r="M72">
        <f t="shared" si="82"/>
        <v>-1.8524762810946491</v>
      </c>
      <c r="N72">
        <f t="shared" si="83"/>
        <v>14.673758863769084</v>
      </c>
    </row>
    <row r="73" spans="1:14" x14ac:dyDescent="0.2">
      <c r="A73" t="s">
        <v>104</v>
      </c>
      <c r="B73" t="s">
        <v>129</v>
      </c>
      <c r="C73" t="s">
        <v>32</v>
      </c>
      <c r="E73">
        <v>32.468498666535602</v>
      </c>
      <c r="F73" t="s">
        <v>104</v>
      </c>
      <c r="G73" t="s">
        <v>25</v>
      </c>
      <c r="H73">
        <v>129</v>
      </c>
      <c r="I73">
        <f t="shared" si="90"/>
        <v>30.94950352185025</v>
      </c>
      <c r="J73">
        <f t="shared" ref="J73" si="91">J71</f>
        <v>0.12134077298561982</v>
      </c>
      <c r="K73">
        <f>I8</f>
        <v>32.801979802944899</v>
      </c>
      <c r="L73">
        <f>I20</f>
        <v>16.275744658081166</v>
      </c>
      <c r="M73">
        <f t="shared" si="82"/>
        <v>-1.8524762810946491</v>
      </c>
      <c r="N73">
        <f t="shared" si="83"/>
        <v>14.673758863769084</v>
      </c>
    </row>
    <row r="74" spans="1:14" x14ac:dyDescent="0.2">
      <c r="A74" t="s">
        <v>105</v>
      </c>
      <c r="B74" t="s">
        <v>129</v>
      </c>
      <c r="C74" t="s">
        <v>32</v>
      </c>
      <c r="E74">
        <v>30.3953808769147</v>
      </c>
      <c r="F74" t="s">
        <v>105</v>
      </c>
      <c r="G74" t="s">
        <v>18</v>
      </c>
      <c r="H74">
        <v>128</v>
      </c>
      <c r="I74">
        <f t="shared" ref="I74" si="92">AVERAGE(D74:D76)</f>
        <v>29.426165367810249</v>
      </c>
      <c r="J74">
        <f>STDEV(D74:D76)</f>
        <v>4.4219656706418149E-2</v>
      </c>
      <c r="K74">
        <f>I2</f>
        <v>29.915959853716199</v>
      </c>
      <c r="L74">
        <f>I14</f>
        <v>15.483463902292966</v>
      </c>
      <c r="M74">
        <f t="shared" si="82"/>
        <v>-0.48979448590594998</v>
      </c>
      <c r="N74">
        <f t="shared" si="83"/>
        <v>13.942701465517283</v>
      </c>
    </row>
    <row r="75" spans="1:14" x14ac:dyDescent="0.2">
      <c r="A75" t="s">
        <v>106</v>
      </c>
      <c r="B75" t="s">
        <v>129</v>
      </c>
      <c r="C75" t="s">
        <v>32</v>
      </c>
      <c r="D75">
        <v>29.4574333869291</v>
      </c>
      <c r="E75">
        <v>29.4574333869291</v>
      </c>
      <c r="F75" t="s">
        <v>106</v>
      </c>
      <c r="G75" t="s">
        <v>18</v>
      </c>
      <c r="H75">
        <v>128</v>
      </c>
      <c r="I75">
        <f t="shared" ref="I75:J75" si="93">I74</f>
        <v>29.426165367810249</v>
      </c>
      <c r="J75">
        <f t="shared" si="93"/>
        <v>4.4219656706418149E-2</v>
      </c>
      <c r="K75">
        <f>I2</f>
        <v>29.915959853716199</v>
      </c>
      <c r="L75">
        <f>I14</f>
        <v>15.483463902292966</v>
      </c>
      <c r="M75">
        <f t="shared" si="82"/>
        <v>-0.48979448590594998</v>
      </c>
      <c r="N75">
        <f t="shared" si="83"/>
        <v>13.942701465517283</v>
      </c>
    </row>
    <row r="76" spans="1:14" x14ac:dyDescent="0.2">
      <c r="A76" t="s">
        <v>107</v>
      </c>
      <c r="B76" t="s">
        <v>129</v>
      </c>
      <c r="C76" t="s">
        <v>32</v>
      </c>
      <c r="D76">
        <v>29.394897348691401</v>
      </c>
      <c r="E76">
        <v>29.394897348691401</v>
      </c>
      <c r="F76" t="s">
        <v>107</v>
      </c>
      <c r="G76" t="s">
        <v>18</v>
      </c>
      <c r="H76">
        <v>128</v>
      </c>
      <c r="I76">
        <f t="shared" ref="I76:J76" si="94">I74</f>
        <v>29.426165367810249</v>
      </c>
      <c r="J76">
        <f t="shared" si="94"/>
        <v>4.4219656706418149E-2</v>
      </c>
      <c r="K76">
        <f>I2</f>
        <v>29.915959853716199</v>
      </c>
      <c r="L76">
        <f>I14</f>
        <v>15.483463902292966</v>
      </c>
      <c r="M76">
        <f t="shared" si="82"/>
        <v>-0.48979448590594998</v>
      </c>
      <c r="N76">
        <f t="shared" si="83"/>
        <v>13.942701465517283</v>
      </c>
    </row>
    <row r="77" spans="1:14" x14ac:dyDescent="0.2">
      <c r="A77" t="s">
        <v>108</v>
      </c>
      <c r="B77" t="s">
        <v>129</v>
      </c>
      <c r="C77" t="s">
        <v>32</v>
      </c>
      <c r="D77">
        <v>28.920375289263799</v>
      </c>
      <c r="E77">
        <v>28.920375289263799</v>
      </c>
      <c r="F77" t="s">
        <v>108</v>
      </c>
      <c r="G77" t="s">
        <v>144</v>
      </c>
      <c r="I77">
        <f t="shared" ref="I77" si="95">AVERAGE(D77:D79)</f>
        <v>28.4893733918062</v>
      </c>
      <c r="J77">
        <f t="shared" ref="J77" si="96">STDEV(D77:D79)</f>
        <v>0.414486179974211</v>
      </c>
      <c r="K77">
        <f>I2</f>
        <v>29.915959853716199</v>
      </c>
      <c r="L77">
        <f>I14</f>
        <v>15.483463902292966</v>
      </c>
      <c r="M77">
        <f t="shared" si="82"/>
        <v>-1.4265864619099986</v>
      </c>
      <c r="N77">
        <f t="shared" si="83"/>
        <v>13.005909489513234</v>
      </c>
    </row>
    <row r="78" spans="1:14" x14ac:dyDescent="0.2">
      <c r="A78" t="s">
        <v>109</v>
      </c>
      <c r="B78" t="s">
        <v>129</v>
      </c>
      <c r="C78" t="s">
        <v>32</v>
      </c>
      <c r="D78">
        <v>28.454085696420702</v>
      </c>
      <c r="E78">
        <v>28.454085696420702</v>
      </c>
      <c r="F78" t="s">
        <v>109</v>
      </c>
      <c r="I78">
        <f t="shared" ref="I78:J79" si="97">I77</f>
        <v>28.4893733918062</v>
      </c>
      <c r="J78">
        <f t="shared" si="97"/>
        <v>0.414486179974211</v>
      </c>
      <c r="K78">
        <f>I2</f>
        <v>29.915959853716199</v>
      </c>
      <c r="L78">
        <f>I14</f>
        <v>15.483463902292966</v>
      </c>
      <c r="M78">
        <f t="shared" si="82"/>
        <v>-1.4265864619099986</v>
      </c>
      <c r="N78">
        <f t="shared" si="83"/>
        <v>13.005909489513234</v>
      </c>
    </row>
    <row r="79" spans="1:14" x14ac:dyDescent="0.2">
      <c r="A79" t="s">
        <v>110</v>
      </c>
      <c r="B79" t="s">
        <v>129</v>
      </c>
      <c r="C79" t="s">
        <v>32</v>
      </c>
      <c r="D79">
        <v>28.093659189734101</v>
      </c>
      <c r="E79">
        <v>28.093659189734101</v>
      </c>
      <c r="F79" t="s">
        <v>110</v>
      </c>
      <c r="I79">
        <f t="shared" si="97"/>
        <v>28.4893733918062</v>
      </c>
      <c r="J79">
        <f t="shared" ref="J79" si="98">J77</f>
        <v>0.414486179974211</v>
      </c>
      <c r="K79">
        <f>I2</f>
        <v>29.915959853716199</v>
      </c>
      <c r="L79">
        <f>I14</f>
        <v>15.483463902292966</v>
      </c>
      <c r="M79">
        <f t="shared" si="82"/>
        <v>-1.4265864619099986</v>
      </c>
      <c r="N79">
        <f t="shared" si="83"/>
        <v>13.005909489513234</v>
      </c>
    </row>
    <row r="80" spans="1:14" s="17" customFormat="1" x14ac:dyDescent="0.2">
      <c r="A80" s="17" t="s">
        <v>111</v>
      </c>
      <c r="B80" s="17" t="s">
        <v>129</v>
      </c>
      <c r="C80" s="17" t="s">
        <v>32</v>
      </c>
      <c r="E80" s="17">
        <v>38.794488281767798</v>
      </c>
      <c r="F80" s="17" t="s">
        <v>111</v>
      </c>
      <c r="G80" s="17" t="s">
        <v>18</v>
      </c>
      <c r="H80" s="17">
        <v>129</v>
      </c>
      <c r="I80" s="17" t="e">
        <f t="shared" ref="I80" si="99">AVERAGE(D80:D82)</f>
        <v>#DIV/0!</v>
      </c>
      <c r="J80" s="17" t="e">
        <f t="shared" ref="J80" si="100">STDEV(D80:D82)</f>
        <v>#DIV/0!</v>
      </c>
      <c r="K80" s="17">
        <f>I8</f>
        <v>32.801979802944899</v>
      </c>
      <c r="L80" s="17">
        <f>I20</f>
        <v>16.275744658081166</v>
      </c>
      <c r="M80" s="17" t="e">
        <f t="shared" si="82"/>
        <v>#DIV/0!</v>
      </c>
      <c r="N80" s="17" t="e">
        <f t="shared" si="83"/>
        <v>#DIV/0!</v>
      </c>
    </row>
    <row r="81" spans="1:14" s="17" customFormat="1" x14ac:dyDescent="0.2">
      <c r="A81" s="17" t="s">
        <v>112</v>
      </c>
      <c r="B81" s="17" t="s">
        <v>129</v>
      </c>
      <c r="C81" s="17" t="s">
        <v>32</v>
      </c>
      <c r="E81" s="17">
        <v>37.923369854591201</v>
      </c>
      <c r="F81" s="17" t="s">
        <v>112</v>
      </c>
      <c r="G81" s="17" t="s">
        <v>18</v>
      </c>
      <c r="H81" s="17">
        <v>129</v>
      </c>
      <c r="I81" s="17" t="e">
        <f t="shared" ref="I81:J81" si="101">I80</f>
        <v>#DIV/0!</v>
      </c>
      <c r="J81" s="17" t="e">
        <f t="shared" si="101"/>
        <v>#DIV/0!</v>
      </c>
      <c r="K81" s="17">
        <f>I8</f>
        <v>32.801979802944899</v>
      </c>
      <c r="L81" s="17">
        <f>I20</f>
        <v>16.275744658081166</v>
      </c>
      <c r="M81" s="17" t="e">
        <f t="shared" si="82"/>
        <v>#DIV/0!</v>
      </c>
      <c r="N81" s="17" t="e">
        <f t="shared" si="83"/>
        <v>#DIV/0!</v>
      </c>
    </row>
    <row r="82" spans="1:14" s="17" customFormat="1" x14ac:dyDescent="0.2">
      <c r="A82" s="17" t="s">
        <v>113</v>
      </c>
      <c r="B82" s="17" t="s">
        <v>129</v>
      </c>
      <c r="C82" s="17" t="s">
        <v>32</v>
      </c>
      <c r="E82" s="17">
        <v>34.9163498450731</v>
      </c>
      <c r="F82" s="17" t="s">
        <v>113</v>
      </c>
      <c r="G82" s="17" t="s">
        <v>18</v>
      </c>
      <c r="H82" s="17">
        <v>129</v>
      </c>
      <c r="I82" s="17" t="e">
        <f t="shared" ref="I82:J82" si="102">I80</f>
        <v>#DIV/0!</v>
      </c>
      <c r="J82" s="17" t="e">
        <f t="shared" si="102"/>
        <v>#DIV/0!</v>
      </c>
      <c r="K82" s="17">
        <f>I8</f>
        <v>32.801979802944899</v>
      </c>
      <c r="L82" s="17">
        <f>I20</f>
        <v>16.275744658081166</v>
      </c>
      <c r="M82" s="17" t="e">
        <f t="shared" si="82"/>
        <v>#DIV/0!</v>
      </c>
      <c r="N82" s="17" t="e">
        <f t="shared" si="83"/>
        <v>#DIV/0!</v>
      </c>
    </row>
    <row r="83" spans="1:14" x14ac:dyDescent="0.2">
      <c r="A83" t="s">
        <v>114</v>
      </c>
      <c r="B83" t="s">
        <v>129</v>
      </c>
      <c r="C83" t="s">
        <v>32</v>
      </c>
      <c r="D83">
        <v>32.283843410807599</v>
      </c>
      <c r="E83">
        <v>32.283843410807599</v>
      </c>
      <c r="F83" t="s">
        <v>114</v>
      </c>
      <c r="I83">
        <f t="shared" ref="I83" si="103">AVERAGE(D83:D85)</f>
        <v>31.999149232251067</v>
      </c>
      <c r="J83">
        <f t="shared" ref="J83" si="104">STDEV(D83:D85)</f>
        <v>0.3597124552627135</v>
      </c>
      <c r="K83">
        <f>I8</f>
        <v>32.801979802944899</v>
      </c>
      <c r="L83">
        <f>I20</f>
        <v>16.275744658081166</v>
      </c>
      <c r="M83">
        <f t="shared" si="82"/>
        <v>-0.8028305706938319</v>
      </c>
      <c r="N83">
        <f t="shared" si="83"/>
        <v>15.723404574169901</v>
      </c>
    </row>
    <row r="84" spans="1:14" x14ac:dyDescent="0.2">
      <c r="A84" t="s">
        <v>115</v>
      </c>
      <c r="B84" t="s">
        <v>129</v>
      </c>
      <c r="C84" t="s">
        <v>32</v>
      </c>
      <c r="D84">
        <v>32.118727645727198</v>
      </c>
      <c r="E84">
        <v>32.118727645727198</v>
      </c>
      <c r="F84" t="s">
        <v>115</v>
      </c>
      <c r="I84">
        <f t="shared" ref="I84:J85" si="105">I83</f>
        <v>31.999149232251067</v>
      </c>
      <c r="J84">
        <f t="shared" si="105"/>
        <v>0.3597124552627135</v>
      </c>
      <c r="K84">
        <f>I8</f>
        <v>32.801979802944899</v>
      </c>
      <c r="L84">
        <f>I20</f>
        <v>16.275744658081166</v>
      </c>
      <c r="M84">
        <f t="shared" si="82"/>
        <v>-0.8028305706938319</v>
      </c>
      <c r="N84">
        <f t="shared" si="83"/>
        <v>15.723404574169901</v>
      </c>
    </row>
    <row r="85" spans="1:14" x14ac:dyDescent="0.2">
      <c r="A85" t="s">
        <v>116</v>
      </c>
      <c r="B85" t="s">
        <v>129</v>
      </c>
      <c r="C85" t="s">
        <v>32</v>
      </c>
      <c r="D85">
        <v>31.594876640218398</v>
      </c>
      <c r="E85">
        <v>31.594876640218398</v>
      </c>
      <c r="F85" t="s">
        <v>116</v>
      </c>
      <c r="I85">
        <f t="shared" si="105"/>
        <v>31.999149232251067</v>
      </c>
      <c r="J85">
        <f t="shared" ref="J85" si="106">J83</f>
        <v>0.3597124552627135</v>
      </c>
      <c r="K85">
        <f>I8</f>
        <v>32.801979802944899</v>
      </c>
      <c r="L85">
        <f>I20</f>
        <v>16.275744658081166</v>
      </c>
      <c r="M85">
        <f t="shared" si="82"/>
        <v>-0.8028305706938319</v>
      </c>
      <c r="N85">
        <f t="shared" si="83"/>
        <v>15.723404574169901</v>
      </c>
    </row>
    <row r="86" spans="1:14" x14ac:dyDescent="0.2">
      <c r="A86" t="s">
        <v>117</v>
      </c>
      <c r="B86" t="s">
        <v>129</v>
      </c>
      <c r="C86" t="s">
        <v>32</v>
      </c>
      <c r="E86">
        <v>33.148098757221597</v>
      </c>
      <c r="F86" t="s">
        <v>117</v>
      </c>
      <c r="G86" t="s">
        <v>19</v>
      </c>
      <c r="H86">
        <v>128</v>
      </c>
      <c r="I86">
        <f t="shared" ref="I86" si="107">AVERAGE(D86:D88)</f>
        <v>30.09347101315905</v>
      </c>
      <c r="J86">
        <f t="shared" ref="J86" si="108">STDEV(D86:D88)</f>
        <v>4.5194519205604897E-2</v>
      </c>
      <c r="K86">
        <f>I2</f>
        <v>29.915959853716199</v>
      </c>
      <c r="L86">
        <f>I14</f>
        <v>15.483463902292966</v>
      </c>
      <c r="M86">
        <f t="shared" si="82"/>
        <v>0.1775111594428509</v>
      </c>
      <c r="N86">
        <f t="shared" si="83"/>
        <v>14.610007110866084</v>
      </c>
    </row>
    <row r="87" spans="1:14" x14ac:dyDescent="0.2">
      <c r="A87" t="s">
        <v>118</v>
      </c>
      <c r="B87" t="s">
        <v>129</v>
      </c>
      <c r="C87" t="s">
        <v>32</v>
      </c>
      <c r="D87">
        <v>30.125428364161799</v>
      </c>
      <c r="E87">
        <v>30.125428364161799</v>
      </c>
      <c r="F87" t="s">
        <v>118</v>
      </c>
      <c r="G87" t="s">
        <v>19</v>
      </c>
      <c r="H87">
        <v>128</v>
      </c>
      <c r="I87">
        <f t="shared" ref="I87:J87" si="109">I86</f>
        <v>30.09347101315905</v>
      </c>
      <c r="J87">
        <f t="shared" si="109"/>
        <v>4.5194519205604897E-2</v>
      </c>
      <c r="K87">
        <f>I2</f>
        <v>29.915959853716199</v>
      </c>
      <c r="L87">
        <f>I14</f>
        <v>15.483463902292966</v>
      </c>
      <c r="M87">
        <f t="shared" si="82"/>
        <v>0.1775111594428509</v>
      </c>
      <c r="N87">
        <f t="shared" si="83"/>
        <v>14.610007110866084</v>
      </c>
    </row>
    <row r="88" spans="1:14" x14ac:dyDescent="0.2">
      <c r="A88" t="s">
        <v>119</v>
      </c>
      <c r="B88" t="s">
        <v>129</v>
      </c>
      <c r="C88" t="s">
        <v>32</v>
      </c>
      <c r="D88">
        <v>30.061513662156301</v>
      </c>
      <c r="E88">
        <v>30.061513662156301</v>
      </c>
      <c r="F88" t="s">
        <v>119</v>
      </c>
      <c r="G88" t="s">
        <v>19</v>
      </c>
      <c r="H88">
        <v>128</v>
      </c>
      <c r="I88">
        <f t="shared" ref="I88:J88" si="110">I86</f>
        <v>30.09347101315905</v>
      </c>
      <c r="J88">
        <f t="shared" si="110"/>
        <v>4.5194519205604897E-2</v>
      </c>
      <c r="K88">
        <f>I2</f>
        <v>29.915959853716199</v>
      </c>
      <c r="L88">
        <f>I14</f>
        <v>15.483463902292966</v>
      </c>
      <c r="M88">
        <f t="shared" si="82"/>
        <v>0.1775111594428509</v>
      </c>
      <c r="N88">
        <f t="shared" si="83"/>
        <v>14.610007110866084</v>
      </c>
    </row>
    <row r="89" spans="1:14" x14ac:dyDescent="0.2">
      <c r="A89" t="s">
        <v>120</v>
      </c>
      <c r="B89" t="s">
        <v>129</v>
      </c>
      <c r="C89" t="s">
        <v>32</v>
      </c>
      <c r="D89">
        <v>15.091605550701001</v>
      </c>
      <c r="E89">
        <v>15.091605550701001</v>
      </c>
      <c r="F89" t="s">
        <v>120</v>
      </c>
      <c r="G89" t="s">
        <v>145</v>
      </c>
      <c r="I89">
        <f t="shared" ref="I89" si="111">AVERAGE(D89:D91)</f>
        <v>15.082283632850801</v>
      </c>
      <c r="J89">
        <f t="shared" ref="J89" si="112">STDEV(D89:D91)</f>
        <v>5.7464694041818504E-2</v>
      </c>
      <c r="K89">
        <f>I2</f>
        <v>29.915959853716199</v>
      </c>
      <c r="L89">
        <f>I14</f>
        <v>15.483463902292966</v>
      </c>
      <c r="M89">
        <f t="shared" si="82"/>
        <v>-14.833676220865398</v>
      </c>
      <c r="N89">
        <f t="shared" si="83"/>
        <v>-0.40118026944216467</v>
      </c>
    </row>
    <row r="90" spans="1:14" x14ac:dyDescent="0.2">
      <c r="A90" t="s">
        <v>121</v>
      </c>
      <c r="B90" t="s">
        <v>129</v>
      </c>
      <c r="C90" t="s">
        <v>32</v>
      </c>
      <c r="D90">
        <v>15.020727881132199</v>
      </c>
      <c r="E90">
        <v>15.020727881132199</v>
      </c>
      <c r="F90" t="s">
        <v>121</v>
      </c>
      <c r="I90">
        <f t="shared" ref="I90:J91" si="113">I89</f>
        <v>15.082283632850801</v>
      </c>
      <c r="J90">
        <f t="shared" si="113"/>
        <v>5.7464694041818504E-2</v>
      </c>
      <c r="K90">
        <f>I2</f>
        <v>29.915959853716199</v>
      </c>
      <c r="L90">
        <f>I14</f>
        <v>15.483463902292966</v>
      </c>
      <c r="M90">
        <f t="shared" si="82"/>
        <v>-14.833676220865398</v>
      </c>
      <c r="N90">
        <f t="shared" si="83"/>
        <v>-0.40118026944216467</v>
      </c>
    </row>
    <row r="91" spans="1:14" x14ac:dyDescent="0.2">
      <c r="A91" t="s">
        <v>122</v>
      </c>
      <c r="B91" t="s">
        <v>129</v>
      </c>
      <c r="C91" t="s">
        <v>32</v>
      </c>
      <c r="D91">
        <v>15.134517466719201</v>
      </c>
      <c r="E91">
        <v>15.134517466719201</v>
      </c>
      <c r="F91" t="s">
        <v>122</v>
      </c>
      <c r="I91">
        <f t="shared" si="113"/>
        <v>15.082283632850801</v>
      </c>
      <c r="J91">
        <f t="shared" ref="J91" si="114">J89</f>
        <v>5.7464694041818504E-2</v>
      </c>
      <c r="K91">
        <f>I2</f>
        <v>29.915959853716199</v>
      </c>
      <c r="L91">
        <f>I14</f>
        <v>15.483463902292966</v>
      </c>
      <c r="M91">
        <f t="shared" si="82"/>
        <v>-14.833676220865398</v>
      </c>
      <c r="N91">
        <f t="shared" si="83"/>
        <v>-0.40118026944216467</v>
      </c>
    </row>
    <row r="92" spans="1:14" x14ac:dyDescent="0.2">
      <c r="A92" t="s">
        <v>123</v>
      </c>
      <c r="B92" t="s">
        <v>129</v>
      </c>
      <c r="C92" t="s">
        <v>32</v>
      </c>
      <c r="D92">
        <v>38.135610183410101</v>
      </c>
      <c r="E92">
        <v>38.135610183410101</v>
      </c>
      <c r="F92" t="s">
        <v>123</v>
      </c>
      <c r="G92" t="s">
        <v>19</v>
      </c>
      <c r="H92">
        <v>129</v>
      </c>
      <c r="I92">
        <f t="shared" ref="I92" si="115">AVERAGE(D92:D94)</f>
        <v>37.792351938533699</v>
      </c>
      <c r="J92">
        <f t="shared" ref="J92" si="116">STDEV(D92:D94)</f>
        <v>0.48544046530059315</v>
      </c>
      <c r="K92">
        <f>I8</f>
        <v>32.801979802944899</v>
      </c>
      <c r="L92">
        <f>I20</f>
        <v>16.275744658081166</v>
      </c>
      <c r="M92">
        <f t="shared" si="82"/>
        <v>4.9903721355887996</v>
      </c>
      <c r="N92">
        <f t="shared" si="83"/>
        <v>21.516607280452533</v>
      </c>
    </row>
    <row r="93" spans="1:14" x14ac:dyDescent="0.2">
      <c r="A93" t="s">
        <v>124</v>
      </c>
      <c r="B93" t="s">
        <v>129</v>
      </c>
      <c r="C93" t="s">
        <v>32</v>
      </c>
      <c r="D93">
        <v>37.449093693657296</v>
      </c>
      <c r="E93">
        <v>37.449093693657296</v>
      </c>
      <c r="F93" t="s">
        <v>124</v>
      </c>
      <c r="G93" t="s">
        <v>19</v>
      </c>
      <c r="H93">
        <v>129</v>
      </c>
      <c r="I93">
        <f t="shared" ref="I93:J93" si="117">I92</f>
        <v>37.792351938533699</v>
      </c>
      <c r="J93">
        <f t="shared" si="117"/>
        <v>0.48544046530059315</v>
      </c>
      <c r="K93">
        <f>I8</f>
        <v>32.801979802944899</v>
      </c>
      <c r="L93">
        <f>I20</f>
        <v>16.275744658081166</v>
      </c>
      <c r="M93">
        <f t="shared" si="82"/>
        <v>4.9903721355887996</v>
      </c>
      <c r="N93">
        <f t="shared" si="83"/>
        <v>21.516607280452533</v>
      </c>
    </row>
    <row r="94" spans="1:14" x14ac:dyDescent="0.2">
      <c r="A94" t="s">
        <v>125</v>
      </c>
      <c r="B94" t="s">
        <v>129</v>
      </c>
      <c r="C94" t="s">
        <v>32</v>
      </c>
      <c r="E94">
        <v>38.991810801757197</v>
      </c>
      <c r="F94" t="s">
        <v>125</v>
      </c>
      <c r="G94" t="s">
        <v>19</v>
      </c>
      <c r="H94">
        <v>129</v>
      </c>
      <c r="I94">
        <f t="shared" ref="I94:J94" si="118">I92</f>
        <v>37.792351938533699</v>
      </c>
      <c r="J94">
        <f t="shared" si="118"/>
        <v>0.48544046530059315</v>
      </c>
      <c r="K94">
        <f>I8</f>
        <v>32.801979802944899</v>
      </c>
      <c r="L94">
        <f>I20</f>
        <v>16.275744658081166</v>
      </c>
      <c r="M94">
        <f t="shared" si="82"/>
        <v>4.9903721355887996</v>
      </c>
      <c r="N94">
        <f t="shared" si="83"/>
        <v>21.516607280452533</v>
      </c>
    </row>
    <row r="95" spans="1:14" x14ac:dyDescent="0.2">
      <c r="A95" t="s">
        <v>126</v>
      </c>
      <c r="B95" t="s">
        <v>129</v>
      </c>
      <c r="C95" t="s">
        <v>32</v>
      </c>
      <c r="D95">
        <v>16.406373023956199</v>
      </c>
      <c r="E95">
        <v>16.406373023956199</v>
      </c>
      <c r="F95" t="s">
        <v>126</v>
      </c>
      <c r="I95">
        <f t="shared" ref="I95" si="119">AVERAGE(D95:D97)</f>
        <v>16.618826814373666</v>
      </c>
      <c r="J95">
        <f t="shared" ref="J95" si="120">STDEV(D95:D97)</f>
        <v>0.42916531541539416</v>
      </c>
      <c r="K95">
        <f>I8</f>
        <v>32.801979802944899</v>
      </c>
      <c r="L95">
        <f>I20</f>
        <v>16.275744658081166</v>
      </c>
      <c r="M95">
        <f t="shared" si="82"/>
        <v>-16.183152988571234</v>
      </c>
      <c r="N95">
        <f t="shared" si="83"/>
        <v>0.34308215629249972</v>
      </c>
    </row>
    <row r="96" spans="1:14" x14ac:dyDescent="0.2">
      <c r="A96" t="s">
        <v>127</v>
      </c>
      <c r="B96" t="s">
        <v>129</v>
      </c>
      <c r="C96" t="s">
        <v>32</v>
      </c>
      <c r="D96">
        <v>16.337329054500302</v>
      </c>
      <c r="E96">
        <v>16.337329054500302</v>
      </c>
      <c r="F96" t="s">
        <v>127</v>
      </c>
      <c r="I96">
        <f t="shared" ref="I96:J97" si="121">I95</f>
        <v>16.618826814373666</v>
      </c>
      <c r="J96">
        <f t="shared" si="121"/>
        <v>0.42916531541539416</v>
      </c>
      <c r="K96">
        <f>I8</f>
        <v>32.801979802944899</v>
      </c>
      <c r="L96">
        <f>I20</f>
        <v>16.275744658081166</v>
      </c>
      <c r="M96">
        <f t="shared" si="82"/>
        <v>-16.183152988571234</v>
      </c>
      <c r="N96">
        <f t="shared" si="83"/>
        <v>0.34308215629249972</v>
      </c>
    </row>
    <row r="97" spans="1:14" x14ac:dyDescent="0.2">
      <c r="A97" t="s">
        <v>128</v>
      </c>
      <c r="B97" t="s">
        <v>129</v>
      </c>
      <c r="C97" t="s">
        <v>32</v>
      </c>
      <c r="D97">
        <v>17.1127783646645</v>
      </c>
      <c r="E97">
        <v>17.1127783646645</v>
      </c>
      <c r="F97" t="s">
        <v>128</v>
      </c>
      <c r="I97">
        <f t="shared" si="121"/>
        <v>16.618826814373666</v>
      </c>
      <c r="J97">
        <f t="shared" ref="J97" si="122">J95</f>
        <v>0.42916531541539416</v>
      </c>
      <c r="K97">
        <f>I8</f>
        <v>32.801979802944899</v>
      </c>
      <c r="L97">
        <f>I20</f>
        <v>16.275744658081166</v>
      </c>
      <c r="M97">
        <f t="shared" si="82"/>
        <v>-16.183152988571234</v>
      </c>
      <c r="N97">
        <f t="shared" si="83"/>
        <v>0.34308215629249972</v>
      </c>
    </row>
  </sheetData>
  <conditionalFormatting sqref="J2:J97">
    <cfRule type="cellIs" dxfId="1" priority="1" operator="greaterThan">
      <formula>0.3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E631-9B49-3B45-902E-254D37090A08}">
  <dimension ref="A1:N97"/>
  <sheetViews>
    <sheetView topLeftCell="A57" workbookViewId="0">
      <selection activeCell="H1" sqref="H1:H1048576"/>
    </sheetView>
  </sheetViews>
  <sheetFormatPr baseColWidth="10" defaultRowHeight="16" x14ac:dyDescent="0.2"/>
  <cols>
    <col min="13" max="13" width="12.83203125" bestFit="1" customWidth="1"/>
  </cols>
  <sheetData>
    <row r="1" spans="1:14" ht="17" thickBot="1" x14ac:dyDescent="0.25">
      <c r="A1" t="s">
        <v>26</v>
      </c>
      <c r="B1" t="s">
        <v>27</v>
      </c>
      <c r="C1" t="s">
        <v>28</v>
      </c>
      <c r="D1" t="s">
        <v>135</v>
      </c>
      <c r="E1" t="s">
        <v>136</v>
      </c>
      <c r="F1" t="s">
        <v>26</v>
      </c>
      <c r="G1" t="s">
        <v>132</v>
      </c>
      <c r="H1" t="s">
        <v>29</v>
      </c>
      <c r="I1" t="s">
        <v>133</v>
      </c>
      <c r="J1" t="s">
        <v>134</v>
      </c>
      <c r="K1" t="s">
        <v>9</v>
      </c>
      <c r="L1" t="s">
        <v>8</v>
      </c>
      <c r="M1" t="s">
        <v>137</v>
      </c>
      <c r="N1" t="s">
        <v>138</v>
      </c>
    </row>
    <row r="2" spans="1:14" ht="17" thickBot="1" x14ac:dyDescent="0.25">
      <c r="A2" t="s">
        <v>31</v>
      </c>
      <c r="B2" t="s">
        <v>129</v>
      </c>
      <c r="C2" t="s">
        <v>32</v>
      </c>
      <c r="E2">
        <v>32.315312967948699</v>
      </c>
      <c r="F2" t="s">
        <v>31</v>
      </c>
      <c r="G2" s="9" t="s">
        <v>9</v>
      </c>
      <c r="H2">
        <v>105</v>
      </c>
      <c r="I2">
        <f>AVERAGE(D2:D4)</f>
        <v>33.252010120639454</v>
      </c>
      <c r="J2">
        <f>STDEV(D2:D4)</f>
        <v>2.8357831614625694E-2</v>
      </c>
      <c r="K2">
        <f>I2</f>
        <v>33.252010120639454</v>
      </c>
      <c r="L2">
        <f>I14</f>
        <v>14.012825079167266</v>
      </c>
      <c r="M2">
        <f>I2-K2</f>
        <v>0</v>
      </c>
      <c r="N2">
        <f>I2-L2</f>
        <v>19.23918504147219</v>
      </c>
    </row>
    <row r="3" spans="1:14" ht="17" thickBot="1" x14ac:dyDescent="0.25">
      <c r="A3" t="s">
        <v>34</v>
      </c>
      <c r="B3" t="s">
        <v>129</v>
      </c>
      <c r="C3" t="s">
        <v>32</v>
      </c>
      <c r="D3">
        <v>33.231958105605003</v>
      </c>
      <c r="E3">
        <v>33.231958105605003</v>
      </c>
      <c r="F3" t="s">
        <v>34</v>
      </c>
      <c r="G3" s="9" t="s">
        <v>9</v>
      </c>
      <c r="H3">
        <v>105</v>
      </c>
      <c r="I3">
        <f>I2</f>
        <v>33.252010120639454</v>
      </c>
      <c r="J3">
        <f>J2</f>
        <v>2.8357831614625694E-2</v>
      </c>
      <c r="K3">
        <f>I2</f>
        <v>33.252010120639454</v>
      </c>
      <c r="L3">
        <f>I14</f>
        <v>14.012825079167266</v>
      </c>
      <c r="M3">
        <f t="shared" ref="M3:M66" si="0">I3-K3</f>
        <v>0</v>
      </c>
      <c r="N3">
        <f t="shared" ref="N3:N66" si="1">I3-L3</f>
        <v>19.23918504147219</v>
      </c>
    </row>
    <row r="4" spans="1:14" x14ac:dyDescent="0.2">
      <c r="A4" t="s">
        <v>35</v>
      </c>
      <c r="B4" t="s">
        <v>129</v>
      </c>
      <c r="C4" t="s">
        <v>32</v>
      </c>
      <c r="D4">
        <v>33.272062135673899</v>
      </c>
      <c r="E4">
        <v>33.272062135673899</v>
      </c>
      <c r="F4" t="s">
        <v>35</v>
      </c>
      <c r="G4" s="9" t="s">
        <v>9</v>
      </c>
      <c r="H4">
        <v>105</v>
      </c>
      <c r="I4">
        <f>I2</f>
        <v>33.252010120639454</v>
      </c>
      <c r="J4">
        <f>J2</f>
        <v>2.8357831614625694E-2</v>
      </c>
      <c r="K4">
        <f>I2</f>
        <v>33.252010120639454</v>
      </c>
      <c r="L4">
        <f>I14</f>
        <v>14.012825079167266</v>
      </c>
      <c r="M4">
        <f t="shared" si="0"/>
        <v>0</v>
      </c>
      <c r="N4">
        <f t="shared" si="1"/>
        <v>19.23918504147219</v>
      </c>
    </row>
    <row r="5" spans="1:14" x14ac:dyDescent="0.2">
      <c r="A5" t="s">
        <v>36</v>
      </c>
      <c r="B5" t="s">
        <v>129</v>
      </c>
      <c r="C5" t="s">
        <v>32</v>
      </c>
      <c r="E5">
        <v>32.422321656142699</v>
      </c>
      <c r="F5" t="s">
        <v>36</v>
      </c>
      <c r="G5" t="s">
        <v>20</v>
      </c>
      <c r="H5">
        <v>105</v>
      </c>
      <c r="I5">
        <f>AVERAGE(D5:D7)</f>
        <v>35.845482520865247</v>
      </c>
      <c r="J5">
        <f>STDEV(D5:D7)</f>
        <v>0.21349219053313775</v>
      </c>
      <c r="K5">
        <f>I2</f>
        <v>33.252010120639454</v>
      </c>
      <c r="L5">
        <f>I14</f>
        <v>14.012825079167266</v>
      </c>
      <c r="M5">
        <f t="shared" si="0"/>
        <v>2.5934724002257923</v>
      </c>
      <c r="N5">
        <f t="shared" si="1"/>
        <v>21.832657441697982</v>
      </c>
    </row>
    <row r="6" spans="1:14" x14ac:dyDescent="0.2">
      <c r="A6" t="s">
        <v>37</v>
      </c>
      <c r="B6" t="s">
        <v>129</v>
      </c>
      <c r="C6" t="s">
        <v>32</v>
      </c>
      <c r="D6">
        <v>35.694520745208898</v>
      </c>
      <c r="E6">
        <v>35.694520745208898</v>
      </c>
      <c r="F6" t="s">
        <v>37</v>
      </c>
      <c r="G6" t="s">
        <v>20</v>
      </c>
      <c r="H6">
        <v>105</v>
      </c>
      <c r="I6">
        <f>I5</f>
        <v>35.845482520865247</v>
      </c>
      <c r="J6">
        <f>J5</f>
        <v>0.21349219053313775</v>
      </c>
      <c r="K6">
        <f>I2</f>
        <v>33.252010120639454</v>
      </c>
      <c r="L6">
        <f>I14</f>
        <v>14.012825079167266</v>
      </c>
      <c r="M6">
        <f t="shared" si="0"/>
        <v>2.5934724002257923</v>
      </c>
      <c r="N6">
        <f t="shared" si="1"/>
        <v>21.832657441697982</v>
      </c>
    </row>
    <row r="7" spans="1:14" ht="17" thickBot="1" x14ac:dyDescent="0.25">
      <c r="A7" t="s">
        <v>38</v>
      </c>
      <c r="B7" t="s">
        <v>129</v>
      </c>
      <c r="C7" t="s">
        <v>32</v>
      </c>
      <c r="D7">
        <v>35.996444296521602</v>
      </c>
      <c r="E7">
        <v>35.996444296521602</v>
      </c>
      <c r="F7" t="s">
        <v>38</v>
      </c>
      <c r="G7" t="s">
        <v>20</v>
      </c>
      <c r="H7">
        <v>105</v>
      </c>
      <c r="I7">
        <f>I6</f>
        <v>35.845482520865247</v>
      </c>
      <c r="J7">
        <f>J5</f>
        <v>0.21349219053313775</v>
      </c>
      <c r="K7">
        <f>I2</f>
        <v>33.252010120639454</v>
      </c>
      <c r="L7">
        <f>I14</f>
        <v>14.012825079167266</v>
      </c>
      <c r="M7">
        <f t="shared" si="0"/>
        <v>2.5934724002257923</v>
      </c>
      <c r="N7">
        <f t="shared" si="1"/>
        <v>21.832657441697982</v>
      </c>
    </row>
    <row r="8" spans="1:14" ht="17" thickBot="1" x14ac:dyDescent="0.25">
      <c r="A8" t="s">
        <v>39</v>
      </c>
      <c r="B8" t="s">
        <v>129</v>
      </c>
      <c r="C8" t="s">
        <v>32</v>
      </c>
      <c r="D8">
        <v>32.229834313674203</v>
      </c>
      <c r="E8">
        <v>32.229834313674203</v>
      </c>
      <c r="F8" t="s">
        <v>39</v>
      </c>
      <c r="G8" s="9" t="s">
        <v>9</v>
      </c>
      <c r="H8">
        <v>111</v>
      </c>
      <c r="I8">
        <f t="shared" ref="I8" si="2">AVERAGE(D8:D10)</f>
        <v>32.662626749787897</v>
      </c>
      <c r="J8">
        <f t="shared" ref="J8" si="3">STDEV(D8:D10)</f>
        <v>0.37628218698929722</v>
      </c>
      <c r="K8">
        <f>I8</f>
        <v>32.662626749787897</v>
      </c>
      <c r="L8">
        <f>I20</f>
        <v>15.592625023200469</v>
      </c>
      <c r="M8">
        <f t="shared" si="0"/>
        <v>0</v>
      </c>
      <c r="N8">
        <f t="shared" si="1"/>
        <v>17.070001726587428</v>
      </c>
    </row>
    <row r="9" spans="1:14" ht="17" thickBot="1" x14ac:dyDescent="0.25">
      <c r="A9" t="s">
        <v>40</v>
      </c>
      <c r="B9" t="s">
        <v>129</v>
      </c>
      <c r="C9" t="s">
        <v>32</v>
      </c>
      <c r="D9">
        <v>32.912284276861797</v>
      </c>
      <c r="E9">
        <v>32.912284276861797</v>
      </c>
      <c r="F9" t="s">
        <v>40</v>
      </c>
      <c r="G9" s="9" t="s">
        <v>9</v>
      </c>
      <c r="H9">
        <v>111</v>
      </c>
      <c r="I9">
        <f t="shared" ref="I9:J9" si="4">I8</f>
        <v>32.662626749787897</v>
      </c>
      <c r="J9">
        <f t="shared" si="4"/>
        <v>0.37628218698929722</v>
      </c>
      <c r="K9">
        <f>I8</f>
        <v>32.662626749787897</v>
      </c>
      <c r="L9">
        <f>I20</f>
        <v>15.592625023200469</v>
      </c>
      <c r="M9">
        <f t="shared" si="0"/>
        <v>0</v>
      </c>
      <c r="N9">
        <f t="shared" si="1"/>
        <v>17.070001726587428</v>
      </c>
    </row>
    <row r="10" spans="1:14" x14ac:dyDescent="0.2">
      <c r="A10" t="s">
        <v>41</v>
      </c>
      <c r="B10" t="s">
        <v>129</v>
      </c>
      <c r="C10" t="s">
        <v>32</v>
      </c>
      <c r="D10">
        <v>32.845761658827698</v>
      </c>
      <c r="E10">
        <v>32.845761658827698</v>
      </c>
      <c r="F10" t="s">
        <v>41</v>
      </c>
      <c r="G10" s="9" t="s">
        <v>9</v>
      </c>
      <c r="H10">
        <v>111</v>
      </c>
      <c r="I10">
        <f t="shared" ref="I10:J10" si="5">I8</f>
        <v>32.662626749787897</v>
      </c>
      <c r="J10">
        <f t="shared" si="5"/>
        <v>0.37628218698929722</v>
      </c>
      <c r="K10">
        <f>I8</f>
        <v>32.662626749787897</v>
      </c>
      <c r="L10">
        <f>I20</f>
        <v>15.592625023200469</v>
      </c>
      <c r="M10">
        <f t="shared" si="0"/>
        <v>0</v>
      </c>
      <c r="N10">
        <f t="shared" si="1"/>
        <v>17.070001726587428</v>
      </c>
    </row>
    <row r="11" spans="1:14" s="17" customFormat="1" x14ac:dyDescent="0.2">
      <c r="A11" s="17" t="s">
        <v>42</v>
      </c>
      <c r="B11" s="17" t="s">
        <v>129</v>
      </c>
      <c r="C11" s="17" t="s">
        <v>32</v>
      </c>
      <c r="E11" s="17">
        <v>36.947987151308098</v>
      </c>
      <c r="F11" s="17" t="s">
        <v>42</v>
      </c>
      <c r="G11" s="17" t="s">
        <v>20</v>
      </c>
      <c r="H11" s="17">
        <v>111</v>
      </c>
      <c r="I11" s="17" t="e">
        <f t="shared" ref="I11" si="6">AVERAGE(D11:D13)</f>
        <v>#DIV/0!</v>
      </c>
      <c r="J11" s="17" t="e">
        <f t="shared" ref="J11" si="7">STDEV(D11:D13)</f>
        <v>#DIV/0!</v>
      </c>
      <c r="K11" s="17">
        <f>I8</f>
        <v>32.662626749787897</v>
      </c>
      <c r="L11" s="17">
        <f>I20</f>
        <v>15.592625023200469</v>
      </c>
      <c r="M11" s="17" t="e">
        <f t="shared" si="0"/>
        <v>#DIV/0!</v>
      </c>
      <c r="N11" s="17" t="e">
        <f t="shared" si="1"/>
        <v>#DIV/0!</v>
      </c>
    </row>
    <row r="12" spans="1:14" s="17" customFormat="1" x14ac:dyDescent="0.2">
      <c r="A12" s="17" t="s">
        <v>43</v>
      </c>
      <c r="B12" s="17" t="s">
        <v>129</v>
      </c>
      <c r="C12" s="17" t="s">
        <v>32</v>
      </c>
      <c r="E12" s="17" t="s">
        <v>33</v>
      </c>
      <c r="F12" s="17" t="s">
        <v>43</v>
      </c>
      <c r="G12" s="17" t="s">
        <v>20</v>
      </c>
      <c r="H12" s="17">
        <v>111</v>
      </c>
      <c r="I12" s="17" t="e">
        <f t="shared" ref="I12:J13" si="8">I11</f>
        <v>#DIV/0!</v>
      </c>
      <c r="J12" s="17" t="e">
        <f t="shared" si="8"/>
        <v>#DIV/0!</v>
      </c>
      <c r="K12" s="17">
        <f>I8</f>
        <v>32.662626749787897</v>
      </c>
      <c r="L12" s="17">
        <f>I20</f>
        <v>15.592625023200469</v>
      </c>
      <c r="M12" s="17" t="e">
        <f t="shared" si="0"/>
        <v>#DIV/0!</v>
      </c>
      <c r="N12" s="17" t="e">
        <f t="shared" si="1"/>
        <v>#DIV/0!</v>
      </c>
    </row>
    <row r="13" spans="1:14" s="17" customFormat="1" x14ac:dyDescent="0.2">
      <c r="A13" s="17" t="s">
        <v>44</v>
      </c>
      <c r="B13" s="17" t="s">
        <v>129</v>
      </c>
      <c r="C13" s="17" t="s">
        <v>32</v>
      </c>
      <c r="E13" s="17">
        <v>5.74229885903351</v>
      </c>
      <c r="F13" s="17" t="s">
        <v>44</v>
      </c>
      <c r="G13" s="17" t="s">
        <v>20</v>
      </c>
      <c r="H13" s="17">
        <v>111</v>
      </c>
      <c r="I13" s="17" t="e">
        <f t="shared" si="8"/>
        <v>#DIV/0!</v>
      </c>
      <c r="J13" s="17" t="e">
        <f t="shared" ref="J13" si="9">J11</f>
        <v>#DIV/0!</v>
      </c>
      <c r="K13" s="17">
        <f>I8</f>
        <v>32.662626749787897</v>
      </c>
      <c r="L13" s="17">
        <f>I20</f>
        <v>15.592625023200469</v>
      </c>
      <c r="M13" s="17" t="e">
        <f t="shared" si="0"/>
        <v>#DIV/0!</v>
      </c>
      <c r="N13" s="17" t="e">
        <f t="shared" si="1"/>
        <v>#DIV/0!</v>
      </c>
    </row>
    <row r="14" spans="1:14" x14ac:dyDescent="0.2">
      <c r="A14" t="s">
        <v>45</v>
      </c>
      <c r="B14" t="s">
        <v>129</v>
      </c>
      <c r="C14" t="s">
        <v>32</v>
      </c>
      <c r="D14">
        <v>14.0515580058872</v>
      </c>
      <c r="E14">
        <v>14.0515580058872</v>
      </c>
      <c r="F14" t="s">
        <v>45</v>
      </c>
      <c r="G14" s="11" t="s">
        <v>8</v>
      </c>
      <c r="H14">
        <v>105</v>
      </c>
      <c r="I14">
        <f t="shared" ref="I14" si="10">AVERAGE(D14:D16)</f>
        <v>14.012825079167266</v>
      </c>
      <c r="J14">
        <f t="shared" ref="J14" si="11">STDEV(D14:D16)</f>
        <v>8.5114893459023455E-2</v>
      </c>
      <c r="K14">
        <f>I2</f>
        <v>33.252010120639454</v>
      </c>
      <c r="L14">
        <f>I14</f>
        <v>14.012825079167266</v>
      </c>
      <c r="M14">
        <f t="shared" si="0"/>
        <v>-19.23918504147219</v>
      </c>
      <c r="N14">
        <f t="shared" si="1"/>
        <v>0</v>
      </c>
    </row>
    <row r="15" spans="1:14" x14ac:dyDescent="0.2">
      <c r="A15" t="s">
        <v>46</v>
      </c>
      <c r="B15" t="s">
        <v>129</v>
      </c>
      <c r="C15" t="s">
        <v>32</v>
      </c>
      <c r="D15">
        <v>13.915232243148701</v>
      </c>
      <c r="E15">
        <v>13.915232243148701</v>
      </c>
      <c r="F15" t="s">
        <v>46</v>
      </c>
      <c r="G15" s="11" t="s">
        <v>8</v>
      </c>
      <c r="H15">
        <v>105</v>
      </c>
      <c r="I15">
        <f t="shared" ref="I15:J15" si="12">I14</f>
        <v>14.012825079167266</v>
      </c>
      <c r="J15">
        <f t="shared" si="12"/>
        <v>8.5114893459023455E-2</v>
      </c>
      <c r="K15">
        <f>I2</f>
        <v>33.252010120639454</v>
      </c>
      <c r="L15">
        <f>I14</f>
        <v>14.012825079167266</v>
      </c>
      <c r="M15">
        <f t="shared" si="0"/>
        <v>-19.23918504147219</v>
      </c>
      <c r="N15">
        <f t="shared" si="1"/>
        <v>0</v>
      </c>
    </row>
    <row r="16" spans="1:14" x14ac:dyDescent="0.2">
      <c r="A16" t="s">
        <v>47</v>
      </c>
      <c r="B16" t="s">
        <v>129</v>
      </c>
      <c r="C16" t="s">
        <v>32</v>
      </c>
      <c r="D16">
        <v>14.071684988465901</v>
      </c>
      <c r="E16">
        <v>14.071684988465901</v>
      </c>
      <c r="F16" t="s">
        <v>47</v>
      </c>
      <c r="G16" s="11" t="s">
        <v>8</v>
      </c>
      <c r="H16">
        <v>105</v>
      </c>
      <c r="I16">
        <f t="shared" ref="I16:J16" si="13">I14</f>
        <v>14.012825079167266</v>
      </c>
      <c r="J16">
        <f t="shared" si="13"/>
        <v>8.5114893459023455E-2</v>
      </c>
      <c r="K16">
        <f>I2</f>
        <v>33.252010120639454</v>
      </c>
      <c r="L16">
        <f>I14</f>
        <v>14.012825079167266</v>
      </c>
      <c r="M16">
        <f t="shared" si="0"/>
        <v>-19.23918504147219</v>
      </c>
      <c r="N16">
        <f t="shared" si="1"/>
        <v>0</v>
      </c>
    </row>
    <row r="17" spans="1:14" x14ac:dyDescent="0.2">
      <c r="A17" t="s">
        <v>48</v>
      </c>
      <c r="B17" t="s">
        <v>129</v>
      </c>
      <c r="C17" t="s">
        <v>32</v>
      </c>
      <c r="D17">
        <v>34.1364183026202</v>
      </c>
      <c r="E17">
        <v>34.1364183026202</v>
      </c>
      <c r="F17" t="s">
        <v>48</v>
      </c>
      <c r="G17" s="1" t="s">
        <v>21</v>
      </c>
      <c r="H17">
        <v>105</v>
      </c>
      <c r="I17">
        <f t="shared" ref="I17" si="14">AVERAGE(D17:D19)</f>
        <v>34.442717592743548</v>
      </c>
      <c r="J17">
        <f t="shared" ref="J17" si="15">STDEV(D17:D19)</f>
        <v>0.43317261023769094</v>
      </c>
      <c r="K17">
        <f>I2</f>
        <v>33.252010120639454</v>
      </c>
      <c r="L17">
        <f>I14</f>
        <v>14.012825079167266</v>
      </c>
      <c r="M17">
        <f t="shared" si="0"/>
        <v>1.1907074721040942</v>
      </c>
      <c r="N17">
        <f t="shared" si="1"/>
        <v>20.429892513576284</v>
      </c>
    </row>
    <row r="18" spans="1:14" x14ac:dyDescent="0.2">
      <c r="A18" t="s">
        <v>49</v>
      </c>
      <c r="B18" t="s">
        <v>129</v>
      </c>
      <c r="C18" t="s">
        <v>32</v>
      </c>
      <c r="D18" t="s">
        <v>33</v>
      </c>
      <c r="E18" t="s">
        <v>33</v>
      </c>
      <c r="F18" t="s">
        <v>49</v>
      </c>
      <c r="G18" s="1" t="s">
        <v>21</v>
      </c>
      <c r="H18">
        <v>105</v>
      </c>
      <c r="I18">
        <f t="shared" ref="I18:J19" si="16">I17</f>
        <v>34.442717592743548</v>
      </c>
      <c r="J18">
        <f t="shared" si="16"/>
        <v>0.43317261023769094</v>
      </c>
      <c r="K18">
        <f>I2</f>
        <v>33.252010120639454</v>
      </c>
      <c r="L18">
        <f>I14</f>
        <v>14.012825079167266</v>
      </c>
      <c r="M18">
        <f t="shared" si="0"/>
        <v>1.1907074721040942</v>
      </c>
      <c r="N18">
        <f t="shared" si="1"/>
        <v>20.429892513576284</v>
      </c>
    </row>
    <row r="19" spans="1:14" x14ac:dyDescent="0.2">
      <c r="A19" t="s">
        <v>50</v>
      </c>
      <c r="B19" t="s">
        <v>129</v>
      </c>
      <c r="C19" t="s">
        <v>32</v>
      </c>
      <c r="D19">
        <v>34.749016882866897</v>
      </c>
      <c r="E19">
        <v>34.749016882866897</v>
      </c>
      <c r="F19" t="s">
        <v>50</v>
      </c>
      <c r="G19" s="1" t="s">
        <v>21</v>
      </c>
      <c r="H19">
        <v>105</v>
      </c>
      <c r="I19">
        <f t="shared" si="16"/>
        <v>34.442717592743548</v>
      </c>
      <c r="J19">
        <f t="shared" ref="J19" si="17">J17</f>
        <v>0.43317261023769094</v>
      </c>
      <c r="K19">
        <f>I2</f>
        <v>33.252010120639454</v>
      </c>
      <c r="L19">
        <f>I14</f>
        <v>14.012825079167266</v>
      </c>
      <c r="M19">
        <f t="shared" si="0"/>
        <v>1.1907074721040942</v>
      </c>
      <c r="N19">
        <f t="shared" si="1"/>
        <v>20.429892513576284</v>
      </c>
    </row>
    <row r="20" spans="1:14" x14ac:dyDescent="0.2">
      <c r="A20" t="s">
        <v>51</v>
      </c>
      <c r="B20" t="s">
        <v>129</v>
      </c>
      <c r="C20" t="s">
        <v>32</v>
      </c>
      <c r="D20">
        <v>15.495011050496201</v>
      </c>
      <c r="E20">
        <v>15.495011050496201</v>
      </c>
      <c r="F20" t="s">
        <v>51</v>
      </c>
      <c r="G20" s="11" t="s">
        <v>8</v>
      </c>
      <c r="H20">
        <v>111</v>
      </c>
      <c r="I20">
        <f t="shared" ref="I20" si="18">AVERAGE(D20:D22)</f>
        <v>15.592625023200469</v>
      </c>
      <c r="J20">
        <f t="shared" ref="J20" si="19">STDEV(D20:D22)</f>
        <v>8.8084165962290392E-2</v>
      </c>
      <c r="K20">
        <f>I8</f>
        <v>32.662626749787897</v>
      </c>
      <c r="L20">
        <f>I20</f>
        <v>15.592625023200469</v>
      </c>
      <c r="M20">
        <f t="shared" si="0"/>
        <v>-17.070001726587428</v>
      </c>
      <c r="N20">
        <f t="shared" si="1"/>
        <v>0</v>
      </c>
    </row>
    <row r="21" spans="1:14" x14ac:dyDescent="0.2">
      <c r="A21" t="s">
        <v>52</v>
      </c>
      <c r="B21" t="s">
        <v>129</v>
      </c>
      <c r="C21" t="s">
        <v>32</v>
      </c>
      <c r="D21">
        <v>15.6166841905994</v>
      </c>
      <c r="E21">
        <v>15.6166841905994</v>
      </c>
      <c r="F21" t="s">
        <v>52</v>
      </c>
      <c r="G21" s="11" t="s">
        <v>8</v>
      </c>
      <c r="H21">
        <v>111</v>
      </c>
      <c r="I21">
        <f t="shared" ref="I21:J21" si="20">I20</f>
        <v>15.592625023200469</v>
      </c>
      <c r="J21">
        <f t="shared" si="20"/>
        <v>8.8084165962290392E-2</v>
      </c>
      <c r="K21">
        <f>I8</f>
        <v>32.662626749787897</v>
      </c>
      <c r="L21">
        <f>I20</f>
        <v>15.592625023200469</v>
      </c>
      <c r="M21">
        <f t="shared" si="0"/>
        <v>-17.070001726587428</v>
      </c>
      <c r="N21">
        <f t="shared" si="1"/>
        <v>0</v>
      </c>
    </row>
    <row r="22" spans="1:14" x14ac:dyDescent="0.2">
      <c r="A22" t="s">
        <v>53</v>
      </c>
      <c r="B22" t="s">
        <v>129</v>
      </c>
      <c r="C22" t="s">
        <v>32</v>
      </c>
      <c r="D22">
        <v>15.6661798285058</v>
      </c>
      <c r="E22">
        <v>15.6661798285058</v>
      </c>
      <c r="F22" t="s">
        <v>53</v>
      </c>
      <c r="G22" s="11" t="s">
        <v>8</v>
      </c>
      <c r="H22">
        <v>111</v>
      </c>
      <c r="I22">
        <f t="shared" ref="I22:J22" si="21">I20</f>
        <v>15.592625023200469</v>
      </c>
      <c r="J22">
        <f t="shared" si="21"/>
        <v>8.8084165962290392E-2</v>
      </c>
      <c r="K22">
        <f>I8</f>
        <v>32.662626749787897</v>
      </c>
      <c r="L22">
        <f>I20</f>
        <v>15.592625023200469</v>
      </c>
      <c r="M22">
        <f t="shared" si="0"/>
        <v>-17.070001726587428</v>
      </c>
      <c r="N22">
        <f t="shared" si="1"/>
        <v>0</v>
      </c>
    </row>
    <row r="23" spans="1:14" s="17" customFormat="1" x14ac:dyDescent="0.2">
      <c r="A23" s="17" t="s">
        <v>54</v>
      </c>
      <c r="B23" s="17" t="s">
        <v>129</v>
      </c>
      <c r="C23" s="17" t="s">
        <v>32</v>
      </c>
      <c r="E23" s="17">
        <v>33.153962431534403</v>
      </c>
      <c r="F23" s="17" t="s">
        <v>54</v>
      </c>
      <c r="G23" s="17" t="s">
        <v>21</v>
      </c>
      <c r="H23" s="17">
        <v>111</v>
      </c>
      <c r="I23" s="17" t="e">
        <f t="shared" ref="I23" si="22">AVERAGE(D23:D25)</f>
        <v>#DIV/0!</v>
      </c>
      <c r="J23" s="17" t="e">
        <f t="shared" ref="J23" si="23">STDEV(D23:D25)</f>
        <v>#DIV/0!</v>
      </c>
      <c r="K23" s="17">
        <f>I8</f>
        <v>32.662626749787897</v>
      </c>
      <c r="L23" s="17">
        <f>I20</f>
        <v>15.592625023200469</v>
      </c>
      <c r="M23" s="17" t="e">
        <f t="shared" si="0"/>
        <v>#DIV/0!</v>
      </c>
      <c r="N23" s="17" t="e">
        <f t="shared" si="1"/>
        <v>#DIV/0!</v>
      </c>
    </row>
    <row r="24" spans="1:14" s="17" customFormat="1" x14ac:dyDescent="0.2">
      <c r="A24" s="17" t="s">
        <v>55</v>
      </c>
      <c r="B24" s="17" t="s">
        <v>129</v>
      </c>
      <c r="C24" s="17" t="s">
        <v>32</v>
      </c>
      <c r="E24" s="17">
        <v>35.508601083751998</v>
      </c>
      <c r="F24" s="17" t="s">
        <v>55</v>
      </c>
      <c r="G24" s="17" t="s">
        <v>21</v>
      </c>
      <c r="H24" s="17">
        <v>111</v>
      </c>
      <c r="I24" s="17" t="e">
        <f t="shared" ref="I24:J25" si="24">I23</f>
        <v>#DIV/0!</v>
      </c>
      <c r="J24" s="17" t="e">
        <f t="shared" si="24"/>
        <v>#DIV/0!</v>
      </c>
      <c r="K24" s="17">
        <f>I8</f>
        <v>32.662626749787897</v>
      </c>
      <c r="L24" s="17">
        <f>I20</f>
        <v>15.592625023200469</v>
      </c>
      <c r="M24" s="17" t="e">
        <f t="shared" si="0"/>
        <v>#DIV/0!</v>
      </c>
      <c r="N24" s="17" t="e">
        <f t="shared" si="1"/>
        <v>#DIV/0!</v>
      </c>
    </row>
    <row r="25" spans="1:14" s="17" customFormat="1" x14ac:dyDescent="0.2">
      <c r="A25" s="17" t="s">
        <v>56</v>
      </c>
      <c r="B25" s="17" t="s">
        <v>129</v>
      </c>
      <c r="C25" s="17" t="s">
        <v>32</v>
      </c>
      <c r="E25" s="17">
        <v>22.333629462445799</v>
      </c>
      <c r="F25" s="17" t="s">
        <v>56</v>
      </c>
      <c r="G25" s="17" t="s">
        <v>21</v>
      </c>
      <c r="H25" s="17">
        <v>111</v>
      </c>
      <c r="I25" s="17" t="e">
        <f t="shared" si="24"/>
        <v>#DIV/0!</v>
      </c>
      <c r="J25" s="17" t="e">
        <f t="shared" ref="J25" si="25">J23</f>
        <v>#DIV/0!</v>
      </c>
      <c r="K25" s="17">
        <f>I8</f>
        <v>32.662626749787897</v>
      </c>
      <c r="L25" s="17">
        <f>I20</f>
        <v>15.592625023200469</v>
      </c>
      <c r="M25" s="17" t="e">
        <f t="shared" si="0"/>
        <v>#DIV/0!</v>
      </c>
      <c r="N25" s="17" t="e">
        <f t="shared" si="1"/>
        <v>#DIV/0!</v>
      </c>
    </row>
    <row r="26" spans="1:14" x14ac:dyDescent="0.2">
      <c r="A26" t="s">
        <v>57</v>
      </c>
      <c r="B26" t="s">
        <v>129</v>
      </c>
      <c r="C26" t="s">
        <v>32</v>
      </c>
      <c r="D26">
        <v>35.159890097233301</v>
      </c>
      <c r="E26">
        <v>35.159890097233301</v>
      </c>
      <c r="F26" t="s">
        <v>57</v>
      </c>
      <c r="G26" t="s">
        <v>14</v>
      </c>
      <c r="H26">
        <v>105</v>
      </c>
      <c r="I26">
        <f t="shared" ref="I26" si="26">AVERAGE(D26:D28)</f>
        <v>34.9617223883794</v>
      </c>
      <c r="J26">
        <f t="shared" ref="J26" si="27">STDEV(D26:D28)</f>
        <v>0.28025146148559044</v>
      </c>
      <c r="K26">
        <f>I2</f>
        <v>33.252010120639454</v>
      </c>
      <c r="L26">
        <f>I14</f>
        <v>14.012825079167266</v>
      </c>
      <c r="M26">
        <f t="shared" si="0"/>
        <v>1.7097122677399454</v>
      </c>
      <c r="N26">
        <f t="shared" si="1"/>
        <v>20.948897309212136</v>
      </c>
    </row>
    <row r="27" spans="1:14" x14ac:dyDescent="0.2">
      <c r="A27" t="s">
        <v>58</v>
      </c>
      <c r="B27" t="s">
        <v>129</v>
      </c>
      <c r="C27" t="s">
        <v>32</v>
      </c>
      <c r="D27">
        <v>34.763554679525498</v>
      </c>
      <c r="E27">
        <v>34.763554679525498</v>
      </c>
      <c r="F27" t="s">
        <v>58</v>
      </c>
      <c r="G27" t="s">
        <v>14</v>
      </c>
      <c r="H27">
        <v>105</v>
      </c>
      <c r="I27">
        <f t="shared" ref="I27:J27" si="28">I26</f>
        <v>34.9617223883794</v>
      </c>
      <c r="J27">
        <f t="shared" si="28"/>
        <v>0.28025146148559044</v>
      </c>
      <c r="K27">
        <f>I2</f>
        <v>33.252010120639454</v>
      </c>
      <c r="L27">
        <f>I14</f>
        <v>14.012825079167266</v>
      </c>
      <c r="M27">
        <f t="shared" si="0"/>
        <v>1.7097122677399454</v>
      </c>
      <c r="N27">
        <f t="shared" si="1"/>
        <v>20.948897309212136</v>
      </c>
    </row>
    <row r="28" spans="1:14" x14ac:dyDescent="0.2">
      <c r="A28" t="s">
        <v>59</v>
      </c>
      <c r="B28" t="s">
        <v>129</v>
      </c>
      <c r="C28" t="s">
        <v>32</v>
      </c>
      <c r="E28">
        <v>32.575587243722801</v>
      </c>
      <c r="F28" t="s">
        <v>59</v>
      </c>
      <c r="G28" t="s">
        <v>14</v>
      </c>
      <c r="H28">
        <v>105</v>
      </c>
      <c r="I28">
        <f t="shared" ref="I28:J28" si="29">I26</f>
        <v>34.9617223883794</v>
      </c>
      <c r="J28">
        <f t="shared" si="29"/>
        <v>0.28025146148559044</v>
      </c>
      <c r="K28">
        <f>I2</f>
        <v>33.252010120639454</v>
      </c>
      <c r="L28">
        <f>I14</f>
        <v>14.012825079167266</v>
      </c>
      <c r="M28">
        <f t="shared" si="0"/>
        <v>1.7097122677399454</v>
      </c>
      <c r="N28">
        <f t="shared" si="1"/>
        <v>20.948897309212136</v>
      </c>
    </row>
    <row r="29" spans="1:14" x14ac:dyDescent="0.2">
      <c r="A29" t="s">
        <v>60</v>
      </c>
      <c r="B29" t="s">
        <v>129</v>
      </c>
      <c r="C29" t="s">
        <v>32</v>
      </c>
      <c r="D29">
        <v>33.331938971979298</v>
      </c>
      <c r="E29">
        <v>33.331938971979298</v>
      </c>
      <c r="F29" t="s">
        <v>60</v>
      </c>
      <c r="G29" t="s">
        <v>23</v>
      </c>
      <c r="H29">
        <v>105</v>
      </c>
      <c r="I29">
        <f t="shared" ref="I29" si="30">AVERAGE(D29:D31)</f>
        <v>33.602351928703698</v>
      </c>
      <c r="J29">
        <f t="shared" ref="J29" si="31">STDEV(D29:D31)</f>
        <v>0.38242167084105472</v>
      </c>
      <c r="K29">
        <f>I2</f>
        <v>33.252010120639454</v>
      </c>
      <c r="L29">
        <f>I14</f>
        <v>14.012825079167266</v>
      </c>
      <c r="M29">
        <f t="shared" si="0"/>
        <v>0.35034180806424331</v>
      </c>
      <c r="N29">
        <f t="shared" si="1"/>
        <v>19.589526849536433</v>
      </c>
    </row>
    <row r="30" spans="1:14" x14ac:dyDescent="0.2">
      <c r="A30" t="s">
        <v>61</v>
      </c>
      <c r="B30" t="s">
        <v>129</v>
      </c>
      <c r="C30" t="s">
        <v>32</v>
      </c>
      <c r="D30">
        <v>33.872764885428097</v>
      </c>
      <c r="E30">
        <v>33.872764885428097</v>
      </c>
      <c r="F30" t="s">
        <v>61</v>
      </c>
      <c r="G30" t="s">
        <v>23</v>
      </c>
      <c r="H30">
        <v>105</v>
      </c>
      <c r="I30">
        <f t="shared" ref="I30:J31" si="32">I29</f>
        <v>33.602351928703698</v>
      </c>
      <c r="J30">
        <f t="shared" si="32"/>
        <v>0.38242167084105472</v>
      </c>
      <c r="K30">
        <f>I2</f>
        <v>33.252010120639454</v>
      </c>
      <c r="L30">
        <f>I14</f>
        <v>14.012825079167266</v>
      </c>
      <c r="M30">
        <f t="shared" si="0"/>
        <v>0.35034180806424331</v>
      </c>
      <c r="N30">
        <f t="shared" si="1"/>
        <v>19.589526849536433</v>
      </c>
    </row>
    <row r="31" spans="1:14" x14ac:dyDescent="0.2">
      <c r="A31" t="s">
        <v>62</v>
      </c>
      <c r="B31" t="s">
        <v>129</v>
      </c>
      <c r="C31" t="s">
        <v>32</v>
      </c>
      <c r="E31">
        <v>38.352385435752701</v>
      </c>
      <c r="F31" t="s">
        <v>62</v>
      </c>
      <c r="G31" t="s">
        <v>23</v>
      </c>
      <c r="H31">
        <v>105</v>
      </c>
      <c r="I31">
        <f t="shared" si="32"/>
        <v>33.602351928703698</v>
      </c>
      <c r="J31">
        <f t="shared" ref="J31" si="33">J29</f>
        <v>0.38242167084105472</v>
      </c>
      <c r="K31">
        <f>I2</f>
        <v>33.252010120639454</v>
      </c>
      <c r="L31">
        <f>I14</f>
        <v>14.012825079167266</v>
      </c>
      <c r="M31">
        <f t="shared" si="0"/>
        <v>0.35034180806424331</v>
      </c>
      <c r="N31">
        <f t="shared" si="1"/>
        <v>19.589526849536433</v>
      </c>
    </row>
    <row r="32" spans="1:14" s="17" customFormat="1" x14ac:dyDescent="0.2">
      <c r="A32" s="17" t="s">
        <v>63</v>
      </c>
      <c r="B32" s="17" t="s">
        <v>129</v>
      </c>
      <c r="C32" s="17" t="s">
        <v>32</v>
      </c>
      <c r="E32" s="17">
        <v>31.0267359434913</v>
      </c>
      <c r="F32" s="17" t="s">
        <v>63</v>
      </c>
      <c r="G32" s="17" t="s">
        <v>14</v>
      </c>
      <c r="H32" s="17">
        <v>111</v>
      </c>
      <c r="I32" s="17" t="e">
        <f t="shared" ref="I32" si="34">AVERAGE(D32:D34)</f>
        <v>#DIV/0!</v>
      </c>
      <c r="J32" s="17" t="e">
        <f t="shared" ref="J32" si="35">STDEV(D32:D34)</f>
        <v>#DIV/0!</v>
      </c>
      <c r="K32" s="17">
        <f>I8</f>
        <v>32.662626749787897</v>
      </c>
      <c r="L32" s="17">
        <f>I20</f>
        <v>15.592625023200469</v>
      </c>
      <c r="M32" s="17" t="e">
        <f t="shared" si="0"/>
        <v>#DIV/0!</v>
      </c>
      <c r="N32" s="17" t="e">
        <f t="shared" si="1"/>
        <v>#DIV/0!</v>
      </c>
    </row>
    <row r="33" spans="1:14" s="17" customFormat="1" x14ac:dyDescent="0.2">
      <c r="A33" s="17" t="s">
        <v>64</v>
      </c>
      <c r="B33" s="17" t="s">
        <v>129</v>
      </c>
      <c r="C33" s="17" t="s">
        <v>32</v>
      </c>
      <c r="E33" s="17">
        <v>33.5522521803248</v>
      </c>
      <c r="F33" s="17" t="s">
        <v>64</v>
      </c>
      <c r="G33" s="17" t="s">
        <v>14</v>
      </c>
      <c r="H33" s="17">
        <v>111</v>
      </c>
      <c r="I33" s="17" t="e">
        <f t="shared" ref="I33:J33" si="36">I32</f>
        <v>#DIV/0!</v>
      </c>
      <c r="J33" s="17" t="e">
        <f t="shared" si="36"/>
        <v>#DIV/0!</v>
      </c>
      <c r="K33" s="17">
        <f>I8</f>
        <v>32.662626749787897</v>
      </c>
      <c r="L33" s="17">
        <f>I20</f>
        <v>15.592625023200469</v>
      </c>
      <c r="M33" s="17" t="e">
        <f t="shared" si="0"/>
        <v>#DIV/0!</v>
      </c>
      <c r="N33" s="17" t="e">
        <f t="shared" si="1"/>
        <v>#DIV/0!</v>
      </c>
    </row>
    <row r="34" spans="1:14" s="17" customFormat="1" x14ac:dyDescent="0.2">
      <c r="A34" s="17" t="s">
        <v>65</v>
      </c>
      <c r="B34" s="17" t="s">
        <v>129</v>
      </c>
      <c r="C34" s="17" t="s">
        <v>32</v>
      </c>
      <c r="E34" s="17">
        <v>32.227953687899799</v>
      </c>
      <c r="F34" s="17" t="s">
        <v>65</v>
      </c>
      <c r="G34" s="17" t="s">
        <v>14</v>
      </c>
      <c r="H34" s="17">
        <v>111</v>
      </c>
      <c r="I34" s="17" t="e">
        <f t="shared" ref="I34:J34" si="37">I32</f>
        <v>#DIV/0!</v>
      </c>
      <c r="J34" s="17" t="e">
        <f t="shared" si="37"/>
        <v>#DIV/0!</v>
      </c>
      <c r="K34" s="17">
        <f>I8</f>
        <v>32.662626749787897</v>
      </c>
      <c r="L34" s="17">
        <f>I20</f>
        <v>15.592625023200469</v>
      </c>
      <c r="M34" s="17" t="e">
        <f t="shared" si="0"/>
        <v>#DIV/0!</v>
      </c>
      <c r="N34" s="17" t="e">
        <f t="shared" si="1"/>
        <v>#DIV/0!</v>
      </c>
    </row>
    <row r="35" spans="1:14" x14ac:dyDescent="0.2">
      <c r="A35" t="s">
        <v>66</v>
      </c>
      <c r="B35" t="s">
        <v>129</v>
      </c>
      <c r="C35" t="s">
        <v>32</v>
      </c>
      <c r="D35">
        <v>32.5886150749865</v>
      </c>
      <c r="E35">
        <v>32.5886150749865</v>
      </c>
      <c r="F35" t="s">
        <v>66</v>
      </c>
      <c r="G35" t="s">
        <v>23</v>
      </c>
      <c r="H35">
        <v>111</v>
      </c>
      <c r="I35">
        <f t="shared" ref="I35" si="38">AVERAGE(D35:D37)</f>
        <v>32.81198225058715</v>
      </c>
      <c r="J35">
        <f t="shared" ref="J35" si="39">STDEV(D35:D37)</f>
        <v>0.31588888912341206</v>
      </c>
      <c r="K35">
        <f>I8</f>
        <v>32.662626749787897</v>
      </c>
      <c r="L35">
        <f>I20</f>
        <v>15.592625023200469</v>
      </c>
      <c r="M35">
        <f t="shared" si="0"/>
        <v>0.14935550079925264</v>
      </c>
      <c r="N35">
        <f t="shared" si="1"/>
        <v>17.219357227386681</v>
      </c>
    </row>
    <row r="36" spans="1:14" x14ac:dyDescent="0.2">
      <c r="A36" t="s">
        <v>67</v>
      </c>
      <c r="B36" t="s">
        <v>129</v>
      </c>
      <c r="C36" t="s">
        <v>32</v>
      </c>
      <c r="D36">
        <v>33.0353494261878</v>
      </c>
      <c r="E36">
        <v>33.0353494261878</v>
      </c>
      <c r="F36" t="s">
        <v>67</v>
      </c>
      <c r="G36" t="s">
        <v>23</v>
      </c>
      <c r="H36">
        <v>111</v>
      </c>
      <c r="I36">
        <f t="shared" ref="I36:J37" si="40">I35</f>
        <v>32.81198225058715</v>
      </c>
      <c r="J36">
        <f t="shared" si="40"/>
        <v>0.31588888912341206</v>
      </c>
      <c r="K36">
        <f>I8</f>
        <v>32.662626749787897</v>
      </c>
      <c r="L36">
        <f>I20</f>
        <v>15.592625023200469</v>
      </c>
      <c r="M36">
        <f t="shared" si="0"/>
        <v>0.14935550079925264</v>
      </c>
      <c r="N36">
        <f t="shared" si="1"/>
        <v>17.219357227386681</v>
      </c>
    </row>
    <row r="37" spans="1:14" x14ac:dyDescent="0.2">
      <c r="A37" t="s">
        <v>68</v>
      </c>
      <c r="B37" t="s">
        <v>129</v>
      </c>
      <c r="C37" t="s">
        <v>32</v>
      </c>
      <c r="E37">
        <v>13.6181292995219</v>
      </c>
      <c r="F37" t="s">
        <v>68</v>
      </c>
      <c r="G37" t="s">
        <v>23</v>
      </c>
      <c r="H37">
        <v>111</v>
      </c>
      <c r="I37">
        <f t="shared" si="40"/>
        <v>32.81198225058715</v>
      </c>
      <c r="J37">
        <f t="shared" ref="J37" si="41">J35</f>
        <v>0.31588888912341206</v>
      </c>
      <c r="K37">
        <f>I8</f>
        <v>32.662626749787897</v>
      </c>
      <c r="L37">
        <f>I20</f>
        <v>15.592625023200469</v>
      </c>
      <c r="M37">
        <f t="shared" si="0"/>
        <v>0.14935550079925264</v>
      </c>
      <c r="N37">
        <f t="shared" si="1"/>
        <v>17.219357227386681</v>
      </c>
    </row>
    <row r="38" spans="1:14" x14ac:dyDescent="0.2">
      <c r="A38" t="s">
        <v>69</v>
      </c>
      <c r="B38" t="s">
        <v>129</v>
      </c>
      <c r="C38" t="s">
        <v>32</v>
      </c>
      <c r="D38">
        <v>32.183090432257103</v>
      </c>
      <c r="E38">
        <v>32.183090432257103</v>
      </c>
      <c r="F38" t="s">
        <v>69</v>
      </c>
      <c r="G38" t="s">
        <v>15</v>
      </c>
      <c r="H38">
        <v>105</v>
      </c>
      <c r="I38">
        <f t="shared" ref="I38" si="42">AVERAGE(D38:D40)</f>
        <v>32.383265655371069</v>
      </c>
      <c r="J38">
        <f t="shared" ref="J38" si="43">STDEV(D38:D40)</f>
        <v>0.27806036232020404</v>
      </c>
      <c r="K38">
        <f>I2</f>
        <v>33.252010120639454</v>
      </c>
      <c r="L38">
        <f>I14</f>
        <v>14.012825079167266</v>
      </c>
      <c r="M38">
        <f t="shared" si="0"/>
        <v>-0.86874446526838511</v>
      </c>
      <c r="N38">
        <f t="shared" si="1"/>
        <v>18.370440576203805</v>
      </c>
    </row>
    <row r="39" spans="1:14" x14ac:dyDescent="0.2">
      <c r="A39" t="s">
        <v>70</v>
      </c>
      <c r="B39" t="s">
        <v>129</v>
      </c>
      <c r="C39" t="s">
        <v>32</v>
      </c>
      <c r="D39">
        <v>32.700758361468402</v>
      </c>
      <c r="E39">
        <v>32.700758361468402</v>
      </c>
      <c r="F39" t="s">
        <v>70</v>
      </c>
      <c r="G39" t="s">
        <v>15</v>
      </c>
      <c r="H39">
        <v>105</v>
      </c>
      <c r="I39">
        <f t="shared" ref="I39:J39" si="44">I38</f>
        <v>32.383265655371069</v>
      </c>
      <c r="J39">
        <f t="shared" si="44"/>
        <v>0.27806036232020404</v>
      </c>
      <c r="K39">
        <f>I2</f>
        <v>33.252010120639454</v>
      </c>
      <c r="L39">
        <f>I14</f>
        <v>14.012825079167266</v>
      </c>
      <c r="M39">
        <f t="shared" si="0"/>
        <v>-0.86874446526838511</v>
      </c>
      <c r="N39">
        <f t="shared" si="1"/>
        <v>18.370440576203805</v>
      </c>
    </row>
    <row r="40" spans="1:14" x14ac:dyDescent="0.2">
      <c r="A40" t="s">
        <v>71</v>
      </c>
      <c r="B40" t="s">
        <v>129</v>
      </c>
      <c r="C40" t="s">
        <v>32</v>
      </c>
      <c r="D40">
        <v>32.265948172387702</v>
      </c>
      <c r="E40">
        <v>32.265948172387702</v>
      </c>
      <c r="F40" t="s">
        <v>71</v>
      </c>
      <c r="G40" t="s">
        <v>15</v>
      </c>
      <c r="H40">
        <v>105</v>
      </c>
      <c r="I40">
        <f t="shared" ref="I40:J40" si="45">I38</f>
        <v>32.383265655371069</v>
      </c>
      <c r="J40">
        <f t="shared" si="45"/>
        <v>0.27806036232020404</v>
      </c>
      <c r="K40">
        <f>I2</f>
        <v>33.252010120639454</v>
      </c>
      <c r="L40">
        <f>I14</f>
        <v>14.012825079167266</v>
      </c>
      <c r="M40">
        <f t="shared" si="0"/>
        <v>-0.86874446526838511</v>
      </c>
      <c r="N40">
        <f t="shared" si="1"/>
        <v>18.370440576203805</v>
      </c>
    </row>
    <row r="41" spans="1:14" x14ac:dyDescent="0.2">
      <c r="A41" t="s">
        <v>72</v>
      </c>
      <c r="B41" t="s">
        <v>129</v>
      </c>
      <c r="C41" t="s">
        <v>32</v>
      </c>
      <c r="E41">
        <v>34.659849646561398</v>
      </c>
      <c r="F41" t="s">
        <v>72</v>
      </c>
      <c r="G41" t="s">
        <v>22</v>
      </c>
      <c r="H41">
        <v>105</v>
      </c>
      <c r="I41">
        <f t="shared" ref="I41" si="46">AVERAGE(D41:D43)</f>
        <v>32.879737481277544</v>
      </c>
      <c r="J41">
        <f t="shared" ref="J41" si="47">STDEV(D41:D43)</f>
        <v>0.20173758261160923</v>
      </c>
      <c r="K41">
        <f>I2</f>
        <v>33.252010120639454</v>
      </c>
      <c r="L41">
        <f>I14</f>
        <v>14.012825079167266</v>
      </c>
      <c r="M41">
        <f t="shared" si="0"/>
        <v>-0.3722726393619098</v>
      </c>
      <c r="N41">
        <f t="shared" si="1"/>
        <v>18.86691240211028</v>
      </c>
    </row>
    <row r="42" spans="1:14" x14ac:dyDescent="0.2">
      <c r="A42" t="s">
        <v>73</v>
      </c>
      <c r="B42" t="s">
        <v>129</v>
      </c>
      <c r="C42" t="s">
        <v>32</v>
      </c>
      <c r="D42">
        <v>33.022387493962398</v>
      </c>
      <c r="E42">
        <v>33.022387493962398</v>
      </c>
      <c r="F42" t="s">
        <v>73</v>
      </c>
      <c r="G42" t="s">
        <v>22</v>
      </c>
      <c r="H42">
        <v>105</v>
      </c>
      <c r="I42">
        <f t="shared" ref="I42:J43" si="48">I41</f>
        <v>32.879737481277544</v>
      </c>
      <c r="J42">
        <f t="shared" si="48"/>
        <v>0.20173758261160923</v>
      </c>
      <c r="K42">
        <f>I2</f>
        <v>33.252010120639454</v>
      </c>
      <c r="L42">
        <f>I14</f>
        <v>14.012825079167266</v>
      </c>
      <c r="M42">
        <f t="shared" si="0"/>
        <v>-0.3722726393619098</v>
      </c>
      <c r="N42">
        <f t="shared" si="1"/>
        <v>18.86691240211028</v>
      </c>
    </row>
    <row r="43" spans="1:14" x14ac:dyDescent="0.2">
      <c r="A43" t="s">
        <v>74</v>
      </c>
      <c r="B43" t="s">
        <v>129</v>
      </c>
      <c r="C43" t="s">
        <v>32</v>
      </c>
      <c r="D43">
        <v>32.737087468592698</v>
      </c>
      <c r="E43">
        <v>32.737087468592698</v>
      </c>
      <c r="F43" t="s">
        <v>74</v>
      </c>
      <c r="G43" t="s">
        <v>22</v>
      </c>
      <c r="H43">
        <v>105</v>
      </c>
      <c r="I43">
        <f t="shared" si="48"/>
        <v>32.879737481277544</v>
      </c>
      <c r="J43">
        <f t="shared" ref="J43" si="49">J41</f>
        <v>0.20173758261160923</v>
      </c>
      <c r="K43">
        <f>I2</f>
        <v>33.252010120639454</v>
      </c>
      <c r="L43">
        <f>I14</f>
        <v>14.012825079167266</v>
      </c>
      <c r="M43">
        <f t="shared" si="0"/>
        <v>-0.3722726393619098</v>
      </c>
      <c r="N43">
        <f t="shared" si="1"/>
        <v>18.86691240211028</v>
      </c>
    </row>
    <row r="44" spans="1:14" x14ac:dyDescent="0.2">
      <c r="A44" t="s">
        <v>75</v>
      </c>
      <c r="B44" t="s">
        <v>129</v>
      </c>
      <c r="C44" t="s">
        <v>32</v>
      </c>
      <c r="D44">
        <v>31.671498456608301</v>
      </c>
      <c r="E44">
        <v>31.671498456608301</v>
      </c>
      <c r="F44" t="s">
        <v>75</v>
      </c>
      <c r="G44" t="s">
        <v>15</v>
      </c>
      <c r="H44">
        <v>111</v>
      </c>
      <c r="I44">
        <f t="shared" ref="I44" si="50">AVERAGE(D44:D46)</f>
        <v>32.107815217208632</v>
      </c>
      <c r="J44">
        <f t="shared" ref="J44" si="51">STDEV(D44:D46)</f>
        <v>0.38102408566266338</v>
      </c>
      <c r="K44">
        <f>I8</f>
        <v>32.662626749787897</v>
      </c>
      <c r="L44">
        <f>I20</f>
        <v>15.592625023200469</v>
      </c>
      <c r="M44">
        <f t="shared" si="0"/>
        <v>-0.55481153257926508</v>
      </c>
      <c r="N44">
        <f t="shared" si="1"/>
        <v>16.515190194008163</v>
      </c>
    </row>
    <row r="45" spans="1:14" x14ac:dyDescent="0.2">
      <c r="A45" t="s">
        <v>76</v>
      </c>
      <c r="B45" t="s">
        <v>129</v>
      </c>
      <c r="C45" t="s">
        <v>32</v>
      </c>
      <c r="D45">
        <v>32.2769826068116</v>
      </c>
      <c r="E45">
        <v>32.2769826068116</v>
      </c>
      <c r="F45" t="s">
        <v>76</v>
      </c>
      <c r="G45" t="s">
        <v>15</v>
      </c>
      <c r="H45">
        <v>111</v>
      </c>
      <c r="I45">
        <f t="shared" ref="I45:J45" si="52">I44</f>
        <v>32.107815217208632</v>
      </c>
      <c r="J45">
        <f t="shared" si="52"/>
        <v>0.38102408566266338</v>
      </c>
      <c r="K45">
        <f>I8</f>
        <v>32.662626749787897</v>
      </c>
      <c r="L45">
        <f>I20</f>
        <v>15.592625023200469</v>
      </c>
      <c r="M45">
        <f t="shared" si="0"/>
        <v>-0.55481153257926508</v>
      </c>
      <c r="N45">
        <f t="shared" si="1"/>
        <v>16.515190194008163</v>
      </c>
    </row>
    <row r="46" spans="1:14" x14ac:dyDescent="0.2">
      <c r="A46" t="s">
        <v>77</v>
      </c>
      <c r="B46" t="s">
        <v>129</v>
      </c>
      <c r="C46" t="s">
        <v>32</v>
      </c>
      <c r="D46">
        <v>32.374964588205998</v>
      </c>
      <c r="E46">
        <v>32.374964588205998</v>
      </c>
      <c r="F46" t="s">
        <v>77</v>
      </c>
      <c r="G46" t="s">
        <v>15</v>
      </c>
      <c r="H46">
        <v>111</v>
      </c>
      <c r="I46">
        <f t="shared" ref="I46:J46" si="53">I44</f>
        <v>32.107815217208632</v>
      </c>
      <c r="J46">
        <f t="shared" si="53"/>
        <v>0.38102408566266338</v>
      </c>
      <c r="K46">
        <f>I8</f>
        <v>32.662626749787897</v>
      </c>
      <c r="L46">
        <f>I20</f>
        <v>15.592625023200469</v>
      </c>
      <c r="M46">
        <f t="shared" si="0"/>
        <v>-0.55481153257926508</v>
      </c>
      <c r="N46">
        <f t="shared" si="1"/>
        <v>16.515190194008163</v>
      </c>
    </row>
    <row r="47" spans="1:14" x14ac:dyDescent="0.2">
      <c r="A47" t="s">
        <v>78</v>
      </c>
      <c r="B47" t="s">
        <v>129</v>
      </c>
      <c r="C47" t="s">
        <v>32</v>
      </c>
      <c r="D47">
        <v>34.748878463155599</v>
      </c>
      <c r="E47">
        <v>34.748878463155599</v>
      </c>
      <c r="F47" t="s">
        <v>78</v>
      </c>
      <c r="G47" t="s">
        <v>22</v>
      </c>
      <c r="H47">
        <v>111</v>
      </c>
      <c r="I47">
        <f t="shared" ref="I47" si="54">AVERAGE(D47:D49)</f>
        <v>34.459753656650598</v>
      </c>
      <c r="J47">
        <f t="shared" ref="J47" si="55">STDEV(D47:D49)</f>
        <v>0.40888422257786888</v>
      </c>
      <c r="K47">
        <f>I8</f>
        <v>32.662626749787897</v>
      </c>
      <c r="L47">
        <f>I20</f>
        <v>15.592625023200469</v>
      </c>
      <c r="M47">
        <f t="shared" si="0"/>
        <v>1.7971269068627009</v>
      </c>
      <c r="N47">
        <f t="shared" si="1"/>
        <v>18.867128633450129</v>
      </c>
    </row>
    <row r="48" spans="1:14" x14ac:dyDescent="0.2">
      <c r="A48" t="s">
        <v>79</v>
      </c>
      <c r="B48" t="s">
        <v>129</v>
      </c>
      <c r="C48" t="s">
        <v>32</v>
      </c>
      <c r="D48">
        <v>34.170628850145597</v>
      </c>
      <c r="E48">
        <v>34.170628850145597</v>
      </c>
      <c r="F48" t="s">
        <v>79</v>
      </c>
      <c r="G48" t="s">
        <v>22</v>
      </c>
      <c r="H48">
        <v>111</v>
      </c>
      <c r="I48">
        <f t="shared" ref="I48:J49" si="56">I47</f>
        <v>34.459753656650598</v>
      </c>
      <c r="J48">
        <f t="shared" si="56"/>
        <v>0.40888422257786888</v>
      </c>
      <c r="K48">
        <f>I8</f>
        <v>32.662626749787897</v>
      </c>
      <c r="L48">
        <f>I20</f>
        <v>15.592625023200469</v>
      </c>
      <c r="M48">
        <f t="shared" si="0"/>
        <v>1.7971269068627009</v>
      </c>
      <c r="N48">
        <f t="shared" si="1"/>
        <v>18.867128633450129</v>
      </c>
    </row>
    <row r="49" spans="1:14" x14ac:dyDescent="0.2">
      <c r="A49" t="s">
        <v>80</v>
      </c>
      <c r="B49" t="s">
        <v>129</v>
      </c>
      <c r="C49" t="s">
        <v>32</v>
      </c>
      <c r="D49" t="s">
        <v>33</v>
      </c>
      <c r="E49" t="s">
        <v>33</v>
      </c>
      <c r="F49" t="s">
        <v>80</v>
      </c>
      <c r="G49" t="s">
        <v>22</v>
      </c>
      <c r="H49">
        <v>111</v>
      </c>
      <c r="I49">
        <f t="shared" si="56"/>
        <v>34.459753656650598</v>
      </c>
      <c r="J49">
        <f t="shared" ref="J49" si="57">J47</f>
        <v>0.40888422257786888</v>
      </c>
      <c r="K49">
        <f>I8</f>
        <v>32.662626749787897</v>
      </c>
      <c r="L49">
        <f>I20</f>
        <v>15.592625023200469</v>
      </c>
      <c r="M49">
        <f t="shared" si="0"/>
        <v>1.7971269068627009</v>
      </c>
      <c r="N49">
        <f t="shared" si="1"/>
        <v>18.867128633450129</v>
      </c>
    </row>
    <row r="50" spans="1:14" x14ac:dyDescent="0.2">
      <c r="A50" t="s">
        <v>81</v>
      </c>
      <c r="B50" t="s">
        <v>129</v>
      </c>
      <c r="C50" t="s">
        <v>32</v>
      </c>
      <c r="D50">
        <v>32.338696934937602</v>
      </c>
      <c r="E50">
        <v>32.338696934937602</v>
      </c>
      <c r="F50" t="s">
        <v>81</v>
      </c>
      <c r="G50" t="s">
        <v>16</v>
      </c>
      <c r="H50">
        <v>105</v>
      </c>
      <c r="I50">
        <f t="shared" ref="I50" si="58">AVERAGE(D50:D52)</f>
        <v>32.346002638103201</v>
      </c>
      <c r="J50">
        <f t="shared" ref="J50" si="59">STDEV(D50:D52)</f>
        <v>1.0331824499462438E-2</v>
      </c>
      <c r="K50">
        <f>I2</f>
        <v>33.252010120639454</v>
      </c>
      <c r="L50">
        <f>I14</f>
        <v>14.012825079167266</v>
      </c>
      <c r="M50">
        <f t="shared" si="0"/>
        <v>-0.90600748253625341</v>
      </c>
      <c r="N50">
        <f t="shared" si="1"/>
        <v>18.333177558935937</v>
      </c>
    </row>
    <row r="51" spans="1:14" x14ac:dyDescent="0.2">
      <c r="A51" t="s">
        <v>82</v>
      </c>
      <c r="B51" t="s">
        <v>129</v>
      </c>
      <c r="C51" t="s">
        <v>32</v>
      </c>
      <c r="E51">
        <v>34.570730285679197</v>
      </c>
      <c r="F51" t="s">
        <v>82</v>
      </c>
      <c r="G51" t="s">
        <v>16</v>
      </c>
      <c r="H51">
        <v>105</v>
      </c>
      <c r="I51">
        <f t="shared" ref="I51:J51" si="60">I50</f>
        <v>32.346002638103201</v>
      </c>
      <c r="J51">
        <f t="shared" si="60"/>
        <v>1.0331824499462438E-2</v>
      </c>
      <c r="K51">
        <f>I2</f>
        <v>33.252010120639454</v>
      </c>
      <c r="L51">
        <f>I14</f>
        <v>14.012825079167266</v>
      </c>
      <c r="M51">
        <f t="shared" si="0"/>
        <v>-0.90600748253625341</v>
      </c>
      <c r="N51">
        <f t="shared" si="1"/>
        <v>18.333177558935937</v>
      </c>
    </row>
    <row r="52" spans="1:14" x14ac:dyDescent="0.2">
      <c r="A52" t="s">
        <v>83</v>
      </c>
      <c r="B52" t="s">
        <v>129</v>
      </c>
      <c r="C52" t="s">
        <v>32</v>
      </c>
      <c r="D52">
        <v>32.3533083412688</v>
      </c>
      <c r="E52">
        <v>32.3533083412688</v>
      </c>
      <c r="F52" t="s">
        <v>83</v>
      </c>
      <c r="G52" t="s">
        <v>16</v>
      </c>
      <c r="H52">
        <v>105</v>
      </c>
      <c r="I52">
        <f t="shared" ref="I52:J52" si="61">I50</f>
        <v>32.346002638103201</v>
      </c>
      <c r="J52">
        <f t="shared" si="61"/>
        <v>1.0331824499462438E-2</v>
      </c>
      <c r="K52">
        <f>I2</f>
        <v>33.252010120639454</v>
      </c>
      <c r="L52">
        <f>I14</f>
        <v>14.012825079167266</v>
      </c>
      <c r="M52">
        <f t="shared" si="0"/>
        <v>-0.90600748253625341</v>
      </c>
      <c r="N52">
        <f t="shared" si="1"/>
        <v>18.333177558935937</v>
      </c>
    </row>
    <row r="53" spans="1:14" s="17" customFormat="1" x14ac:dyDescent="0.2">
      <c r="A53" s="17" t="s">
        <v>84</v>
      </c>
      <c r="B53" s="17" t="s">
        <v>129</v>
      </c>
      <c r="C53" s="17" t="s">
        <v>32</v>
      </c>
      <c r="E53" s="17">
        <v>34.289418099653503</v>
      </c>
      <c r="F53" s="17" t="s">
        <v>84</v>
      </c>
      <c r="G53" s="17" t="s">
        <v>24</v>
      </c>
      <c r="H53" s="17">
        <v>105</v>
      </c>
      <c r="I53" s="17" t="e">
        <f t="shared" ref="I53" si="62">AVERAGE(D53:D55)</f>
        <v>#DIV/0!</v>
      </c>
      <c r="J53" s="17" t="e">
        <f t="shared" ref="J53" si="63">STDEV(D53:D55)</f>
        <v>#DIV/0!</v>
      </c>
      <c r="K53" s="17">
        <f>I2</f>
        <v>33.252010120639454</v>
      </c>
      <c r="L53" s="17">
        <f>I14</f>
        <v>14.012825079167266</v>
      </c>
      <c r="M53" s="17" t="e">
        <f t="shared" si="0"/>
        <v>#DIV/0!</v>
      </c>
      <c r="N53" s="17" t="e">
        <f t="shared" si="1"/>
        <v>#DIV/0!</v>
      </c>
    </row>
    <row r="54" spans="1:14" s="17" customFormat="1" x14ac:dyDescent="0.2">
      <c r="A54" s="17" t="s">
        <v>85</v>
      </c>
      <c r="B54" s="17" t="s">
        <v>129</v>
      </c>
      <c r="C54" s="17" t="s">
        <v>32</v>
      </c>
      <c r="E54" s="17" t="s">
        <v>33</v>
      </c>
      <c r="F54" s="17" t="s">
        <v>85</v>
      </c>
      <c r="G54" s="17" t="s">
        <v>24</v>
      </c>
      <c r="H54" s="17">
        <v>105</v>
      </c>
      <c r="I54" s="17" t="e">
        <f t="shared" ref="I54:J55" si="64">I53</f>
        <v>#DIV/0!</v>
      </c>
      <c r="J54" s="17" t="e">
        <f t="shared" si="64"/>
        <v>#DIV/0!</v>
      </c>
      <c r="K54" s="17">
        <f>I2</f>
        <v>33.252010120639454</v>
      </c>
      <c r="L54" s="17">
        <f>I14</f>
        <v>14.012825079167266</v>
      </c>
      <c r="M54" s="17" t="e">
        <f t="shared" si="0"/>
        <v>#DIV/0!</v>
      </c>
      <c r="N54" s="17" t="e">
        <f t="shared" si="1"/>
        <v>#DIV/0!</v>
      </c>
    </row>
    <row r="55" spans="1:14" s="17" customFormat="1" x14ac:dyDescent="0.2">
      <c r="A55" s="17" t="s">
        <v>86</v>
      </c>
      <c r="B55" s="17" t="s">
        <v>129</v>
      </c>
      <c r="C55" s="17" t="s">
        <v>32</v>
      </c>
      <c r="E55" s="17">
        <v>36.222651493761902</v>
      </c>
      <c r="F55" s="17" t="s">
        <v>86</v>
      </c>
      <c r="G55" s="17" t="s">
        <v>24</v>
      </c>
      <c r="H55" s="17">
        <v>105</v>
      </c>
      <c r="I55" s="17" t="e">
        <f t="shared" si="64"/>
        <v>#DIV/0!</v>
      </c>
      <c r="J55" s="17" t="e">
        <f t="shared" ref="J55" si="65">J53</f>
        <v>#DIV/0!</v>
      </c>
      <c r="K55" s="17">
        <f>I2</f>
        <v>33.252010120639454</v>
      </c>
      <c r="L55" s="17">
        <f>I14</f>
        <v>14.012825079167266</v>
      </c>
      <c r="M55" s="17" t="e">
        <f t="shared" si="0"/>
        <v>#DIV/0!</v>
      </c>
      <c r="N55" s="17" t="e">
        <f t="shared" si="1"/>
        <v>#DIV/0!</v>
      </c>
    </row>
    <row r="56" spans="1:14" x14ac:dyDescent="0.2">
      <c r="A56" t="s">
        <v>87</v>
      </c>
      <c r="B56" t="s">
        <v>129</v>
      </c>
      <c r="C56" t="s">
        <v>32</v>
      </c>
      <c r="D56">
        <v>31.2083316246921</v>
      </c>
      <c r="E56">
        <v>31.2083316246921</v>
      </c>
      <c r="F56" t="s">
        <v>87</v>
      </c>
      <c r="G56" t="s">
        <v>16</v>
      </c>
      <c r="H56">
        <v>111</v>
      </c>
      <c r="I56">
        <f t="shared" ref="I56" si="66">AVERAGE(D56:D58)</f>
        <v>31.290420893807596</v>
      </c>
      <c r="J56">
        <f t="shared" ref="J56" si="67">STDEV(D56:D58)</f>
        <v>0.27517846791942663</v>
      </c>
      <c r="K56">
        <f>I8</f>
        <v>32.662626749787897</v>
      </c>
      <c r="L56">
        <f>I20</f>
        <v>15.592625023200469</v>
      </c>
      <c r="M56">
        <f t="shared" si="0"/>
        <v>-1.372205855980301</v>
      </c>
      <c r="N56">
        <f t="shared" si="1"/>
        <v>15.697795870607127</v>
      </c>
    </row>
    <row r="57" spans="1:14" x14ac:dyDescent="0.2">
      <c r="A57" t="s">
        <v>88</v>
      </c>
      <c r="B57" t="s">
        <v>129</v>
      </c>
      <c r="C57" t="s">
        <v>32</v>
      </c>
      <c r="D57">
        <v>31.5973023262857</v>
      </c>
      <c r="E57">
        <v>31.5973023262857</v>
      </c>
      <c r="F57" t="s">
        <v>88</v>
      </c>
      <c r="G57" t="s">
        <v>16</v>
      </c>
      <c r="H57">
        <v>111</v>
      </c>
      <c r="I57">
        <f t="shared" ref="I57:J57" si="68">I56</f>
        <v>31.290420893807596</v>
      </c>
      <c r="J57">
        <f t="shared" si="68"/>
        <v>0.27517846791942663</v>
      </c>
      <c r="K57">
        <f>I8</f>
        <v>32.662626749787897</v>
      </c>
      <c r="L57">
        <f>I20</f>
        <v>15.592625023200469</v>
      </c>
      <c r="M57">
        <f t="shared" si="0"/>
        <v>-1.372205855980301</v>
      </c>
      <c r="N57">
        <f t="shared" si="1"/>
        <v>15.697795870607127</v>
      </c>
    </row>
    <row r="58" spans="1:14" x14ac:dyDescent="0.2">
      <c r="A58" t="s">
        <v>89</v>
      </c>
      <c r="B58" t="s">
        <v>129</v>
      </c>
      <c r="C58" t="s">
        <v>32</v>
      </c>
      <c r="D58">
        <v>31.065628730444999</v>
      </c>
      <c r="E58">
        <v>31.065628730444999</v>
      </c>
      <c r="F58" t="s">
        <v>89</v>
      </c>
      <c r="G58" t="s">
        <v>16</v>
      </c>
      <c r="H58">
        <v>111</v>
      </c>
      <c r="I58">
        <f t="shared" ref="I58:J58" si="69">I56</f>
        <v>31.290420893807596</v>
      </c>
      <c r="J58">
        <f t="shared" si="69"/>
        <v>0.27517846791942663</v>
      </c>
      <c r="K58">
        <f>I8</f>
        <v>32.662626749787897</v>
      </c>
      <c r="L58">
        <f>I20</f>
        <v>15.592625023200469</v>
      </c>
      <c r="M58">
        <f t="shared" si="0"/>
        <v>-1.372205855980301</v>
      </c>
      <c r="N58">
        <f t="shared" si="1"/>
        <v>15.697795870607127</v>
      </c>
    </row>
    <row r="59" spans="1:14" s="17" customFormat="1" x14ac:dyDescent="0.2">
      <c r="A59" s="17" t="s">
        <v>90</v>
      </c>
      <c r="B59" s="17" t="s">
        <v>129</v>
      </c>
      <c r="C59" s="17" t="s">
        <v>32</v>
      </c>
      <c r="E59" s="17">
        <v>33.590527253656703</v>
      </c>
      <c r="F59" s="17" t="s">
        <v>90</v>
      </c>
      <c r="G59" s="17" t="s">
        <v>24</v>
      </c>
      <c r="H59" s="17">
        <v>111</v>
      </c>
      <c r="I59" s="17" t="e">
        <f t="shared" ref="I59" si="70">AVERAGE(D59:D61)</f>
        <v>#DIV/0!</v>
      </c>
      <c r="J59" s="17" t="e">
        <f t="shared" ref="J59" si="71">STDEV(D59:D61)</f>
        <v>#DIV/0!</v>
      </c>
      <c r="K59" s="17">
        <f>I8</f>
        <v>32.662626749787897</v>
      </c>
      <c r="L59" s="17">
        <f>I20</f>
        <v>15.592625023200469</v>
      </c>
      <c r="M59" s="17" t="e">
        <f t="shared" si="0"/>
        <v>#DIV/0!</v>
      </c>
      <c r="N59" s="17" t="e">
        <f t="shared" si="1"/>
        <v>#DIV/0!</v>
      </c>
    </row>
    <row r="60" spans="1:14" s="17" customFormat="1" x14ac:dyDescent="0.2">
      <c r="A60" s="17" t="s">
        <v>91</v>
      </c>
      <c r="B60" s="17" t="s">
        <v>129</v>
      </c>
      <c r="C60" s="17" t="s">
        <v>32</v>
      </c>
      <c r="E60" s="17">
        <v>34.597995225274701</v>
      </c>
      <c r="F60" s="17" t="s">
        <v>91</v>
      </c>
      <c r="G60" s="17" t="s">
        <v>24</v>
      </c>
      <c r="H60" s="17">
        <v>111</v>
      </c>
      <c r="I60" s="17" t="e">
        <f t="shared" ref="I60:J61" si="72">I59</f>
        <v>#DIV/0!</v>
      </c>
      <c r="J60" s="17" t="e">
        <f t="shared" si="72"/>
        <v>#DIV/0!</v>
      </c>
      <c r="K60" s="17">
        <f>I8</f>
        <v>32.662626749787897</v>
      </c>
      <c r="L60" s="17">
        <f>I20</f>
        <v>15.592625023200469</v>
      </c>
      <c r="M60" s="17" t="e">
        <f t="shared" si="0"/>
        <v>#DIV/0!</v>
      </c>
      <c r="N60" s="17" t="e">
        <f t="shared" si="1"/>
        <v>#DIV/0!</v>
      </c>
    </row>
    <row r="61" spans="1:14" s="17" customFormat="1" x14ac:dyDescent="0.2">
      <c r="A61" s="17" t="s">
        <v>92</v>
      </c>
      <c r="B61" s="17" t="s">
        <v>129</v>
      </c>
      <c r="C61" s="17" t="s">
        <v>32</v>
      </c>
      <c r="E61" s="17" t="s">
        <v>33</v>
      </c>
      <c r="F61" s="17" t="s">
        <v>92</v>
      </c>
      <c r="G61" s="17" t="s">
        <v>24</v>
      </c>
      <c r="H61" s="17">
        <v>111</v>
      </c>
      <c r="I61" s="17" t="e">
        <f t="shared" si="72"/>
        <v>#DIV/0!</v>
      </c>
      <c r="J61" s="17" t="e">
        <f t="shared" ref="J61" si="73">J59</f>
        <v>#DIV/0!</v>
      </c>
      <c r="K61" s="17">
        <f>I8</f>
        <v>32.662626749787897</v>
      </c>
      <c r="L61" s="17">
        <f>I20</f>
        <v>15.592625023200469</v>
      </c>
      <c r="M61" s="17" t="e">
        <f t="shared" si="0"/>
        <v>#DIV/0!</v>
      </c>
      <c r="N61" s="17" t="e">
        <f t="shared" si="1"/>
        <v>#DIV/0!</v>
      </c>
    </row>
    <row r="62" spans="1:14" x14ac:dyDescent="0.2">
      <c r="A62" t="s">
        <v>93</v>
      </c>
      <c r="B62" t="s">
        <v>129</v>
      </c>
      <c r="C62" t="s">
        <v>32</v>
      </c>
      <c r="D62">
        <v>30.658085114111501</v>
      </c>
      <c r="E62">
        <v>30.658085114111501</v>
      </c>
      <c r="F62" t="s">
        <v>93</v>
      </c>
      <c r="G62" t="s">
        <v>17</v>
      </c>
      <c r="H62">
        <v>105</v>
      </c>
      <c r="I62">
        <f t="shared" ref="I62" si="74">AVERAGE(D62:D64)</f>
        <v>30.902549276834851</v>
      </c>
      <c r="J62">
        <f t="shared" ref="J62" si="75">STDEV(D62:D64)</f>
        <v>0.34572453443754497</v>
      </c>
      <c r="K62">
        <f>I2</f>
        <v>33.252010120639454</v>
      </c>
      <c r="L62">
        <f>I14</f>
        <v>14.012825079167266</v>
      </c>
      <c r="M62">
        <f t="shared" si="0"/>
        <v>-2.3494608438046036</v>
      </c>
      <c r="N62">
        <f t="shared" si="1"/>
        <v>16.889724197667583</v>
      </c>
    </row>
    <row r="63" spans="1:14" x14ac:dyDescent="0.2">
      <c r="A63" t="s">
        <v>94</v>
      </c>
      <c r="B63" t="s">
        <v>129</v>
      </c>
      <c r="C63" t="s">
        <v>32</v>
      </c>
      <c r="E63">
        <v>31.968579609646799</v>
      </c>
      <c r="F63" t="s">
        <v>94</v>
      </c>
      <c r="G63" t="s">
        <v>17</v>
      </c>
      <c r="H63">
        <v>105</v>
      </c>
      <c r="I63">
        <f t="shared" ref="I63:J63" si="76">I62</f>
        <v>30.902549276834851</v>
      </c>
      <c r="J63">
        <f t="shared" si="76"/>
        <v>0.34572453443754497</v>
      </c>
      <c r="K63">
        <f>I2</f>
        <v>33.252010120639454</v>
      </c>
      <c r="L63">
        <f>I14</f>
        <v>14.012825079167266</v>
      </c>
      <c r="M63">
        <f t="shared" si="0"/>
        <v>-2.3494608438046036</v>
      </c>
      <c r="N63">
        <f t="shared" si="1"/>
        <v>16.889724197667583</v>
      </c>
    </row>
    <row r="64" spans="1:14" x14ac:dyDescent="0.2">
      <c r="A64" t="s">
        <v>95</v>
      </c>
      <c r="B64" t="s">
        <v>129</v>
      </c>
      <c r="C64" t="s">
        <v>32</v>
      </c>
      <c r="D64">
        <v>31.147013439558201</v>
      </c>
      <c r="E64">
        <v>31.147013439558201</v>
      </c>
      <c r="F64" t="s">
        <v>95</v>
      </c>
      <c r="G64" t="s">
        <v>17</v>
      </c>
      <c r="H64">
        <v>105</v>
      </c>
      <c r="I64">
        <f t="shared" ref="I64:J64" si="77">I62</f>
        <v>30.902549276834851</v>
      </c>
      <c r="J64">
        <f t="shared" si="77"/>
        <v>0.34572453443754497</v>
      </c>
      <c r="K64">
        <f>I2</f>
        <v>33.252010120639454</v>
      </c>
      <c r="L64">
        <f>I14</f>
        <v>14.012825079167266</v>
      </c>
      <c r="M64">
        <f t="shared" si="0"/>
        <v>-2.3494608438046036</v>
      </c>
      <c r="N64">
        <f t="shared" si="1"/>
        <v>16.889724197667583</v>
      </c>
    </row>
    <row r="65" spans="1:14" x14ac:dyDescent="0.2">
      <c r="A65" t="s">
        <v>96</v>
      </c>
      <c r="B65" t="s">
        <v>129</v>
      </c>
      <c r="C65" t="s">
        <v>32</v>
      </c>
      <c r="D65">
        <v>31.694921609602101</v>
      </c>
      <c r="E65">
        <v>31.694921609602101</v>
      </c>
      <c r="F65" t="s">
        <v>96</v>
      </c>
      <c r="G65" t="s">
        <v>25</v>
      </c>
      <c r="H65">
        <v>105</v>
      </c>
      <c r="I65">
        <f t="shared" ref="I65" si="78">AVERAGE(D65:D67)</f>
        <v>31.920398065528204</v>
      </c>
      <c r="J65">
        <f t="shared" ref="J65" si="79">STDEV(D65:D67)</f>
        <v>0.31887186196651129</v>
      </c>
      <c r="K65">
        <f>I2</f>
        <v>33.252010120639454</v>
      </c>
      <c r="L65">
        <f>I14</f>
        <v>14.012825079167266</v>
      </c>
      <c r="M65">
        <f t="shared" si="0"/>
        <v>-1.3316120551112505</v>
      </c>
      <c r="N65">
        <f t="shared" si="1"/>
        <v>17.90757298636094</v>
      </c>
    </row>
    <row r="66" spans="1:14" x14ac:dyDescent="0.2">
      <c r="A66" t="s">
        <v>97</v>
      </c>
      <c r="B66" t="s">
        <v>129</v>
      </c>
      <c r="C66" t="s">
        <v>32</v>
      </c>
      <c r="D66">
        <v>32.145874521454303</v>
      </c>
      <c r="E66">
        <v>32.145874521454303</v>
      </c>
      <c r="F66" t="s">
        <v>97</v>
      </c>
      <c r="G66" t="s">
        <v>25</v>
      </c>
      <c r="H66">
        <v>105</v>
      </c>
      <c r="I66">
        <f t="shared" ref="I66:J67" si="80">I65</f>
        <v>31.920398065528204</v>
      </c>
      <c r="J66">
        <f t="shared" si="80"/>
        <v>0.31887186196651129</v>
      </c>
      <c r="K66">
        <f>I2</f>
        <v>33.252010120639454</v>
      </c>
      <c r="L66">
        <f>I14</f>
        <v>14.012825079167266</v>
      </c>
      <c r="M66">
        <f t="shared" si="0"/>
        <v>-1.3316120551112505</v>
      </c>
      <c r="N66">
        <f t="shared" si="1"/>
        <v>17.90757298636094</v>
      </c>
    </row>
    <row r="67" spans="1:14" x14ac:dyDescent="0.2">
      <c r="A67" t="s">
        <v>98</v>
      </c>
      <c r="B67" t="s">
        <v>129</v>
      </c>
      <c r="C67" t="s">
        <v>32</v>
      </c>
      <c r="E67">
        <v>32.988898111231499</v>
      </c>
      <c r="F67" t="s">
        <v>98</v>
      </c>
      <c r="G67" t="s">
        <v>25</v>
      </c>
      <c r="H67">
        <v>105</v>
      </c>
      <c r="I67">
        <f t="shared" si="80"/>
        <v>31.920398065528204</v>
      </c>
      <c r="J67">
        <f t="shared" ref="J67" si="81">J65</f>
        <v>0.31887186196651129</v>
      </c>
      <c r="K67">
        <f>I2</f>
        <v>33.252010120639454</v>
      </c>
      <c r="L67">
        <f>I14</f>
        <v>14.012825079167266</v>
      </c>
      <c r="M67">
        <f t="shared" ref="M67:M97" si="82">I67-K67</f>
        <v>-1.3316120551112505</v>
      </c>
      <c r="N67">
        <f t="shared" ref="N67:N97" si="83">I67-L67</f>
        <v>17.90757298636094</v>
      </c>
    </row>
    <row r="68" spans="1:14" x14ac:dyDescent="0.2">
      <c r="A68" t="s">
        <v>99</v>
      </c>
      <c r="B68" t="s">
        <v>129</v>
      </c>
      <c r="C68" t="s">
        <v>32</v>
      </c>
      <c r="E68">
        <v>31.374773336905001</v>
      </c>
      <c r="F68" t="s">
        <v>99</v>
      </c>
      <c r="G68" t="s">
        <v>17</v>
      </c>
      <c r="H68">
        <v>111</v>
      </c>
      <c r="I68">
        <f t="shared" ref="I68" si="84">AVERAGE(D68:D70)</f>
        <v>32.290422912502748</v>
      </c>
      <c r="J68">
        <f t="shared" ref="J68" si="85">STDEV(D68:D70)</f>
        <v>0.38422765840845885</v>
      </c>
      <c r="K68">
        <f>I8</f>
        <v>32.662626749787897</v>
      </c>
      <c r="L68">
        <f>I20</f>
        <v>15.592625023200469</v>
      </c>
      <c r="M68">
        <f t="shared" si="82"/>
        <v>-0.37220383728514861</v>
      </c>
      <c r="N68">
        <f t="shared" si="83"/>
        <v>16.697797889302279</v>
      </c>
    </row>
    <row r="69" spans="1:14" x14ac:dyDescent="0.2">
      <c r="A69" t="s">
        <v>100</v>
      </c>
      <c r="B69" t="s">
        <v>129</v>
      </c>
      <c r="C69" t="s">
        <v>32</v>
      </c>
      <c r="D69">
        <v>32.562112895282802</v>
      </c>
      <c r="E69">
        <v>32.562112895282802</v>
      </c>
      <c r="F69" t="s">
        <v>100</v>
      </c>
      <c r="G69" t="s">
        <v>17</v>
      </c>
      <c r="H69">
        <v>111</v>
      </c>
      <c r="I69">
        <f t="shared" ref="I69:J69" si="86">I68</f>
        <v>32.290422912502748</v>
      </c>
      <c r="J69">
        <f t="shared" si="86"/>
        <v>0.38422765840845885</v>
      </c>
      <c r="K69">
        <f>I8</f>
        <v>32.662626749787897</v>
      </c>
      <c r="L69">
        <f>I20</f>
        <v>15.592625023200469</v>
      </c>
      <c r="M69">
        <f t="shared" si="82"/>
        <v>-0.37220383728514861</v>
      </c>
      <c r="N69">
        <f t="shared" si="83"/>
        <v>16.697797889302279</v>
      </c>
    </row>
    <row r="70" spans="1:14" x14ac:dyDescent="0.2">
      <c r="A70" t="s">
        <v>101</v>
      </c>
      <c r="B70" t="s">
        <v>129</v>
      </c>
      <c r="C70" t="s">
        <v>32</v>
      </c>
      <c r="D70">
        <v>32.018732929722702</v>
      </c>
      <c r="E70">
        <v>32.018732929722702</v>
      </c>
      <c r="F70" t="s">
        <v>101</v>
      </c>
      <c r="G70" t="s">
        <v>17</v>
      </c>
      <c r="H70">
        <v>111</v>
      </c>
      <c r="I70">
        <f t="shared" ref="I70:J70" si="87">I68</f>
        <v>32.290422912502748</v>
      </c>
      <c r="J70">
        <f t="shared" si="87"/>
        <v>0.38422765840845885</v>
      </c>
      <c r="K70">
        <f>I8</f>
        <v>32.662626749787897</v>
      </c>
      <c r="L70">
        <f>I20</f>
        <v>15.592625023200469</v>
      </c>
      <c r="M70">
        <f t="shared" si="82"/>
        <v>-0.37220383728514861</v>
      </c>
      <c r="N70">
        <f t="shared" si="83"/>
        <v>16.697797889302279</v>
      </c>
    </row>
    <row r="71" spans="1:14" x14ac:dyDescent="0.2">
      <c r="A71" t="s">
        <v>102</v>
      </c>
      <c r="B71" t="s">
        <v>129</v>
      </c>
      <c r="C71" t="s">
        <v>32</v>
      </c>
      <c r="E71">
        <v>30.839927904076699</v>
      </c>
      <c r="F71" t="s">
        <v>102</v>
      </c>
      <c r="G71" t="s">
        <v>25</v>
      </c>
      <c r="H71">
        <v>111</v>
      </c>
      <c r="I71">
        <f t="shared" ref="I71" si="88">AVERAGE(D71:D73)</f>
        <v>31.604873546089998</v>
      </c>
      <c r="J71">
        <f t="shared" ref="J71" si="89">STDEV(D71:D73)</f>
        <v>0.30582766745062201</v>
      </c>
      <c r="K71">
        <f>I8</f>
        <v>32.662626749787897</v>
      </c>
      <c r="L71">
        <f>I20</f>
        <v>15.592625023200469</v>
      </c>
      <c r="M71">
        <f t="shared" si="82"/>
        <v>-1.0577532036978994</v>
      </c>
      <c r="N71">
        <f t="shared" si="83"/>
        <v>16.012248522889529</v>
      </c>
    </row>
    <row r="72" spans="1:14" x14ac:dyDescent="0.2">
      <c r="A72" t="s">
        <v>103</v>
      </c>
      <c r="B72" t="s">
        <v>129</v>
      </c>
      <c r="C72" t="s">
        <v>32</v>
      </c>
      <c r="D72">
        <v>31.3886207285612</v>
      </c>
      <c r="E72">
        <v>31.3886207285612</v>
      </c>
      <c r="F72" t="s">
        <v>103</v>
      </c>
      <c r="G72" t="s">
        <v>25</v>
      </c>
      <c r="H72">
        <v>111</v>
      </c>
      <c r="I72">
        <f t="shared" ref="I72:J73" si="90">I71</f>
        <v>31.604873546089998</v>
      </c>
      <c r="J72">
        <f t="shared" si="90"/>
        <v>0.30582766745062201</v>
      </c>
      <c r="K72">
        <f>I8</f>
        <v>32.662626749787897</v>
      </c>
      <c r="L72">
        <f>I20</f>
        <v>15.592625023200469</v>
      </c>
      <c r="M72">
        <f t="shared" si="82"/>
        <v>-1.0577532036978994</v>
      </c>
      <c r="N72">
        <f t="shared" si="83"/>
        <v>16.012248522889529</v>
      </c>
    </row>
    <row r="73" spans="1:14" x14ac:dyDescent="0.2">
      <c r="A73" t="s">
        <v>104</v>
      </c>
      <c r="B73" t="s">
        <v>129</v>
      </c>
      <c r="C73" t="s">
        <v>32</v>
      </c>
      <c r="D73">
        <v>31.821126363618799</v>
      </c>
      <c r="E73">
        <v>31.821126363618799</v>
      </c>
      <c r="F73" t="s">
        <v>104</v>
      </c>
      <c r="G73" t="s">
        <v>25</v>
      </c>
      <c r="H73">
        <v>111</v>
      </c>
      <c r="I73">
        <f t="shared" si="90"/>
        <v>31.604873546089998</v>
      </c>
      <c r="J73">
        <f t="shared" ref="J73" si="91">J71</f>
        <v>0.30582766745062201</v>
      </c>
      <c r="K73">
        <f>I8</f>
        <v>32.662626749787897</v>
      </c>
      <c r="L73">
        <f>I20</f>
        <v>15.592625023200469</v>
      </c>
      <c r="M73">
        <f t="shared" si="82"/>
        <v>-1.0577532036978994</v>
      </c>
      <c r="N73">
        <f t="shared" si="83"/>
        <v>16.012248522889529</v>
      </c>
    </row>
    <row r="74" spans="1:14" s="17" customFormat="1" x14ac:dyDescent="0.2">
      <c r="A74" s="17" t="s">
        <v>105</v>
      </c>
      <c r="B74" s="17" t="s">
        <v>129</v>
      </c>
      <c r="C74" s="17" t="s">
        <v>32</v>
      </c>
      <c r="E74" s="17" t="s">
        <v>33</v>
      </c>
      <c r="F74" s="17" t="s">
        <v>105</v>
      </c>
      <c r="G74" s="17" t="s">
        <v>18</v>
      </c>
      <c r="H74" s="17">
        <v>105</v>
      </c>
      <c r="I74" s="17" t="e">
        <f t="shared" ref="I74" si="92">AVERAGE(D74:D76)</f>
        <v>#DIV/0!</v>
      </c>
      <c r="J74" s="17" t="e">
        <f>STDEV(D74:D76)</f>
        <v>#DIV/0!</v>
      </c>
      <c r="K74" s="17">
        <f>I2</f>
        <v>33.252010120639454</v>
      </c>
      <c r="L74" s="17">
        <f>I14</f>
        <v>14.012825079167266</v>
      </c>
      <c r="M74" s="17" t="e">
        <f t="shared" si="82"/>
        <v>#DIV/0!</v>
      </c>
      <c r="N74" s="17" t="e">
        <f t="shared" si="83"/>
        <v>#DIV/0!</v>
      </c>
    </row>
    <row r="75" spans="1:14" s="17" customFormat="1" x14ac:dyDescent="0.2">
      <c r="A75" s="17" t="s">
        <v>106</v>
      </c>
      <c r="B75" s="17" t="s">
        <v>129</v>
      </c>
      <c r="C75" s="17" t="s">
        <v>32</v>
      </c>
      <c r="E75" s="17" t="s">
        <v>33</v>
      </c>
      <c r="F75" s="17" t="s">
        <v>106</v>
      </c>
      <c r="G75" s="17" t="s">
        <v>18</v>
      </c>
      <c r="H75" s="17">
        <v>105</v>
      </c>
      <c r="I75" s="17" t="e">
        <f t="shared" ref="I75:J75" si="93">I74</f>
        <v>#DIV/0!</v>
      </c>
      <c r="J75" s="17" t="e">
        <f t="shared" si="93"/>
        <v>#DIV/0!</v>
      </c>
      <c r="K75" s="17">
        <f>I2</f>
        <v>33.252010120639454</v>
      </c>
      <c r="L75" s="17">
        <f>I14</f>
        <v>14.012825079167266</v>
      </c>
      <c r="M75" s="17" t="e">
        <f t="shared" si="82"/>
        <v>#DIV/0!</v>
      </c>
      <c r="N75" s="17" t="e">
        <f t="shared" si="83"/>
        <v>#DIV/0!</v>
      </c>
    </row>
    <row r="76" spans="1:14" s="17" customFormat="1" x14ac:dyDescent="0.2">
      <c r="A76" s="17" t="s">
        <v>107</v>
      </c>
      <c r="B76" s="17" t="s">
        <v>129</v>
      </c>
      <c r="C76" s="17" t="s">
        <v>32</v>
      </c>
      <c r="E76" s="17" t="s">
        <v>33</v>
      </c>
      <c r="F76" s="17" t="s">
        <v>107</v>
      </c>
      <c r="G76" s="17" t="s">
        <v>18</v>
      </c>
      <c r="H76" s="17">
        <v>105</v>
      </c>
      <c r="I76" s="17" t="e">
        <f t="shared" ref="I76:J76" si="94">I74</f>
        <v>#DIV/0!</v>
      </c>
      <c r="J76" s="17" t="e">
        <f t="shared" si="94"/>
        <v>#DIV/0!</v>
      </c>
      <c r="K76" s="17">
        <f>I2</f>
        <v>33.252010120639454</v>
      </c>
      <c r="L76" s="17">
        <f>I14</f>
        <v>14.012825079167266</v>
      </c>
      <c r="M76" s="17" t="e">
        <f t="shared" si="82"/>
        <v>#DIV/0!</v>
      </c>
      <c r="N76" s="17" t="e">
        <f t="shared" si="83"/>
        <v>#DIV/0!</v>
      </c>
    </row>
    <row r="77" spans="1:14" x14ac:dyDescent="0.2">
      <c r="A77" t="s">
        <v>108</v>
      </c>
      <c r="B77" t="s">
        <v>129</v>
      </c>
      <c r="C77" t="s">
        <v>32</v>
      </c>
      <c r="D77">
        <v>32.533981027729197</v>
      </c>
      <c r="E77">
        <v>32.533981027729197</v>
      </c>
      <c r="F77" t="s">
        <v>108</v>
      </c>
      <c r="G77" t="s">
        <v>144</v>
      </c>
      <c r="I77">
        <f t="shared" ref="I77" si="95">AVERAGE(D77:D79)</f>
        <v>32.3706306067388</v>
      </c>
      <c r="J77">
        <f t="shared" ref="J77" si="96">STDEV(D77:D79)</f>
        <v>0.2310123807839749</v>
      </c>
      <c r="K77">
        <f>I2</f>
        <v>33.252010120639454</v>
      </c>
      <c r="L77">
        <f>I14</f>
        <v>14.012825079167266</v>
      </c>
      <c r="M77">
        <f t="shared" si="82"/>
        <v>-0.88137951390065439</v>
      </c>
      <c r="N77">
        <f t="shared" si="83"/>
        <v>18.357805527571536</v>
      </c>
    </row>
    <row r="78" spans="1:14" x14ac:dyDescent="0.2">
      <c r="A78" t="s">
        <v>109</v>
      </c>
      <c r="B78" t="s">
        <v>129</v>
      </c>
      <c r="C78" t="s">
        <v>32</v>
      </c>
      <c r="D78">
        <v>32.207280185748402</v>
      </c>
      <c r="E78">
        <v>32.207280185748402</v>
      </c>
      <c r="F78" t="s">
        <v>109</v>
      </c>
      <c r="I78">
        <f t="shared" ref="I78:J79" si="97">I77</f>
        <v>32.3706306067388</v>
      </c>
      <c r="J78">
        <f t="shared" si="97"/>
        <v>0.2310123807839749</v>
      </c>
      <c r="K78">
        <f>I2</f>
        <v>33.252010120639454</v>
      </c>
      <c r="L78">
        <f>I14</f>
        <v>14.012825079167266</v>
      </c>
      <c r="M78">
        <f t="shared" si="82"/>
        <v>-0.88137951390065439</v>
      </c>
      <c r="N78">
        <f t="shared" si="83"/>
        <v>18.357805527571536</v>
      </c>
    </row>
    <row r="79" spans="1:14" x14ac:dyDescent="0.2">
      <c r="A79" t="s">
        <v>110</v>
      </c>
      <c r="B79" t="s">
        <v>129</v>
      </c>
      <c r="C79" t="s">
        <v>32</v>
      </c>
      <c r="E79">
        <v>33.340099224423803</v>
      </c>
      <c r="F79" t="s">
        <v>110</v>
      </c>
      <c r="I79">
        <f t="shared" si="97"/>
        <v>32.3706306067388</v>
      </c>
      <c r="J79">
        <f t="shared" ref="J79" si="98">J77</f>
        <v>0.2310123807839749</v>
      </c>
      <c r="K79">
        <f>I2</f>
        <v>33.252010120639454</v>
      </c>
      <c r="L79">
        <f>I14</f>
        <v>14.012825079167266</v>
      </c>
      <c r="M79">
        <f t="shared" si="82"/>
        <v>-0.88137951390065439</v>
      </c>
      <c r="N79">
        <f t="shared" si="83"/>
        <v>18.357805527571536</v>
      </c>
    </row>
    <row r="80" spans="1:14" x14ac:dyDescent="0.2">
      <c r="A80" t="s">
        <v>111</v>
      </c>
      <c r="B80" t="s">
        <v>129</v>
      </c>
      <c r="C80" t="s">
        <v>32</v>
      </c>
      <c r="D80">
        <v>34.1941521063492</v>
      </c>
      <c r="E80">
        <v>34.1941521063492</v>
      </c>
      <c r="F80" t="s">
        <v>111</v>
      </c>
      <c r="G80" t="s">
        <v>18</v>
      </c>
      <c r="H80">
        <v>111</v>
      </c>
      <c r="I80">
        <f t="shared" ref="I80" si="99">AVERAGE(D80:D82)</f>
        <v>34.278183547954065</v>
      </c>
      <c r="J80">
        <f t="shared" ref="J80" si="100">STDEV(D80:D82)</f>
        <v>0.1380513518845273</v>
      </c>
      <c r="K80">
        <f>I8</f>
        <v>32.662626749787897</v>
      </c>
      <c r="L80">
        <f>I20</f>
        <v>15.592625023200469</v>
      </c>
      <c r="M80">
        <f t="shared" si="82"/>
        <v>1.6155567981661676</v>
      </c>
      <c r="N80">
        <f t="shared" si="83"/>
        <v>18.685558524753596</v>
      </c>
    </row>
    <row r="81" spans="1:14" x14ac:dyDescent="0.2">
      <c r="A81" t="s">
        <v>112</v>
      </c>
      <c r="B81" t="s">
        <v>129</v>
      </c>
      <c r="C81" t="s">
        <v>32</v>
      </c>
      <c r="D81">
        <v>34.202886808320699</v>
      </c>
      <c r="E81">
        <v>34.202886808320699</v>
      </c>
      <c r="F81" t="s">
        <v>112</v>
      </c>
      <c r="G81" t="s">
        <v>18</v>
      </c>
      <c r="H81">
        <v>111</v>
      </c>
      <c r="I81">
        <f t="shared" ref="I81:J81" si="101">I80</f>
        <v>34.278183547954065</v>
      </c>
      <c r="J81">
        <f t="shared" si="101"/>
        <v>0.1380513518845273</v>
      </c>
      <c r="K81">
        <f>I8</f>
        <v>32.662626749787897</v>
      </c>
      <c r="L81">
        <f>I20</f>
        <v>15.592625023200469</v>
      </c>
      <c r="M81">
        <f t="shared" si="82"/>
        <v>1.6155567981661676</v>
      </c>
      <c r="N81">
        <f t="shared" si="83"/>
        <v>18.685558524753596</v>
      </c>
    </row>
    <row r="82" spans="1:14" x14ac:dyDescent="0.2">
      <c r="A82" t="s">
        <v>113</v>
      </c>
      <c r="B82" t="s">
        <v>129</v>
      </c>
      <c r="C82" t="s">
        <v>32</v>
      </c>
      <c r="D82">
        <v>34.437511729192302</v>
      </c>
      <c r="E82">
        <v>34.437511729192302</v>
      </c>
      <c r="F82" t="s">
        <v>113</v>
      </c>
      <c r="G82" t="s">
        <v>18</v>
      </c>
      <c r="H82">
        <v>111</v>
      </c>
      <c r="I82">
        <f t="shared" ref="I82:J82" si="102">I80</f>
        <v>34.278183547954065</v>
      </c>
      <c r="J82">
        <f t="shared" si="102"/>
        <v>0.1380513518845273</v>
      </c>
      <c r="K82">
        <f>I8</f>
        <v>32.662626749787897</v>
      </c>
      <c r="L82">
        <f>I20</f>
        <v>15.592625023200469</v>
      </c>
      <c r="M82">
        <f t="shared" si="82"/>
        <v>1.6155567981661676</v>
      </c>
      <c r="N82">
        <f t="shared" si="83"/>
        <v>18.685558524753596</v>
      </c>
    </row>
    <row r="83" spans="1:14" x14ac:dyDescent="0.2">
      <c r="A83" t="s">
        <v>114</v>
      </c>
      <c r="B83" t="s">
        <v>129</v>
      </c>
      <c r="C83" t="s">
        <v>32</v>
      </c>
      <c r="D83">
        <v>30.934708127903701</v>
      </c>
      <c r="E83">
        <v>30.934708127903701</v>
      </c>
      <c r="F83" t="s">
        <v>114</v>
      </c>
      <c r="I83">
        <f t="shared" ref="I83" si="103">AVERAGE(D83:D85)</f>
        <v>31.266125920096499</v>
      </c>
      <c r="J83">
        <f t="shared" ref="J83" si="104">STDEV(D83:D85)</f>
        <v>0.46869553653080626</v>
      </c>
      <c r="K83">
        <f>I8</f>
        <v>32.662626749787897</v>
      </c>
      <c r="L83">
        <f>I20</f>
        <v>15.592625023200469</v>
      </c>
      <c r="M83">
        <f t="shared" si="82"/>
        <v>-1.3965008296913979</v>
      </c>
      <c r="N83">
        <f t="shared" si="83"/>
        <v>15.67350089689603</v>
      </c>
    </row>
    <row r="84" spans="1:14" x14ac:dyDescent="0.2">
      <c r="A84" t="s">
        <v>115</v>
      </c>
      <c r="B84" t="s">
        <v>129</v>
      </c>
      <c r="C84" t="s">
        <v>32</v>
      </c>
      <c r="D84">
        <v>31.597543712289301</v>
      </c>
      <c r="E84">
        <v>31.597543712289301</v>
      </c>
      <c r="F84" t="s">
        <v>115</v>
      </c>
      <c r="I84">
        <f t="shared" ref="I84:J85" si="105">I83</f>
        <v>31.266125920096499</v>
      </c>
      <c r="J84">
        <f t="shared" si="105"/>
        <v>0.46869553653080626</v>
      </c>
      <c r="K84">
        <f>I8</f>
        <v>32.662626749787897</v>
      </c>
      <c r="L84">
        <f>I20</f>
        <v>15.592625023200469</v>
      </c>
      <c r="M84">
        <f t="shared" si="82"/>
        <v>-1.3965008296913979</v>
      </c>
      <c r="N84">
        <f t="shared" si="83"/>
        <v>15.67350089689603</v>
      </c>
    </row>
    <row r="85" spans="1:14" x14ac:dyDescent="0.2">
      <c r="A85" t="s">
        <v>116</v>
      </c>
      <c r="B85" t="s">
        <v>129</v>
      </c>
      <c r="C85" t="s">
        <v>32</v>
      </c>
      <c r="E85">
        <v>32.432814267277202</v>
      </c>
      <c r="F85" t="s">
        <v>116</v>
      </c>
      <c r="I85">
        <f t="shared" si="105"/>
        <v>31.266125920096499</v>
      </c>
      <c r="J85">
        <f t="shared" ref="J85" si="106">J83</f>
        <v>0.46869553653080626</v>
      </c>
      <c r="K85">
        <f>I8</f>
        <v>32.662626749787897</v>
      </c>
      <c r="L85">
        <f>I20</f>
        <v>15.592625023200469</v>
      </c>
      <c r="M85">
        <f t="shared" si="82"/>
        <v>-1.3965008296913979</v>
      </c>
      <c r="N85">
        <f t="shared" si="83"/>
        <v>15.67350089689603</v>
      </c>
    </row>
    <row r="86" spans="1:14" s="17" customFormat="1" x14ac:dyDescent="0.2">
      <c r="A86" s="17" t="s">
        <v>117</v>
      </c>
      <c r="B86" s="17" t="s">
        <v>129</v>
      </c>
      <c r="C86" s="17" t="s">
        <v>32</v>
      </c>
      <c r="E86" s="17" t="s">
        <v>33</v>
      </c>
      <c r="F86" s="17" t="s">
        <v>117</v>
      </c>
      <c r="G86" s="17" t="s">
        <v>19</v>
      </c>
      <c r="H86" s="17">
        <v>105</v>
      </c>
      <c r="I86" s="17" t="e">
        <f t="shared" ref="I86" si="107">AVERAGE(D86:D88)</f>
        <v>#DIV/0!</v>
      </c>
      <c r="J86" s="17" t="e">
        <f t="shared" ref="J86" si="108">STDEV(D86:D88)</f>
        <v>#DIV/0!</v>
      </c>
      <c r="K86" s="17">
        <f>I2</f>
        <v>33.252010120639454</v>
      </c>
      <c r="L86" s="17">
        <f>I14</f>
        <v>14.012825079167266</v>
      </c>
      <c r="M86" s="17" t="e">
        <f t="shared" si="82"/>
        <v>#DIV/0!</v>
      </c>
      <c r="N86" s="17" t="e">
        <f t="shared" si="83"/>
        <v>#DIV/0!</v>
      </c>
    </row>
    <row r="87" spans="1:14" s="17" customFormat="1" x14ac:dyDescent="0.2">
      <c r="A87" s="17" t="s">
        <v>118</v>
      </c>
      <c r="B87" s="17" t="s">
        <v>129</v>
      </c>
      <c r="C87" s="17" t="s">
        <v>32</v>
      </c>
      <c r="E87" s="17">
        <v>34.541107254658499</v>
      </c>
      <c r="F87" s="17" t="s">
        <v>118</v>
      </c>
      <c r="G87" s="17" t="s">
        <v>19</v>
      </c>
      <c r="H87" s="17">
        <v>105</v>
      </c>
      <c r="I87" s="17" t="e">
        <f t="shared" ref="I87:J87" si="109">I86</f>
        <v>#DIV/0!</v>
      </c>
      <c r="J87" s="17" t="e">
        <f t="shared" si="109"/>
        <v>#DIV/0!</v>
      </c>
      <c r="K87" s="17">
        <f>I2</f>
        <v>33.252010120639454</v>
      </c>
      <c r="L87" s="17">
        <f>I14</f>
        <v>14.012825079167266</v>
      </c>
      <c r="M87" s="17" t="e">
        <f t="shared" si="82"/>
        <v>#DIV/0!</v>
      </c>
      <c r="N87" s="17" t="e">
        <f t="shared" si="83"/>
        <v>#DIV/0!</v>
      </c>
    </row>
    <row r="88" spans="1:14" s="17" customFormat="1" x14ac:dyDescent="0.2">
      <c r="A88" s="17" t="s">
        <v>119</v>
      </c>
      <c r="B88" s="17" t="s">
        <v>129</v>
      </c>
      <c r="C88" s="17" t="s">
        <v>32</v>
      </c>
      <c r="E88" s="17">
        <v>35.504936668784801</v>
      </c>
      <c r="F88" s="17" t="s">
        <v>119</v>
      </c>
      <c r="G88" s="17" t="s">
        <v>19</v>
      </c>
      <c r="H88" s="17">
        <v>105</v>
      </c>
      <c r="I88" s="17" t="e">
        <f t="shared" ref="I88:J88" si="110">I86</f>
        <v>#DIV/0!</v>
      </c>
      <c r="J88" s="17" t="e">
        <f t="shared" si="110"/>
        <v>#DIV/0!</v>
      </c>
      <c r="K88" s="17">
        <f>I2</f>
        <v>33.252010120639454</v>
      </c>
      <c r="L88" s="17">
        <f>I14</f>
        <v>14.012825079167266</v>
      </c>
      <c r="M88" s="17" t="e">
        <f t="shared" si="82"/>
        <v>#DIV/0!</v>
      </c>
      <c r="N88" s="17" t="e">
        <f t="shared" si="83"/>
        <v>#DIV/0!</v>
      </c>
    </row>
    <row r="89" spans="1:14" x14ac:dyDescent="0.2">
      <c r="A89" t="s">
        <v>120</v>
      </c>
      <c r="B89" t="s">
        <v>129</v>
      </c>
      <c r="C89" t="s">
        <v>32</v>
      </c>
      <c r="D89">
        <v>13.815455106141</v>
      </c>
      <c r="E89">
        <v>13.815455106141</v>
      </c>
      <c r="F89" t="s">
        <v>120</v>
      </c>
      <c r="G89" t="s">
        <v>145</v>
      </c>
      <c r="I89">
        <f t="shared" ref="I89" si="111">AVERAGE(D89:D91)</f>
        <v>13.733283056796367</v>
      </c>
      <c r="J89">
        <f t="shared" ref="J89" si="112">STDEV(D89:D91)</f>
        <v>9.7957063319220397E-2</v>
      </c>
      <c r="K89">
        <f>I2</f>
        <v>33.252010120639454</v>
      </c>
      <c r="L89">
        <f>I14</f>
        <v>14.012825079167266</v>
      </c>
      <c r="M89">
        <f t="shared" si="82"/>
        <v>-19.518727063843087</v>
      </c>
      <c r="N89">
        <f t="shared" si="83"/>
        <v>-0.27954202237089909</v>
      </c>
    </row>
    <row r="90" spans="1:14" x14ac:dyDescent="0.2">
      <c r="A90" t="s">
        <v>121</v>
      </c>
      <c r="B90" t="s">
        <v>129</v>
      </c>
      <c r="C90" t="s">
        <v>32</v>
      </c>
      <c r="D90">
        <v>13.624881343135501</v>
      </c>
      <c r="E90">
        <v>13.624881343135501</v>
      </c>
      <c r="F90" t="s">
        <v>121</v>
      </c>
      <c r="I90">
        <f t="shared" ref="I90:J91" si="113">I89</f>
        <v>13.733283056796367</v>
      </c>
      <c r="J90">
        <f t="shared" si="113"/>
        <v>9.7957063319220397E-2</v>
      </c>
      <c r="K90">
        <f>I2</f>
        <v>33.252010120639454</v>
      </c>
      <c r="L90">
        <f>I14</f>
        <v>14.012825079167266</v>
      </c>
      <c r="M90">
        <f t="shared" si="82"/>
        <v>-19.518727063843087</v>
      </c>
      <c r="N90">
        <f t="shared" si="83"/>
        <v>-0.27954202237089909</v>
      </c>
    </row>
    <row r="91" spans="1:14" x14ac:dyDescent="0.2">
      <c r="A91" t="s">
        <v>122</v>
      </c>
      <c r="B91" t="s">
        <v>129</v>
      </c>
      <c r="C91" t="s">
        <v>32</v>
      </c>
      <c r="D91">
        <v>13.7595127211126</v>
      </c>
      <c r="E91">
        <v>13.7595127211126</v>
      </c>
      <c r="F91" t="s">
        <v>122</v>
      </c>
      <c r="I91">
        <f t="shared" si="113"/>
        <v>13.733283056796367</v>
      </c>
      <c r="J91">
        <f t="shared" ref="J91" si="114">J89</f>
        <v>9.7957063319220397E-2</v>
      </c>
      <c r="K91">
        <f>I2</f>
        <v>33.252010120639454</v>
      </c>
      <c r="L91">
        <f>I14</f>
        <v>14.012825079167266</v>
      </c>
      <c r="M91">
        <f t="shared" si="82"/>
        <v>-19.518727063843087</v>
      </c>
      <c r="N91">
        <f t="shared" si="83"/>
        <v>-0.27954202237089909</v>
      </c>
    </row>
    <row r="92" spans="1:14" s="17" customFormat="1" x14ac:dyDescent="0.2">
      <c r="A92" s="17" t="s">
        <v>123</v>
      </c>
      <c r="B92" s="17" t="s">
        <v>129</v>
      </c>
      <c r="C92" s="17" t="s">
        <v>32</v>
      </c>
      <c r="E92" s="17">
        <v>36.037893174584397</v>
      </c>
      <c r="F92" s="17" t="s">
        <v>123</v>
      </c>
      <c r="G92" s="17" t="s">
        <v>19</v>
      </c>
      <c r="H92" s="17">
        <v>111</v>
      </c>
      <c r="I92" s="17" t="e">
        <f t="shared" ref="I92" si="115">AVERAGE(D92:D94)</f>
        <v>#DIV/0!</v>
      </c>
      <c r="J92" s="17" t="e">
        <f t="shared" ref="J92" si="116">STDEV(D92:D94)</f>
        <v>#DIV/0!</v>
      </c>
      <c r="K92" s="17">
        <f>I8</f>
        <v>32.662626749787897</v>
      </c>
      <c r="L92" s="17">
        <f>I20</f>
        <v>15.592625023200469</v>
      </c>
      <c r="M92" s="17" t="e">
        <f t="shared" si="82"/>
        <v>#DIV/0!</v>
      </c>
      <c r="N92" s="17" t="e">
        <f t="shared" si="83"/>
        <v>#DIV/0!</v>
      </c>
    </row>
    <row r="93" spans="1:14" s="17" customFormat="1" x14ac:dyDescent="0.2">
      <c r="A93" s="17" t="s">
        <v>124</v>
      </c>
      <c r="B93" s="17" t="s">
        <v>129</v>
      </c>
      <c r="C93" s="17" t="s">
        <v>32</v>
      </c>
      <c r="E93" s="17">
        <v>37.555566999516103</v>
      </c>
      <c r="F93" s="17" t="s">
        <v>124</v>
      </c>
      <c r="G93" s="17" t="s">
        <v>19</v>
      </c>
      <c r="H93" s="17">
        <v>111</v>
      </c>
      <c r="I93" s="17" t="e">
        <f t="shared" ref="I93:J93" si="117">I92</f>
        <v>#DIV/0!</v>
      </c>
      <c r="J93" s="17" t="e">
        <f t="shared" si="117"/>
        <v>#DIV/0!</v>
      </c>
      <c r="K93" s="17">
        <f>I8</f>
        <v>32.662626749787897</v>
      </c>
      <c r="L93" s="17">
        <f>I20</f>
        <v>15.592625023200469</v>
      </c>
      <c r="M93" s="17" t="e">
        <f t="shared" si="82"/>
        <v>#DIV/0!</v>
      </c>
      <c r="N93" s="17" t="e">
        <f t="shared" si="83"/>
        <v>#DIV/0!</v>
      </c>
    </row>
    <row r="94" spans="1:14" s="17" customFormat="1" x14ac:dyDescent="0.2">
      <c r="A94" s="17" t="s">
        <v>125</v>
      </c>
      <c r="B94" s="17" t="s">
        <v>129</v>
      </c>
      <c r="C94" s="17" t="s">
        <v>32</v>
      </c>
      <c r="E94" s="17" t="s">
        <v>33</v>
      </c>
      <c r="F94" s="17" t="s">
        <v>125</v>
      </c>
      <c r="G94" s="17" t="s">
        <v>19</v>
      </c>
      <c r="H94" s="17">
        <v>111</v>
      </c>
      <c r="I94" s="17" t="e">
        <f t="shared" ref="I94:J94" si="118">I92</f>
        <v>#DIV/0!</v>
      </c>
      <c r="J94" s="17" t="e">
        <f t="shared" si="118"/>
        <v>#DIV/0!</v>
      </c>
      <c r="K94" s="17">
        <f>I8</f>
        <v>32.662626749787897</v>
      </c>
      <c r="L94" s="17">
        <f>I20</f>
        <v>15.592625023200469</v>
      </c>
      <c r="M94" s="17" t="e">
        <f t="shared" si="82"/>
        <v>#DIV/0!</v>
      </c>
      <c r="N94" s="17" t="e">
        <f t="shared" si="83"/>
        <v>#DIV/0!</v>
      </c>
    </row>
    <row r="95" spans="1:14" x14ac:dyDescent="0.2">
      <c r="A95" t="s">
        <v>126</v>
      </c>
      <c r="B95" t="s">
        <v>129</v>
      </c>
      <c r="C95" t="s">
        <v>32</v>
      </c>
      <c r="D95">
        <v>15.476511784297999</v>
      </c>
      <c r="E95">
        <v>15.476511784297999</v>
      </c>
      <c r="F95" t="s">
        <v>126</v>
      </c>
      <c r="I95">
        <f t="shared" ref="I95" si="119">AVERAGE(D95:D97)</f>
        <v>15.908604787020499</v>
      </c>
      <c r="J95">
        <f t="shared" ref="J95" si="120">STDEV(D95:D97)</f>
        <v>0.49032865420641264</v>
      </c>
      <c r="K95">
        <f>I8</f>
        <v>32.662626749787897</v>
      </c>
      <c r="L95">
        <f>I20</f>
        <v>15.592625023200469</v>
      </c>
      <c r="M95">
        <f t="shared" si="82"/>
        <v>-16.754021962767396</v>
      </c>
      <c r="N95">
        <f t="shared" si="83"/>
        <v>0.3159797638200299</v>
      </c>
    </row>
    <row r="96" spans="1:14" x14ac:dyDescent="0.2">
      <c r="A96" t="s">
        <v>127</v>
      </c>
      <c r="B96" t="s">
        <v>129</v>
      </c>
      <c r="C96" t="s">
        <v>32</v>
      </c>
      <c r="D96">
        <v>15.807801297243101</v>
      </c>
      <c r="E96">
        <v>15.807801297243101</v>
      </c>
      <c r="F96" t="s">
        <v>127</v>
      </c>
      <c r="I96">
        <f t="shared" ref="I96:J97" si="121">I95</f>
        <v>15.908604787020499</v>
      </c>
      <c r="J96">
        <f t="shared" si="121"/>
        <v>0.49032865420641264</v>
      </c>
      <c r="K96">
        <f>I8</f>
        <v>32.662626749787897</v>
      </c>
      <c r="L96">
        <f>I20</f>
        <v>15.592625023200469</v>
      </c>
      <c r="M96">
        <f t="shared" si="82"/>
        <v>-16.754021962767396</v>
      </c>
      <c r="N96">
        <f t="shared" si="83"/>
        <v>0.3159797638200299</v>
      </c>
    </row>
    <row r="97" spans="1:14" x14ac:dyDescent="0.2">
      <c r="A97" t="s">
        <v>128</v>
      </c>
      <c r="B97" t="s">
        <v>129</v>
      </c>
      <c r="C97" t="s">
        <v>32</v>
      </c>
      <c r="D97">
        <v>16.441501279520399</v>
      </c>
      <c r="E97">
        <v>16.441501279520399</v>
      </c>
      <c r="F97" t="s">
        <v>128</v>
      </c>
      <c r="I97">
        <f t="shared" si="121"/>
        <v>15.908604787020499</v>
      </c>
      <c r="J97">
        <f t="shared" ref="J97" si="122">J95</f>
        <v>0.49032865420641264</v>
      </c>
      <c r="K97">
        <f>I8</f>
        <v>32.662626749787897</v>
      </c>
      <c r="L97">
        <f>I20</f>
        <v>15.592625023200469</v>
      </c>
      <c r="M97">
        <f t="shared" si="82"/>
        <v>-16.754021962767396</v>
      </c>
      <c r="N97">
        <f t="shared" si="83"/>
        <v>0.3159797638200299</v>
      </c>
    </row>
  </sheetData>
  <conditionalFormatting sqref="J2:J97">
    <cfRule type="cellIs" dxfId="0" priority="1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TEMPLATE</vt:lpstr>
      <vt:lpstr>qRT-PCR primer layout</vt:lpstr>
      <vt:lpstr>qRT-PCR primer order</vt:lpstr>
      <vt:lpstr>100_102</vt:lpstr>
      <vt:lpstr>105(fail)</vt:lpstr>
      <vt:lpstr>106_107</vt:lpstr>
      <vt:lpstr>111(fail)_113</vt:lpstr>
      <vt:lpstr>115_122</vt:lpstr>
      <vt:lpstr>128(fail)_129(fail)</vt:lpstr>
      <vt:lpstr>131_142</vt:lpstr>
      <vt:lpstr>143(fail)_144(fail)</vt:lpstr>
      <vt:lpstr>146_149</vt:lpstr>
      <vt:lpstr>152_153</vt:lpstr>
      <vt:lpstr>154_156</vt:lpstr>
      <vt:lpstr>159(fail)_162(fail)</vt:lpstr>
      <vt:lpstr>163(fail)_1701(fail)</vt:lpstr>
      <vt:lpstr>1702_1703</vt:lpstr>
      <vt:lpstr>1704_1705</vt:lpstr>
      <vt:lpstr>1706_1708</vt:lpstr>
      <vt:lpstr>1710_1713</vt:lpstr>
      <vt:lpstr>163_1701</vt:lpstr>
      <vt:lpstr>143_159</vt:lpstr>
      <vt:lpstr>144_162</vt:lpstr>
      <vt:lpstr>128_129</vt:lpstr>
      <vt:lpstr>105_111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Bazany, Kathryn</dc:creator>
  <cp:lastModifiedBy>Bazany, Kathryn</cp:lastModifiedBy>
  <dcterms:created xsi:type="dcterms:W3CDTF">2026-05-01T13:49:54Z</dcterms:created>
  <dcterms:modified xsi:type="dcterms:W3CDTF">2026-06-04T14:58:09Z</dcterms:modified>
</cp:coreProperties>
</file>